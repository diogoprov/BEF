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560" yWindow="560" windowWidth="25040" windowHeight="14980" tabRatio="809" firstSheet="2" activeTab="2"/>
  </bookViews>
  <sheets>
    <sheet name="species biomasses T99" sheetId="1" r:id="rId1"/>
    <sheet name="FG expt design T99" sheetId="2" r:id="rId2"/>
    <sheet name="ecosystem function wide T99" sheetId="3" r:id="rId3"/>
    <sheet name="ecosystem function long T99" sheetId="4" r:id="rId4"/>
    <sheet name="ecosystem biomass wide T99" sheetId="5" r:id="rId5"/>
    <sheet name="ecosystem biomass long T99" sheetId="6" r:id="rId6"/>
    <sheet name="spreadsheet codes" sheetId="7" r:id="rId7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B433" i="6" l="1"/>
  <c r="AA433" i="6"/>
  <c r="Z433" i="6"/>
  <c r="Y433" i="6"/>
  <c r="W433" i="6"/>
  <c r="V433" i="6"/>
  <c r="AB432" i="6"/>
  <c r="AA432" i="6"/>
  <c r="Z432" i="6"/>
  <c r="Y432" i="6"/>
  <c r="W432" i="6"/>
  <c r="V432" i="6"/>
  <c r="AB431" i="6"/>
  <c r="AA431" i="6"/>
  <c r="Z431" i="6"/>
  <c r="Y431" i="6"/>
  <c r="W431" i="6"/>
  <c r="V431" i="6"/>
  <c r="AB430" i="6"/>
  <c r="AA430" i="6"/>
  <c r="Z430" i="6"/>
  <c r="Y430" i="6"/>
  <c r="W430" i="6"/>
  <c r="V430" i="6"/>
  <c r="AB429" i="6"/>
  <c r="AA429" i="6"/>
  <c r="Z429" i="6"/>
  <c r="Y429" i="6"/>
  <c r="W429" i="6"/>
  <c r="V429" i="6"/>
  <c r="AB428" i="6"/>
  <c r="AA428" i="6"/>
  <c r="Z428" i="6"/>
  <c r="Y428" i="6"/>
  <c r="W428" i="6"/>
  <c r="V428" i="6"/>
  <c r="AB427" i="6"/>
  <c r="AA427" i="6"/>
  <c r="Z427" i="6"/>
  <c r="Y427" i="6"/>
  <c r="W427" i="6"/>
  <c r="V427" i="6"/>
  <c r="AB426" i="6"/>
  <c r="AA426" i="6"/>
  <c r="Z426" i="6"/>
  <c r="Y426" i="6"/>
  <c r="W426" i="6"/>
  <c r="V426" i="6"/>
  <c r="AB425" i="6"/>
  <c r="AA425" i="6"/>
  <c r="Z425" i="6"/>
  <c r="Y425" i="6"/>
  <c r="W425" i="6"/>
  <c r="V425" i="6"/>
  <c r="AB424" i="6"/>
  <c r="AA424" i="6"/>
  <c r="Z424" i="6"/>
  <c r="Y424" i="6"/>
  <c r="W424" i="6"/>
  <c r="V424" i="6"/>
  <c r="AB423" i="6"/>
  <c r="AA423" i="6"/>
  <c r="Z423" i="6"/>
  <c r="Y423" i="6"/>
  <c r="W423" i="6"/>
  <c r="V423" i="6"/>
  <c r="AB422" i="6"/>
  <c r="AA422" i="6"/>
  <c r="Z422" i="6"/>
  <c r="Y422" i="6"/>
  <c r="W422" i="6"/>
  <c r="V422" i="6"/>
  <c r="AB421" i="6"/>
  <c r="AA421" i="6"/>
  <c r="Z421" i="6"/>
  <c r="Y421" i="6"/>
  <c r="W421" i="6"/>
  <c r="V421" i="6"/>
  <c r="AB420" i="6"/>
  <c r="AA420" i="6"/>
  <c r="Z420" i="6"/>
  <c r="Y420" i="6"/>
  <c r="W420" i="6"/>
  <c r="V420" i="6"/>
  <c r="AB419" i="6"/>
  <c r="AA419" i="6"/>
  <c r="Z419" i="6"/>
  <c r="Y419" i="6"/>
  <c r="W419" i="6"/>
  <c r="V419" i="6"/>
  <c r="AB418" i="6"/>
  <c r="AA418" i="6"/>
  <c r="Z418" i="6"/>
  <c r="Y418" i="6"/>
  <c r="W418" i="6"/>
  <c r="V418" i="6"/>
  <c r="AB417" i="6"/>
  <c r="AA417" i="6"/>
  <c r="Z417" i="6"/>
  <c r="Y417" i="6"/>
  <c r="W417" i="6"/>
  <c r="V417" i="6"/>
  <c r="AB416" i="6"/>
  <c r="AA416" i="6"/>
  <c r="Z416" i="6"/>
  <c r="Y416" i="6"/>
  <c r="W416" i="6"/>
  <c r="V416" i="6"/>
  <c r="AB415" i="6"/>
  <c r="AA415" i="6"/>
  <c r="Z415" i="6"/>
  <c r="Y415" i="6"/>
  <c r="W415" i="6"/>
  <c r="V415" i="6"/>
  <c r="AB414" i="6"/>
  <c r="AA414" i="6"/>
  <c r="Z414" i="6"/>
  <c r="Y414" i="6"/>
  <c r="W414" i="6"/>
  <c r="V414" i="6"/>
  <c r="AB413" i="6"/>
  <c r="AA413" i="6"/>
  <c r="Z413" i="6"/>
  <c r="Y413" i="6"/>
  <c r="W413" i="6"/>
  <c r="V413" i="6"/>
  <c r="AB412" i="6"/>
  <c r="AA412" i="6"/>
  <c r="Z412" i="6"/>
  <c r="Y412" i="6"/>
  <c r="W412" i="6"/>
  <c r="V412" i="6"/>
  <c r="AB411" i="6"/>
  <c r="AA411" i="6"/>
  <c r="Z411" i="6"/>
  <c r="Y411" i="6"/>
  <c r="W411" i="6"/>
  <c r="V411" i="6"/>
  <c r="AB410" i="6"/>
  <c r="AA410" i="6"/>
  <c r="Z410" i="6"/>
  <c r="Y410" i="6"/>
  <c r="W410" i="6"/>
  <c r="V410" i="6"/>
  <c r="AB409" i="6"/>
  <c r="AA409" i="6"/>
  <c r="Z409" i="6"/>
  <c r="Y409" i="6"/>
  <c r="W409" i="6"/>
  <c r="V409" i="6"/>
  <c r="AB408" i="6"/>
  <c r="AA408" i="6"/>
  <c r="Z408" i="6"/>
  <c r="Y408" i="6"/>
  <c r="W408" i="6"/>
  <c r="V408" i="6"/>
  <c r="AB407" i="6"/>
  <c r="AA407" i="6"/>
  <c r="Z407" i="6"/>
  <c r="Y407" i="6"/>
  <c r="W407" i="6"/>
  <c r="V407" i="6"/>
  <c r="AB406" i="6"/>
  <c r="AA406" i="6"/>
  <c r="Z406" i="6"/>
  <c r="Y406" i="6"/>
  <c r="W406" i="6"/>
  <c r="V406" i="6"/>
  <c r="AB405" i="6"/>
  <c r="AA405" i="6"/>
  <c r="Z405" i="6"/>
  <c r="Y405" i="6"/>
  <c r="W405" i="6"/>
  <c r="V405" i="6"/>
  <c r="AB404" i="6"/>
  <c r="AA404" i="6"/>
  <c r="Z404" i="6"/>
  <c r="Y404" i="6"/>
  <c r="W404" i="6"/>
  <c r="V404" i="6"/>
  <c r="AB403" i="6"/>
  <c r="AA403" i="6"/>
  <c r="Z403" i="6"/>
  <c r="Y403" i="6"/>
  <c r="W403" i="6"/>
  <c r="V403" i="6"/>
  <c r="AB402" i="6"/>
  <c r="AA402" i="6"/>
  <c r="Z402" i="6"/>
  <c r="Y402" i="6"/>
  <c r="W402" i="6"/>
  <c r="V402" i="6"/>
  <c r="AB401" i="6"/>
  <c r="AA401" i="6"/>
  <c r="Z401" i="6"/>
  <c r="Y401" i="6"/>
  <c r="W401" i="6"/>
  <c r="V401" i="6"/>
  <c r="AB400" i="6"/>
  <c r="AA400" i="6"/>
  <c r="Z400" i="6"/>
  <c r="Y400" i="6"/>
  <c r="W400" i="6"/>
  <c r="V400" i="6"/>
  <c r="AB399" i="6"/>
  <c r="AA399" i="6"/>
  <c r="Z399" i="6"/>
  <c r="Y399" i="6"/>
  <c r="W399" i="6"/>
  <c r="V399" i="6"/>
  <c r="AB398" i="6"/>
  <c r="AA398" i="6"/>
  <c r="Z398" i="6"/>
  <c r="Y398" i="6"/>
  <c r="W398" i="6"/>
  <c r="V398" i="6"/>
  <c r="AB397" i="6"/>
  <c r="AA397" i="6"/>
  <c r="Z397" i="6"/>
  <c r="Y397" i="6"/>
  <c r="W397" i="6"/>
  <c r="V397" i="6"/>
  <c r="AB396" i="6"/>
  <c r="AA396" i="6"/>
  <c r="Z396" i="6"/>
  <c r="Y396" i="6"/>
  <c r="W396" i="6"/>
  <c r="V396" i="6"/>
  <c r="AB395" i="6"/>
  <c r="AA395" i="6"/>
  <c r="Z395" i="6"/>
  <c r="Y395" i="6"/>
  <c r="W395" i="6"/>
  <c r="V395" i="6"/>
  <c r="AB394" i="6"/>
  <c r="AA394" i="6"/>
  <c r="Z394" i="6"/>
  <c r="Y394" i="6"/>
  <c r="W394" i="6"/>
  <c r="V394" i="6"/>
  <c r="AB393" i="6"/>
  <c r="AA393" i="6"/>
  <c r="Z393" i="6"/>
  <c r="Y393" i="6"/>
  <c r="W393" i="6"/>
  <c r="V393" i="6"/>
  <c r="AB392" i="6"/>
  <c r="AA392" i="6"/>
  <c r="Z392" i="6"/>
  <c r="Y392" i="6"/>
  <c r="W392" i="6"/>
  <c r="V392" i="6"/>
  <c r="AB391" i="6"/>
  <c r="AA391" i="6"/>
  <c r="Z391" i="6"/>
  <c r="Y391" i="6"/>
  <c r="W391" i="6"/>
  <c r="V391" i="6"/>
  <c r="AB390" i="6"/>
  <c r="AA390" i="6"/>
  <c r="Z390" i="6"/>
  <c r="Y390" i="6"/>
  <c r="W390" i="6"/>
  <c r="V390" i="6"/>
  <c r="AB389" i="6"/>
  <c r="AA389" i="6"/>
  <c r="Z389" i="6"/>
  <c r="Y389" i="6"/>
  <c r="W389" i="6"/>
  <c r="V389" i="6"/>
  <c r="AB388" i="6"/>
  <c r="AA388" i="6"/>
  <c r="Z388" i="6"/>
  <c r="Y388" i="6"/>
  <c r="W388" i="6"/>
  <c r="V388" i="6"/>
  <c r="AB387" i="6"/>
  <c r="AA387" i="6"/>
  <c r="Z387" i="6"/>
  <c r="Y387" i="6"/>
  <c r="W387" i="6"/>
  <c r="V387" i="6"/>
  <c r="AB386" i="6"/>
  <c r="AA386" i="6"/>
  <c r="Z386" i="6"/>
  <c r="Y386" i="6"/>
  <c r="W386" i="6"/>
  <c r="V386" i="6"/>
  <c r="AB385" i="6"/>
  <c r="AA385" i="6"/>
  <c r="Z385" i="6"/>
  <c r="Y385" i="6"/>
  <c r="W385" i="6"/>
  <c r="V385" i="6"/>
  <c r="AB384" i="6"/>
  <c r="AA384" i="6"/>
  <c r="Z384" i="6"/>
  <c r="Y384" i="6"/>
  <c r="W384" i="6"/>
  <c r="V384" i="6"/>
  <c r="AB383" i="6"/>
  <c r="AA383" i="6"/>
  <c r="Z383" i="6"/>
  <c r="Y383" i="6"/>
  <c r="W383" i="6"/>
  <c r="V383" i="6"/>
  <c r="AB382" i="6"/>
  <c r="AA382" i="6"/>
  <c r="Z382" i="6"/>
  <c r="Y382" i="6"/>
  <c r="W382" i="6"/>
  <c r="V382" i="6"/>
  <c r="AB381" i="6"/>
  <c r="AA381" i="6"/>
  <c r="Z381" i="6"/>
  <c r="Y381" i="6"/>
  <c r="W381" i="6"/>
  <c r="V381" i="6"/>
  <c r="AB380" i="6"/>
  <c r="AA380" i="6"/>
  <c r="Z380" i="6"/>
  <c r="Y380" i="6"/>
  <c r="W380" i="6"/>
  <c r="V380" i="6"/>
  <c r="AB379" i="6"/>
  <c r="AA379" i="6"/>
  <c r="Z379" i="6"/>
  <c r="Y379" i="6"/>
  <c r="W379" i="6"/>
  <c r="V379" i="6"/>
  <c r="AB378" i="6"/>
  <c r="AA378" i="6"/>
  <c r="Z378" i="6"/>
  <c r="Y378" i="6"/>
  <c r="W378" i="6"/>
  <c r="V378" i="6"/>
  <c r="AB377" i="6"/>
  <c r="AA377" i="6"/>
  <c r="Z377" i="6"/>
  <c r="Y377" i="6"/>
  <c r="W377" i="6"/>
  <c r="V377" i="6"/>
  <c r="AB376" i="6"/>
  <c r="AA376" i="6"/>
  <c r="Z376" i="6"/>
  <c r="Y376" i="6"/>
  <c r="W376" i="6"/>
  <c r="V376" i="6"/>
  <c r="AB375" i="6"/>
  <c r="AA375" i="6"/>
  <c r="Z375" i="6"/>
  <c r="Y375" i="6"/>
  <c r="W375" i="6"/>
  <c r="V375" i="6"/>
  <c r="AB374" i="6"/>
  <c r="AA374" i="6"/>
  <c r="Z374" i="6"/>
  <c r="Y374" i="6"/>
  <c r="W374" i="6"/>
  <c r="V374" i="6"/>
  <c r="AB373" i="6"/>
  <c r="AA373" i="6"/>
  <c r="Z373" i="6"/>
  <c r="Y373" i="6"/>
  <c r="W373" i="6"/>
  <c r="V373" i="6"/>
  <c r="AB372" i="6"/>
  <c r="AA372" i="6"/>
  <c r="Z372" i="6"/>
  <c r="Y372" i="6"/>
  <c r="W372" i="6"/>
  <c r="V372" i="6"/>
  <c r="AB371" i="6"/>
  <c r="AA371" i="6"/>
  <c r="Z371" i="6"/>
  <c r="Y371" i="6"/>
  <c r="W371" i="6"/>
  <c r="V371" i="6"/>
  <c r="AB370" i="6"/>
  <c r="AA370" i="6"/>
  <c r="Z370" i="6"/>
  <c r="Y370" i="6"/>
  <c r="W370" i="6"/>
  <c r="V370" i="6"/>
  <c r="AB369" i="6"/>
  <c r="AA369" i="6"/>
  <c r="Z369" i="6"/>
  <c r="Y369" i="6"/>
  <c r="W369" i="6"/>
  <c r="V369" i="6"/>
  <c r="AB368" i="6"/>
  <c r="AA368" i="6"/>
  <c r="Z368" i="6"/>
  <c r="Y368" i="6"/>
  <c r="W368" i="6"/>
  <c r="V368" i="6"/>
  <c r="AB367" i="6"/>
  <c r="AA367" i="6"/>
  <c r="Z367" i="6"/>
  <c r="Y367" i="6"/>
  <c r="W367" i="6"/>
  <c r="V367" i="6"/>
  <c r="AB366" i="6"/>
  <c r="AA366" i="6"/>
  <c r="Z366" i="6"/>
  <c r="Y366" i="6"/>
  <c r="W366" i="6"/>
  <c r="V366" i="6"/>
  <c r="AB365" i="6"/>
  <c r="AA365" i="6"/>
  <c r="Z365" i="6"/>
  <c r="Y365" i="6"/>
  <c r="W365" i="6"/>
  <c r="V365" i="6"/>
  <c r="AB364" i="6"/>
  <c r="AA364" i="6"/>
  <c r="Z364" i="6"/>
  <c r="Y364" i="6"/>
  <c r="W364" i="6"/>
  <c r="V364" i="6"/>
  <c r="AB363" i="6"/>
  <c r="AA363" i="6"/>
  <c r="Z363" i="6"/>
  <c r="Y363" i="6"/>
  <c r="W363" i="6"/>
  <c r="V363" i="6"/>
  <c r="AB362" i="6"/>
  <c r="AA362" i="6"/>
  <c r="Z362" i="6"/>
  <c r="Y362" i="6"/>
  <c r="W362" i="6"/>
  <c r="V362" i="6"/>
  <c r="AB361" i="6"/>
  <c r="AA361" i="6"/>
  <c r="Z361" i="6"/>
  <c r="Y361" i="6"/>
  <c r="W361" i="6"/>
  <c r="V361" i="6"/>
  <c r="AB360" i="6"/>
  <c r="AA360" i="6"/>
  <c r="Z360" i="6"/>
  <c r="Y360" i="6"/>
  <c r="W360" i="6"/>
  <c r="V360" i="6"/>
  <c r="AB359" i="6"/>
  <c r="AA359" i="6"/>
  <c r="Z359" i="6"/>
  <c r="Y359" i="6"/>
  <c r="W359" i="6"/>
  <c r="V359" i="6"/>
  <c r="AB358" i="6"/>
  <c r="AA358" i="6"/>
  <c r="Z358" i="6"/>
  <c r="Y358" i="6"/>
  <c r="W358" i="6"/>
  <c r="V358" i="6"/>
  <c r="AB357" i="6"/>
  <c r="AA357" i="6"/>
  <c r="Z357" i="6"/>
  <c r="Y357" i="6"/>
  <c r="W357" i="6"/>
  <c r="V357" i="6"/>
  <c r="AB356" i="6"/>
  <c r="AA356" i="6"/>
  <c r="Z356" i="6"/>
  <c r="Y356" i="6"/>
  <c r="W356" i="6"/>
  <c r="V356" i="6"/>
  <c r="AB355" i="6"/>
  <c r="AA355" i="6"/>
  <c r="Z355" i="6"/>
  <c r="Y355" i="6"/>
  <c r="W355" i="6"/>
  <c r="V355" i="6"/>
  <c r="AB354" i="6"/>
  <c r="AA354" i="6"/>
  <c r="Z354" i="6"/>
  <c r="Y354" i="6"/>
  <c r="W354" i="6"/>
  <c r="V354" i="6"/>
  <c r="AB353" i="6"/>
  <c r="AA353" i="6"/>
  <c r="Z353" i="6"/>
  <c r="Y353" i="6"/>
  <c r="W353" i="6"/>
  <c r="V353" i="6"/>
  <c r="AB352" i="6"/>
  <c r="AA352" i="6"/>
  <c r="Z352" i="6"/>
  <c r="Y352" i="6"/>
  <c r="W352" i="6"/>
  <c r="V352" i="6"/>
  <c r="AB351" i="6"/>
  <c r="AA351" i="6"/>
  <c r="Z351" i="6"/>
  <c r="Y351" i="6"/>
  <c r="W351" i="6"/>
  <c r="V351" i="6"/>
  <c r="AB350" i="6"/>
  <c r="AA350" i="6"/>
  <c r="Z350" i="6"/>
  <c r="Y350" i="6"/>
  <c r="W350" i="6"/>
  <c r="V350" i="6"/>
  <c r="AB349" i="6"/>
  <c r="AA349" i="6"/>
  <c r="Z349" i="6"/>
  <c r="Y349" i="6"/>
  <c r="W349" i="6"/>
  <c r="V349" i="6"/>
  <c r="AB348" i="6"/>
  <c r="AA348" i="6"/>
  <c r="Z348" i="6"/>
  <c r="Y348" i="6"/>
  <c r="W348" i="6"/>
  <c r="V348" i="6"/>
  <c r="AB347" i="6"/>
  <c r="AA347" i="6"/>
  <c r="Z347" i="6"/>
  <c r="Y347" i="6"/>
  <c r="W347" i="6"/>
  <c r="V347" i="6"/>
  <c r="AB346" i="6"/>
  <c r="AA346" i="6"/>
  <c r="Z346" i="6"/>
  <c r="Y346" i="6"/>
  <c r="W346" i="6"/>
  <c r="V346" i="6"/>
  <c r="AB345" i="6"/>
  <c r="AA345" i="6"/>
  <c r="Z345" i="6"/>
  <c r="Y345" i="6"/>
  <c r="W345" i="6"/>
  <c r="V345" i="6"/>
  <c r="AB344" i="6"/>
  <c r="AA344" i="6"/>
  <c r="Z344" i="6"/>
  <c r="Y344" i="6"/>
  <c r="W344" i="6"/>
  <c r="V344" i="6"/>
  <c r="AB343" i="6"/>
  <c r="AA343" i="6"/>
  <c r="Z343" i="6"/>
  <c r="Y343" i="6"/>
  <c r="W343" i="6"/>
  <c r="V343" i="6"/>
  <c r="AB342" i="6"/>
  <c r="AA342" i="6"/>
  <c r="Z342" i="6"/>
  <c r="Y342" i="6"/>
  <c r="W342" i="6"/>
  <c r="V342" i="6"/>
  <c r="AB341" i="6"/>
  <c r="AA341" i="6"/>
  <c r="Z341" i="6"/>
  <c r="Y341" i="6"/>
  <c r="W341" i="6"/>
  <c r="V341" i="6"/>
  <c r="AB340" i="6"/>
  <c r="AA340" i="6"/>
  <c r="Z340" i="6"/>
  <c r="Y340" i="6"/>
  <c r="W340" i="6"/>
  <c r="V340" i="6"/>
  <c r="AB339" i="6"/>
  <c r="AA339" i="6"/>
  <c r="Z339" i="6"/>
  <c r="Y339" i="6"/>
  <c r="W339" i="6"/>
  <c r="V339" i="6"/>
  <c r="AB338" i="6"/>
  <c r="AA338" i="6"/>
  <c r="Z338" i="6"/>
  <c r="Y338" i="6"/>
  <c r="W338" i="6"/>
  <c r="V338" i="6"/>
  <c r="AB337" i="6"/>
  <c r="AA337" i="6"/>
  <c r="Z337" i="6"/>
  <c r="Y337" i="6"/>
  <c r="W337" i="6"/>
  <c r="V337" i="6"/>
  <c r="AB336" i="6"/>
  <c r="AA336" i="6"/>
  <c r="Z336" i="6"/>
  <c r="Y336" i="6"/>
  <c r="W336" i="6"/>
  <c r="V336" i="6"/>
  <c r="AB335" i="6"/>
  <c r="AA335" i="6"/>
  <c r="Z335" i="6"/>
  <c r="Y335" i="6"/>
  <c r="W335" i="6"/>
  <c r="V335" i="6"/>
  <c r="AB334" i="6"/>
  <c r="AA334" i="6"/>
  <c r="Z334" i="6"/>
  <c r="Y334" i="6"/>
  <c r="W334" i="6"/>
  <c r="V334" i="6"/>
  <c r="AB333" i="6"/>
  <c r="AA333" i="6"/>
  <c r="Z333" i="6"/>
  <c r="Y333" i="6"/>
  <c r="W333" i="6"/>
  <c r="V333" i="6"/>
  <c r="AB332" i="6"/>
  <c r="AA332" i="6"/>
  <c r="Z332" i="6"/>
  <c r="Y332" i="6"/>
  <c r="W332" i="6"/>
  <c r="V332" i="6"/>
  <c r="AB331" i="6"/>
  <c r="AA331" i="6"/>
  <c r="Z331" i="6"/>
  <c r="Y331" i="6"/>
  <c r="W331" i="6"/>
  <c r="V331" i="6"/>
  <c r="AB330" i="6"/>
  <c r="AA330" i="6"/>
  <c r="Z330" i="6"/>
  <c r="Y330" i="6"/>
  <c r="W330" i="6"/>
  <c r="V330" i="6"/>
  <c r="AB329" i="6"/>
  <c r="AA329" i="6"/>
  <c r="Z329" i="6"/>
  <c r="Y329" i="6"/>
  <c r="W329" i="6"/>
  <c r="V329" i="6"/>
  <c r="AB328" i="6"/>
  <c r="AA328" i="6"/>
  <c r="Z328" i="6"/>
  <c r="Y328" i="6"/>
  <c r="W328" i="6"/>
  <c r="V328" i="6"/>
  <c r="AB327" i="6"/>
  <c r="AA327" i="6"/>
  <c r="Z327" i="6"/>
  <c r="Y327" i="6"/>
  <c r="W327" i="6"/>
  <c r="V327" i="6"/>
  <c r="AB326" i="6"/>
  <c r="AA326" i="6"/>
  <c r="Z326" i="6"/>
  <c r="Y326" i="6"/>
  <c r="W326" i="6"/>
  <c r="V326" i="6"/>
  <c r="AB325" i="6"/>
  <c r="AA325" i="6"/>
  <c r="Z325" i="6"/>
  <c r="Y325" i="6"/>
  <c r="W325" i="6"/>
  <c r="V325" i="6"/>
  <c r="AB324" i="6"/>
  <c r="AA324" i="6"/>
  <c r="Z324" i="6"/>
  <c r="Y324" i="6"/>
  <c r="W324" i="6"/>
  <c r="V324" i="6"/>
  <c r="AB323" i="6"/>
  <c r="AA323" i="6"/>
  <c r="Z323" i="6"/>
  <c r="Y323" i="6"/>
  <c r="W323" i="6"/>
  <c r="V323" i="6"/>
  <c r="AB322" i="6"/>
  <c r="AA322" i="6"/>
  <c r="Z322" i="6"/>
  <c r="Y322" i="6"/>
  <c r="W322" i="6"/>
  <c r="V322" i="6"/>
  <c r="AB321" i="6"/>
  <c r="AA321" i="6"/>
  <c r="Z321" i="6"/>
  <c r="Y321" i="6"/>
  <c r="W321" i="6"/>
  <c r="V321" i="6"/>
  <c r="AB320" i="6"/>
  <c r="AA320" i="6"/>
  <c r="Z320" i="6"/>
  <c r="Y320" i="6"/>
  <c r="W320" i="6"/>
  <c r="V320" i="6"/>
  <c r="AB319" i="6"/>
  <c r="AA319" i="6"/>
  <c r="Z319" i="6"/>
  <c r="Y319" i="6"/>
  <c r="W319" i="6"/>
  <c r="V319" i="6"/>
  <c r="AB318" i="6"/>
  <c r="AA318" i="6"/>
  <c r="Z318" i="6"/>
  <c r="Y318" i="6"/>
  <c r="W318" i="6"/>
  <c r="V318" i="6"/>
  <c r="AB317" i="6"/>
  <c r="AA317" i="6"/>
  <c r="Z317" i="6"/>
  <c r="Y317" i="6"/>
  <c r="W317" i="6"/>
  <c r="V317" i="6"/>
  <c r="AB316" i="6"/>
  <c r="AA316" i="6"/>
  <c r="Z316" i="6"/>
  <c r="Y316" i="6"/>
  <c r="W316" i="6"/>
  <c r="V316" i="6"/>
  <c r="AB315" i="6"/>
  <c r="AA315" i="6"/>
  <c r="Z315" i="6"/>
  <c r="Y315" i="6"/>
  <c r="W315" i="6"/>
  <c r="V315" i="6"/>
  <c r="AB314" i="6"/>
  <c r="AA314" i="6"/>
  <c r="Z314" i="6"/>
  <c r="Y314" i="6"/>
  <c r="W314" i="6"/>
  <c r="V314" i="6"/>
  <c r="AB313" i="6"/>
  <c r="AA313" i="6"/>
  <c r="Z313" i="6"/>
  <c r="Y313" i="6"/>
  <c r="W313" i="6"/>
  <c r="V313" i="6"/>
  <c r="AB312" i="6"/>
  <c r="AA312" i="6"/>
  <c r="Z312" i="6"/>
  <c r="Y312" i="6"/>
  <c r="W312" i="6"/>
  <c r="V312" i="6"/>
  <c r="AB311" i="6"/>
  <c r="AA311" i="6"/>
  <c r="Z311" i="6"/>
  <c r="Y311" i="6"/>
  <c r="W311" i="6"/>
  <c r="V311" i="6"/>
  <c r="AB310" i="6"/>
  <c r="AA310" i="6"/>
  <c r="Z310" i="6"/>
  <c r="Y310" i="6"/>
  <c r="W310" i="6"/>
  <c r="V310" i="6"/>
  <c r="AB309" i="6"/>
  <c r="AA309" i="6"/>
  <c r="Z309" i="6"/>
  <c r="Y309" i="6"/>
  <c r="W309" i="6"/>
  <c r="V309" i="6"/>
  <c r="AB308" i="6"/>
  <c r="AA308" i="6"/>
  <c r="Z308" i="6"/>
  <c r="Y308" i="6"/>
  <c r="W308" i="6"/>
  <c r="V308" i="6"/>
  <c r="AB307" i="6"/>
  <c r="AA307" i="6"/>
  <c r="Z307" i="6"/>
  <c r="Y307" i="6"/>
  <c r="W307" i="6"/>
  <c r="V307" i="6"/>
  <c r="AB306" i="6"/>
  <c r="AA306" i="6"/>
  <c r="Z306" i="6"/>
  <c r="Y306" i="6"/>
  <c r="W306" i="6"/>
  <c r="V306" i="6"/>
  <c r="AB305" i="6"/>
  <c r="AA305" i="6"/>
  <c r="Z305" i="6"/>
  <c r="Y305" i="6"/>
  <c r="W305" i="6"/>
  <c r="V305" i="6"/>
  <c r="AB304" i="6"/>
  <c r="AA304" i="6"/>
  <c r="Z304" i="6"/>
  <c r="Y304" i="6"/>
  <c r="W304" i="6"/>
  <c r="V304" i="6"/>
  <c r="AB303" i="6"/>
  <c r="AA303" i="6"/>
  <c r="Z303" i="6"/>
  <c r="Y303" i="6"/>
  <c r="W303" i="6"/>
  <c r="V303" i="6"/>
  <c r="AB302" i="6"/>
  <c r="AA302" i="6"/>
  <c r="Z302" i="6"/>
  <c r="Y302" i="6"/>
  <c r="W302" i="6"/>
  <c r="V302" i="6"/>
  <c r="AB301" i="6"/>
  <c r="AA301" i="6"/>
  <c r="Z301" i="6"/>
  <c r="Y301" i="6"/>
  <c r="W301" i="6"/>
  <c r="V301" i="6"/>
  <c r="AB300" i="6"/>
  <c r="AA300" i="6"/>
  <c r="Z300" i="6"/>
  <c r="Y300" i="6"/>
  <c r="W300" i="6"/>
  <c r="V300" i="6"/>
  <c r="AB299" i="6"/>
  <c r="AA299" i="6"/>
  <c r="Z299" i="6"/>
  <c r="Y299" i="6"/>
  <c r="W299" i="6"/>
  <c r="V299" i="6"/>
  <c r="AB298" i="6"/>
  <c r="AA298" i="6"/>
  <c r="Z298" i="6"/>
  <c r="Y298" i="6"/>
  <c r="W298" i="6"/>
  <c r="V298" i="6"/>
  <c r="AB297" i="6"/>
  <c r="AA297" i="6"/>
  <c r="Z297" i="6"/>
  <c r="Y297" i="6"/>
  <c r="W297" i="6"/>
  <c r="V297" i="6"/>
  <c r="AB296" i="6"/>
  <c r="AA296" i="6"/>
  <c r="Z296" i="6"/>
  <c r="Y296" i="6"/>
  <c r="W296" i="6"/>
  <c r="V296" i="6"/>
  <c r="AB295" i="6"/>
  <c r="AA295" i="6"/>
  <c r="Z295" i="6"/>
  <c r="Y295" i="6"/>
  <c r="W295" i="6"/>
  <c r="V295" i="6"/>
  <c r="AB294" i="6"/>
  <c r="AA294" i="6"/>
  <c r="Z294" i="6"/>
  <c r="Y294" i="6"/>
  <c r="W294" i="6"/>
  <c r="V294" i="6"/>
  <c r="AB293" i="6"/>
  <c r="AA293" i="6"/>
  <c r="Z293" i="6"/>
  <c r="Y293" i="6"/>
  <c r="W293" i="6"/>
  <c r="V293" i="6"/>
  <c r="AB292" i="6"/>
  <c r="AA292" i="6"/>
  <c r="Z292" i="6"/>
  <c r="Y292" i="6"/>
  <c r="W292" i="6"/>
  <c r="V292" i="6"/>
  <c r="AB291" i="6"/>
  <c r="AA291" i="6"/>
  <c r="Z291" i="6"/>
  <c r="Y291" i="6"/>
  <c r="W291" i="6"/>
  <c r="V291" i="6"/>
  <c r="AB290" i="6"/>
  <c r="AA290" i="6"/>
  <c r="Z290" i="6"/>
  <c r="Y290" i="6"/>
  <c r="W290" i="6"/>
  <c r="V290" i="6"/>
  <c r="AB289" i="6"/>
  <c r="AA289" i="6"/>
  <c r="Z289" i="6"/>
  <c r="Y289" i="6"/>
  <c r="W289" i="6"/>
  <c r="V289" i="6"/>
  <c r="AB288" i="6"/>
  <c r="AA288" i="6"/>
  <c r="Z288" i="6"/>
  <c r="Y288" i="6"/>
  <c r="W288" i="6"/>
  <c r="V288" i="6"/>
  <c r="AB287" i="6"/>
  <c r="AA287" i="6"/>
  <c r="Z287" i="6"/>
  <c r="Y287" i="6"/>
  <c r="W287" i="6"/>
  <c r="V287" i="6"/>
  <c r="AB286" i="6"/>
  <c r="AA286" i="6"/>
  <c r="Z286" i="6"/>
  <c r="Y286" i="6"/>
  <c r="W286" i="6"/>
  <c r="V286" i="6"/>
  <c r="AB285" i="6"/>
  <c r="AA285" i="6"/>
  <c r="Z285" i="6"/>
  <c r="Y285" i="6"/>
  <c r="W285" i="6"/>
  <c r="V285" i="6"/>
  <c r="AB284" i="6"/>
  <c r="AA284" i="6"/>
  <c r="Z284" i="6"/>
  <c r="Y284" i="6"/>
  <c r="W284" i="6"/>
  <c r="V284" i="6"/>
  <c r="AB283" i="6"/>
  <c r="AA283" i="6"/>
  <c r="Z283" i="6"/>
  <c r="Y283" i="6"/>
  <c r="W283" i="6"/>
  <c r="V283" i="6"/>
  <c r="AB282" i="6"/>
  <c r="AA282" i="6"/>
  <c r="Z282" i="6"/>
  <c r="Y282" i="6"/>
  <c r="W282" i="6"/>
  <c r="V282" i="6"/>
  <c r="AB281" i="6"/>
  <c r="AA281" i="6"/>
  <c r="Z281" i="6"/>
  <c r="Y281" i="6"/>
  <c r="W281" i="6"/>
  <c r="V281" i="6"/>
  <c r="AB280" i="6"/>
  <c r="AA280" i="6"/>
  <c r="Z280" i="6"/>
  <c r="Y280" i="6"/>
  <c r="W280" i="6"/>
  <c r="V280" i="6"/>
  <c r="AB279" i="6"/>
  <c r="AA279" i="6"/>
  <c r="Z279" i="6"/>
  <c r="Y279" i="6"/>
  <c r="W279" i="6"/>
  <c r="V279" i="6"/>
  <c r="AB278" i="6"/>
  <c r="AA278" i="6"/>
  <c r="Z278" i="6"/>
  <c r="Y278" i="6"/>
  <c r="W278" i="6"/>
  <c r="V278" i="6"/>
  <c r="AB277" i="6"/>
  <c r="AA277" i="6"/>
  <c r="Z277" i="6"/>
  <c r="Y277" i="6"/>
  <c r="W277" i="6"/>
  <c r="V277" i="6"/>
  <c r="AB276" i="6"/>
  <c r="AA276" i="6"/>
  <c r="Z276" i="6"/>
  <c r="Y276" i="6"/>
  <c r="W276" i="6"/>
  <c r="V276" i="6"/>
  <c r="AB275" i="6"/>
  <c r="AA275" i="6"/>
  <c r="Z275" i="6"/>
  <c r="Y275" i="6"/>
  <c r="W275" i="6"/>
  <c r="V275" i="6"/>
  <c r="AB274" i="6"/>
  <c r="AA274" i="6"/>
  <c r="Z274" i="6"/>
  <c r="Y274" i="6"/>
  <c r="W274" i="6"/>
  <c r="V274" i="6"/>
  <c r="AB273" i="6"/>
  <c r="AA273" i="6"/>
  <c r="Z273" i="6"/>
  <c r="Y273" i="6"/>
  <c r="W273" i="6"/>
  <c r="V273" i="6"/>
  <c r="AB272" i="6"/>
  <c r="AA272" i="6"/>
  <c r="Z272" i="6"/>
  <c r="Y272" i="6"/>
  <c r="W272" i="6"/>
  <c r="V272" i="6"/>
  <c r="AB271" i="6"/>
  <c r="AA271" i="6"/>
  <c r="Z271" i="6"/>
  <c r="Y271" i="6"/>
  <c r="W271" i="6"/>
  <c r="V271" i="6"/>
  <c r="AB270" i="6"/>
  <c r="AA270" i="6"/>
  <c r="Z270" i="6"/>
  <c r="Y270" i="6"/>
  <c r="W270" i="6"/>
  <c r="V270" i="6"/>
  <c r="AB269" i="6"/>
  <c r="AA269" i="6"/>
  <c r="Z269" i="6"/>
  <c r="Y269" i="6"/>
  <c r="W269" i="6"/>
  <c r="V269" i="6"/>
  <c r="AB268" i="6"/>
  <c r="AA268" i="6"/>
  <c r="Z268" i="6"/>
  <c r="Y268" i="6"/>
  <c r="W268" i="6"/>
  <c r="V268" i="6"/>
  <c r="AB267" i="6"/>
  <c r="AA267" i="6"/>
  <c r="Z267" i="6"/>
  <c r="Y267" i="6"/>
  <c r="W267" i="6"/>
  <c r="V267" i="6"/>
  <c r="AB266" i="6"/>
  <c r="AA266" i="6"/>
  <c r="Z266" i="6"/>
  <c r="Y266" i="6"/>
  <c r="W266" i="6"/>
  <c r="V266" i="6"/>
  <c r="AB265" i="6"/>
  <c r="AA265" i="6"/>
  <c r="Z265" i="6"/>
  <c r="Y265" i="6"/>
  <c r="W265" i="6"/>
  <c r="V265" i="6"/>
  <c r="AB264" i="6"/>
  <c r="AA264" i="6"/>
  <c r="Z264" i="6"/>
  <c r="Y264" i="6"/>
  <c r="W264" i="6"/>
  <c r="V264" i="6"/>
  <c r="AB263" i="6"/>
  <c r="AA263" i="6"/>
  <c r="Z263" i="6"/>
  <c r="Y263" i="6"/>
  <c r="W263" i="6"/>
  <c r="V263" i="6"/>
  <c r="AB262" i="6"/>
  <c r="AA262" i="6"/>
  <c r="Z262" i="6"/>
  <c r="Y262" i="6"/>
  <c r="W262" i="6"/>
  <c r="V262" i="6"/>
  <c r="AB261" i="6"/>
  <c r="AA261" i="6"/>
  <c r="Z261" i="6"/>
  <c r="Y261" i="6"/>
  <c r="W261" i="6"/>
  <c r="V261" i="6"/>
  <c r="AB260" i="6"/>
  <c r="AA260" i="6"/>
  <c r="Z260" i="6"/>
  <c r="Y260" i="6"/>
  <c r="W260" i="6"/>
  <c r="V260" i="6"/>
  <c r="AB259" i="6"/>
  <c r="AA259" i="6"/>
  <c r="Z259" i="6"/>
  <c r="Y259" i="6"/>
  <c r="W259" i="6"/>
  <c r="V259" i="6"/>
  <c r="AB258" i="6"/>
  <c r="AA258" i="6"/>
  <c r="Z258" i="6"/>
  <c r="Y258" i="6"/>
  <c r="W258" i="6"/>
  <c r="V258" i="6"/>
  <c r="AB257" i="6"/>
  <c r="AA257" i="6"/>
  <c r="Z257" i="6"/>
  <c r="Y257" i="6"/>
  <c r="W257" i="6"/>
  <c r="V257" i="6"/>
  <c r="AB256" i="6"/>
  <c r="AA256" i="6"/>
  <c r="Z256" i="6"/>
  <c r="Y256" i="6"/>
  <c r="W256" i="6"/>
  <c r="V256" i="6"/>
  <c r="AB255" i="6"/>
  <c r="AA255" i="6"/>
  <c r="Z255" i="6"/>
  <c r="Y255" i="6"/>
  <c r="W255" i="6"/>
  <c r="V255" i="6"/>
  <c r="AB254" i="6"/>
  <c r="AA254" i="6"/>
  <c r="Z254" i="6"/>
  <c r="Y254" i="6"/>
  <c r="W254" i="6"/>
  <c r="V254" i="6"/>
  <c r="AB253" i="6"/>
  <c r="AA253" i="6"/>
  <c r="Z253" i="6"/>
  <c r="Y253" i="6"/>
  <c r="W253" i="6"/>
  <c r="V253" i="6"/>
  <c r="AB252" i="6"/>
  <c r="AA252" i="6"/>
  <c r="Z252" i="6"/>
  <c r="Y252" i="6"/>
  <c r="W252" i="6"/>
  <c r="V252" i="6"/>
  <c r="AB251" i="6"/>
  <c r="AA251" i="6"/>
  <c r="Z251" i="6"/>
  <c r="Y251" i="6"/>
  <c r="W251" i="6"/>
  <c r="V251" i="6"/>
  <c r="AB250" i="6"/>
  <c r="AA250" i="6"/>
  <c r="Z250" i="6"/>
  <c r="Y250" i="6"/>
  <c r="W250" i="6"/>
  <c r="V250" i="6"/>
  <c r="AB249" i="6"/>
  <c r="AA249" i="6"/>
  <c r="Z249" i="6"/>
  <c r="Y249" i="6"/>
  <c r="W249" i="6"/>
  <c r="V249" i="6"/>
  <c r="AB248" i="6"/>
  <c r="AA248" i="6"/>
  <c r="Z248" i="6"/>
  <c r="Y248" i="6"/>
  <c r="W248" i="6"/>
  <c r="V248" i="6"/>
  <c r="AB247" i="6"/>
  <c r="AA247" i="6"/>
  <c r="Z247" i="6"/>
  <c r="Y247" i="6"/>
  <c r="W247" i="6"/>
  <c r="V247" i="6"/>
  <c r="AB246" i="6"/>
  <c r="AA246" i="6"/>
  <c r="Z246" i="6"/>
  <c r="Y246" i="6"/>
  <c r="W246" i="6"/>
  <c r="V246" i="6"/>
  <c r="AB245" i="6"/>
  <c r="AA245" i="6"/>
  <c r="Z245" i="6"/>
  <c r="Y245" i="6"/>
  <c r="W245" i="6"/>
  <c r="V245" i="6"/>
  <c r="AB244" i="6"/>
  <c r="AA244" i="6"/>
  <c r="Z244" i="6"/>
  <c r="Y244" i="6"/>
  <c r="W244" i="6"/>
  <c r="V244" i="6"/>
  <c r="AB243" i="6"/>
  <c r="AA243" i="6"/>
  <c r="Z243" i="6"/>
  <c r="Y243" i="6"/>
  <c r="W243" i="6"/>
  <c r="V243" i="6"/>
  <c r="AB242" i="6"/>
  <c r="AA242" i="6"/>
  <c r="Z242" i="6"/>
  <c r="Y242" i="6"/>
  <c r="W242" i="6"/>
  <c r="V242" i="6"/>
  <c r="AB241" i="6"/>
  <c r="AA241" i="6"/>
  <c r="Z241" i="6"/>
  <c r="Y241" i="6"/>
  <c r="W241" i="6"/>
  <c r="V241" i="6"/>
  <c r="AB240" i="6"/>
  <c r="AA240" i="6"/>
  <c r="Z240" i="6"/>
  <c r="Y240" i="6"/>
  <c r="W240" i="6"/>
  <c r="V240" i="6"/>
  <c r="AB239" i="6"/>
  <c r="AA239" i="6"/>
  <c r="Z239" i="6"/>
  <c r="Y239" i="6"/>
  <c r="W239" i="6"/>
  <c r="V239" i="6"/>
  <c r="AB238" i="6"/>
  <c r="AA238" i="6"/>
  <c r="Z238" i="6"/>
  <c r="Y238" i="6"/>
  <c r="W238" i="6"/>
  <c r="V238" i="6"/>
  <c r="AB237" i="6"/>
  <c r="AA237" i="6"/>
  <c r="Z237" i="6"/>
  <c r="Y237" i="6"/>
  <c r="W237" i="6"/>
  <c r="V237" i="6"/>
  <c r="AB236" i="6"/>
  <c r="AA236" i="6"/>
  <c r="Z236" i="6"/>
  <c r="Y236" i="6"/>
  <c r="W236" i="6"/>
  <c r="V236" i="6"/>
  <c r="AB235" i="6"/>
  <c r="AA235" i="6"/>
  <c r="Z235" i="6"/>
  <c r="Y235" i="6"/>
  <c r="W235" i="6"/>
  <c r="V235" i="6"/>
  <c r="AB234" i="6"/>
  <c r="AA234" i="6"/>
  <c r="Z234" i="6"/>
  <c r="Y234" i="6"/>
  <c r="W234" i="6"/>
  <c r="V234" i="6"/>
  <c r="AB233" i="6"/>
  <c r="AA233" i="6"/>
  <c r="Z233" i="6"/>
  <c r="Y233" i="6"/>
  <c r="W233" i="6"/>
  <c r="V233" i="6"/>
  <c r="AB232" i="6"/>
  <c r="AA232" i="6"/>
  <c r="Z232" i="6"/>
  <c r="Y232" i="6"/>
  <c r="W232" i="6"/>
  <c r="V232" i="6"/>
  <c r="AB231" i="6"/>
  <c r="AA231" i="6"/>
  <c r="Z231" i="6"/>
  <c r="Y231" i="6"/>
  <c r="W231" i="6"/>
  <c r="V231" i="6"/>
  <c r="AB230" i="6"/>
  <c r="AA230" i="6"/>
  <c r="Z230" i="6"/>
  <c r="Y230" i="6"/>
  <c r="W230" i="6"/>
  <c r="V230" i="6"/>
  <c r="AB229" i="6"/>
  <c r="AA229" i="6"/>
  <c r="Z229" i="6"/>
  <c r="Y229" i="6"/>
  <c r="W229" i="6"/>
  <c r="V229" i="6"/>
  <c r="AB228" i="6"/>
  <c r="AA228" i="6"/>
  <c r="Z228" i="6"/>
  <c r="Y228" i="6"/>
  <c r="W228" i="6"/>
  <c r="V228" i="6"/>
  <c r="AB227" i="6"/>
  <c r="AA227" i="6"/>
  <c r="Z227" i="6"/>
  <c r="Y227" i="6"/>
  <c r="W227" i="6"/>
  <c r="V227" i="6"/>
  <c r="AB226" i="6"/>
  <c r="AA226" i="6"/>
  <c r="Z226" i="6"/>
  <c r="Y226" i="6"/>
  <c r="W226" i="6"/>
  <c r="V226" i="6"/>
  <c r="AB225" i="6"/>
  <c r="AA225" i="6"/>
  <c r="Z225" i="6"/>
  <c r="Y225" i="6"/>
  <c r="W225" i="6"/>
  <c r="V225" i="6"/>
  <c r="AB224" i="6"/>
  <c r="AA224" i="6"/>
  <c r="Z224" i="6"/>
  <c r="Y224" i="6"/>
  <c r="W224" i="6"/>
  <c r="V224" i="6"/>
  <c r="AB223" i="6"/>
  <c r="AA223" i="6"/>
  <c r="Z223" i="6"/>
  <c r="Y223" i="6"/>
  <c r="W223" i="6"/>
  <c r="V223" i="6"/>
  <c r="AB222" i="6"/>
  <c r="AA222" i="6"/>
  <c r="Z222" i="6"/>
  <c r="Y222" i="6"/>
  <c r="W222" i="6"/>
  <c r="V222" i="6"/>
  <c r="AB221" i="6"/>
  <c r="AA221" i="6"/>
  <c r="Z221" i="6"/>
  <c r="Y221" i="6"/>
  <c r="W221" i="6"/>
  <c r="V221" i="6"/>
  <c r="AB220" i="6"/>
  <c r="AA220" i="6"/>
  <c r="Z220" i="6"/>
  <c r="Y220" i="6"/>
  <c r="W220" i="6"/>
  <c r="V220" i="6"/>
  <c r="AB219" i="6"/>
  <c r="AA219" i="6"/>
  <c r="Z219" i="6"/>
  <c r="Y219" i="6"/>
  <c r="W219" i="6"/>
  <c r="V219" i="6"/>
  <c r="AB218" i="6"/>
  <c r="AA218" i="6"/>
  <c r="Z218" i="6"/>
  <c r="Y218" i="6"/>
  <c r="W218" i="6"/>
  <c r="V218" i="6"/>
  <c r="AB217" i="6"/>
  <c r="AA217" i="6"/>
  <c r="Z217" i="6"/>
  <c r="Y217" i="6"/>
  <c r="W217" i="6"/>
  <c r="V217" i="6"/>
  <c r="AB216" i="6"/>
  <c r="AA216" i="6"/>
  <c r="Z216" i="6"/>
  <c r="Y216" i="6"/>
  <c r="W216" i="6"/>
  <c r="V216" i="6"/>
  <c r="AB215" i="6"/>
  <c r="AA215" i="6"/>
  <c r="Z215" i="6"/>
  <c r="Y215" i="6"/>
  <c r="W215" i="6"/>
  <c r="V215" i="6"/>
  <c r="AB214" i="6"/>
  <c r="AA214" i="6"/>
  <c r="Z214" i="6"/>
  <c r="Y214" i="6"/>
  <c r="W214" i="6"/>
  <c r="V214" i="6"/>
  <c r="AB213" i="6"/>
  <c r="AA213" i="6"/>
  <c r="Z213" i="6"/>
  <c r="Y213" i="6"/>
  <c r="W213" i="6"/>
  <c r="V213" i="6"/>
  <c r="AB212" i="6"/>
  <c r="AA212" i="6"/>
  <c r="Z212" i="6"/>
  <c r="Y212" i="6"/>
  <c r="W212" i="6"/>
  <c r="V212" i="6"/>
  <c r="AB211" i="6"/>
  <c r="AA211" i="6"/>
  <c r="Z211" i="6"/>
  <c r="Y211" i="6"/>
  <c r="W211" i="6"/>
  <c r="V211" i="6"/>
  <c r="AB210" i="6"/>
  <c r="AA210" i="6"/>
  <c r="Z210" i="6"/>
  <c r="Y210" i="6"/>
  <c r="W210" i="6"/>
  <c r="V210" i="6"/>
  <c r="AB209" i="6"/>
  <c r="AA209" i="6"/>
  <c r="Z209" i="6"/>
  <c r="Y209" i="6"/>
  <c r="W209" i="6"/>
  <c r="V209" i="6"/>
  <c r="AB208" i="6"/>
  <c r="AA208" i="6"/>
  <c r="Z208" i="6"/>
  <c r="Y208" i="6"/>
  <c r="W208" i="6"/>
  <c r="V208" i="6"/>
  <c r="AB207" i="6"/>
  <c r="AA207" i="6"/>
  <c r="Z207" i="6"/>
  <c r="Y207" i="6"/>
  <c r="W207" i="6"/>
  <c r="V207" i="6"/>
  <c r="AB206" i="6"/>
  <c r="AA206" i="6"/>
  <c r="Z206" i="6"/>
  <c r="Y206" i="6"/>
  <c r="W206" i="6"/>
  <c r="V206" i="6"/>
  <c r="AB205" i="6"/>
  <c r="AA205" i="6"/>
  <c r="Z205" i="6"/>
  <c r="Y205" i="6"/>
  <c r="W205" i="6"/>
  <c r="V205" i="6"/>
  <c r="AB204" i="6"/>
  <c r="AA204" i="6"/>
  <c r="Z204" i="6"/>
  <c r="Y204" i="6"/>
  <c r="W204" i="6"/>
  <c r="V204" i="6"/>
  <c r="AB203" i="6"/>
  <c r="AA203" i="6"/>
  <c r="Z203" i="6"/>
  <c r="Y203" i="6"/>
  <c r="W203" i="6"/>
  <c r="V203" i="6"/>
  <c r="AB202" i="6"/>
  <c r="AA202" i="6"/>
  <c r="Z202" i="6"/>
  <c r="Y202" i="6"/>
  <c r="W202" i="6"/>
  <c r="V202" i="6"/>
  <c r="AB201" i="6"/>
  <c r="AA201" i="6"/>
  <c r="Z201" i="6"/>
  <c r="Y201" i="6"/>
  <c r="W201" i="6"/>
  <c r="V201" i="6"/>
  <c r="AB200" i="6"/>
  <c r="AA200" i="6"/>
  <c r="Z200" i="6"/>
  <c r="Y200" i="6"/>
  <c r="W200" i="6"/>
  <c r="V200" i="6"/>
  <c r="AB199" i="6"/>
  <c r="AA199" i="6"/>
  <c r="Z199" i="6"/>
  <c r="Y199" i="6"/>
  <c r="W199" i="6"/>
  <c r="V199" i="6"/>
  <c r="AB198" i="6"/>
  <c r="AA198" i="6"/>
  <c r="Z198" i="6"/>
  <c r="Y198" i="6"/>
  <c r="W198" i="6"/>
  <c r="V198" i="6"/>
  <c r="AB197" i="6"/>
  <c r="AA197" i="6"/>
  <c r="Z197" i="6"/>
  <c r="Y197" i="6"/>
  <c r="W197" i="6"/>
  <c r="V197" i="6"/>
  <c r="AB196" i="6"/>
  <c r="AA196" i="6"/>
  <c r="Z196" i="6"/>
  <c r="Y196" i="6"/>
  <c r="W196" i="6"/>
  <c r="V196" i="6"/>
  <c r="AB195" i="6"/>
  <c r="AA195" i="6"/>
  <c r="Z195" i="6"/>
  <c r="Y195" i="6"/>
  <c r="W195" i="6"/>
  <c r="V195" i="6"/>
  <c r="AB194" i="6"/>
  <c r="AA194" i="6"/>
  <c r="Z194" i="6"/>
  <c r="Y194" i="6"/>
  <c r="W194" i="6"/>
  <c r="V194" i="6"/>
  <c r="AB193" i="6"/>
  <c r="AA193" i="6"/>
  <c r="Z193" i="6"/>
  <c r="Y193" i="6"/>
  <c r="W193" i="6"/>
  <c r="V193" i="6"/>
  <c r="AB192" i="6"/>
  <c r="AA192" i="6"/>
  <c r="Z192" i="6"/>
  <c r="Y192" i="6"/>
  <c r="W192" i="6"/>
  <c r="V192" i="6"/>
  <c r="AB191" i="6"/>
  <c r="AA191" i="6"/>
  <c r="Z191" i="6"/>
  <c r="Y191" i="6"/>
  <c r="W191" i="6"/>
  <c r="V191" i="6"/>
  <c r="AB190" i="6"/>
  <c r="AA190" i="6"/>
  <c r="Z190" i="6"/>
  <c r="Y190" i="6"/>
  <c r="W190" i="6"/>
  <c r="V190" i="6"/>
  <c r="AB189" i="6"/>
  <c r="AA189" i="6"/>
  <c r="Z189" i="6"/>
  <c r="Y189" i="6"/>
  <c r="W189" i="6"/>
  <c r="V189" i="6"/>
  <c r="AB188" i="6"/>
  <c r="AA188" i="6"/>
  <c r="Z188" i="6"/>
  <c r="Y188" i="6"/>
  <c r="W188" i="6"/>
  <c r="V188" i="6"/>
  <c r="AB187" i="6"/>
  <c r="AA187" i="6"/>
  <c r="Z187" i="6"/>
  <c r="Y187" i="6"/>
  <c r="W187" i="6"/>
  <c r="V187" i="6"/>
  <c r="AB186" i="6"/>
  <c r="AA186" i="6"/>
  <c r="Z186" i="6"/>
  <c r="Y186" i="6"/>
  <c r="W186" i="6"/>
  <c r="V186" i="6"/>
  <c r="AB185" i="6"/>
  <c r="AA185" i="6"/>
  <c r="Z185" i="6"/>
  <c r="Y185" i="6"/>
  <c r="W185" i="6"/>
  <c r="V185" i="6"/>
  <c r="AB184" i="6"/>
  <c r="AA184" i="6"/>
  <c r="Z184" i="6"/>
  <c r="Y184" i="6"/>
  <c r="W184" i="6"/>
  <c r="V184" i="6"/>
  <c r="AB183" i="6"/>
  <c r="AA183" i="6"/>
  <c r="Z183" i="6"/>
  <c r="Y183" i="6"/>
  <c r="W183" i="6"/>
  <c r="V183" i="6"/>
  <c r="AB182" i="6"/>
  <c r="AA182" i="6"/>
  <c r="Z182" i="6"/>
  <c r="Y182" i="6"/>
  <c r="W182" i="6"/>
  <c r="V182" i="6"/>
  <c r="AB181" i="6"/>
  <c r="AA181" i="6"/>
  <c r="Z181" i="6"/>
  <c r="Y181" i="6"/>
  <c r="W181" i="6"/>
  <c r="V181" i="6"/>
  <c r="AB180" i="6"/>
  <c r="AA180" i="6"/>
  <c r="Z180" i="6"/>
  <c r="Y180" i="6"/>
  <c r="W180" i="6"/>
  <c r="V180" i="6"/>
  <c r="AB179" i="6"/>
  <c r="AA179" i="6"/>
  <c r="Z179" i="6"/>
  <c r="Y179" i="6"/>
  <c r="W179" i="6"/>
  <c r="V179" i="6"/>
  <c r="AB178" i="6"/>
  <c r="AA178" i="6"/>
  <c r="Z178" i="6"/>
  <c r="Y178" i="6"/>
  <c r="W178" i="6"/>
  <c r="V178" i="6"/>
  <c r="AB177" i="6"/>
  <c r="AA177" i="6"/>
  <c r="Z177" i="6"/>
  <c r="Y177" i="6"/>
  <c r="W177" i="6"/>
  <c r="V177" i="6"/>
  <c r="AB176" i="6"/>
  <c r="AA176" i="6"/>
  <c r="Z176" i="6"/>
  <c r="Y176" i="6"/>
  <c r="W176" i="6"/>
  <c r="V176" i="6"/>
  <c r="AB175" i="6"/>
  <c r="AA175" i="6"/>
  <c r="Z175" i="6"/>
  <c r="Y175" i="6"/>
  <c r="W175" i="6"/>
  <c r="V175" i="6"/>
  <c r="AB174" i="6"/>
  <c r="AA174" i="6"/>
  <c r="Z174" i="6"/>
  <c r="Y174" i="6"/>
  <c r="W174" i="6"/>
  <c r="V174" i="6"/>
  <c r="AB173" i="6"/>
  <c r="AA173" i="6"/>
  <c r="Z173" i="6"/>
  <c r="Y173" i="6"/>
  <c r="W173" i="6"/>
  <c r="V173" i="6"/>
  <c r="AB172" i="6"/>
  <c r="AA172" i="6"/>
  <c r="Z172" i="6"/>
  <c r="Y172" i="6"/>
  <c r="W172" i="6"/>
  <c r="V172" i="6"/>
  <c r="AB171" i="6"/>
  <c r="AA171" i="6"/>
  <c r="Z171" i="6"/>
  <c r="Y171" i="6"/>
  <c r="W171" i="6"/>
  <c r="V171" i="6"/>
  <c r="AB170" i="6"/>
  <c r="AA170" i="6"/>
  <c r="Z170" i="6"/>
  <c r="Y170" i="6"/>
  <c r="W170" i="6"/>
  <c r="V170" i="6"/>
  <c r="AB169" i="6"/>
  <c r="AA169" i="6"/>
  <c r="Z169" i="6"/>
  <c r="Y169" i="6"/>
  <c r="W169" i="6"/>
  <c r="V169" i="6"/>
  <c r="AB168" i="6"/>
  <c r="AA168" i="6"/>
  <c r="Z168" i="6"/>
  <c r="Y168" i="6"/>
  <c r="W168" i="6"/>
  <c r="V168" i="6"/>
  <c r="AB167" i="6"/>
  <c r="AA167" i="6"/>
  <c r="Z167" i="6"/>
  <c r="Y167" i="6"/>
  <c r="W167" i="6"/>
  <c r="V167" i="6"/>
  <c r="AB166" i="6"/>
  <c r="AA166" i="6"/>
  <c r="Z166" i="6"/>
  <c r="Y166" i="6"/>
  <c r="W166" i="6"/>
  <c r="V166" i="6"/>
  <c r="AB165" i="6"/>
  <c r="AA165" i="6"/>
  <c r="Z165" i="6"/>
  <c r="Y165" i="6"/>
  <c r="W165" i="6"/>
  <c r="V165" i="6"/>
  <c r="AB164" i="6"/>
  <c r="AA164" i="6"/>
  <c r="Z164" i="6"/>
  <c r="Y164" i="6"/>
  <c r="W164" i="6"/>
  <c r="V164" i="6"/>
  <c r="AB163" i="6"/>
  <c r="AA163" i="6"/>
  <c r="Z163" i="6"/>
  <c r="Y163" i="6"/>
  <c r="W163" i="6"/>
  <c r="V163" i="6"/>
  <c r="AB162" i="6"/>
  <c r="AA162" i="6"/>
  <c r="Z162" i="6"/>
  <c r="Y162" i="6"/>
  <c r="W162" i="6"/>
  <c r="V162" i="6"/>
  <c r="AB161" i="6"/>
  <c r="AA161" i="6"/>
  <c r="Z161" i="6"/>
  <c r="Y161" i="6"/>
  <c r="W161" i="6"/>
  <c r="V161" i="6"/>
  <c r="AB160" i="6"/>
  <c r="AA160" i="6"/>
  <c r="Z160" i="6"/>
  <c r="Y160" i="6"/>
  <c r="W160" i="6"/>
  <c r="V160" i="6"/>
  <c r="AB159" i="6"/>
  <c r="AA159" i="6"/>
  <c r="Z159" i="6"/>
  <c r="Y159" i="6"/>
  <c r="W159" i="6"/>
  <c r="V159" i="6"/>
  <c r="AB158" i="6"/>
  <c r="AA158" i="6"/>
  <c r="Z158" i="6"/>
  <c r="Y158" i="6"/>
  <c r="W158" i="6"/>
  <c r="V158" i="6"/>
  <c r="AB157" i="6"/>
  <c r="AA157" i="6"/>
  <c r="Z157" i="6"/>
  <c r="Y157" i="6"/>
  <c r="W157" i="6"/>
  <c r="V157" i="6"/>
  <c r="AB156" i="6"/>
  <c r="AA156" i="6"/>
  <c r="Z156" i="6"/>
  <c r="Y156" i="6"/>
  <c r="W156" i="6"/>
  <c r="V156" i="6"/>
  <c r="AB155" i="6"/>
  <c r="AA155" i="6"/>
  <c r="Z155" i="6"/>
  <c r="Y155" i="6"/>
  <c r="W155" i="6"/>
  <c r="V155" i="6"/>
  <c r="AB154" i="6"/>
  <c r="AA154" i="6"/>
  <c r="Z154" i="6"/>
  <c r="Y154" i="6"/>
  <c r="W154" i="6"/>
  <c r="V154" i="6"/>
  <c r="AB153" i="6"/>
  <c r="AA153" i="6"/>
  <c r="Z153" i="6"/>
  <c r="Y153" i="6"/>
  <c r="W153" i="6"/>
  <c r="V153" i="6"/>
  <c r="AB152" i="6"/>
  <c r="AA152" i="6"/>
  <c r="Z152" i="6"/>
  <c r="Y152" i="6"/>
  <c r="W152" i="6"/>
  <c r="V152" i="6"/>
  <c r="AB151" i="6"/>
  <c r="AA151" i="6"/>
  <c r="Z151" i="6"/>
  <c r="Y151" i="6"/>
  <c r="W151" i="6"/>
  <c r="V151" i="6"/>
  <c r="AB150" i="6"/>
  <c r="AA150" i="6"/>
  <c r="Z150" i="6"/>
  <c r="Y150" i="6"/>
  <c r="W150" i="6"/>
  <c r="V150" i="6"/>
  <c r="AB149" i="6"/>
  <c r="AA149" i="6"/>
  <c r="Z149" i="6"/>
  <c r="Y149" i="6"/>
  <c r="W149" i="6"/>
  <c r="V149" i="6"/>
  <c r="AB148" i="6"/>
  <c r="AA148" i="6"/>
  <c r="Z148" i="6"/>
  <c r="Y148" i="6"/>
  <c r="W148" i="6"/>
  <c r="V148" i="6"/>
  <c r="AB147" i="6"/>
  <c r="AA147" i="6"/>
  <c r="Z147" i="6"/>
  <c r="Y147" i="6"/>
  <c r="W147" i="6"/>
  <c r="V147" i="6"/>
  <c r="AB146" i="6"/>
  <c r="AA146" i="6"/>
  <c r="Z146" i="6"/>
  <c r="Y146" i="6"/>
  <c r="W146" i="6"/>
  <c r="V146" i="6"/>
  <c r="AB145" i="6"/>
  <c r="AA145" i="6"/>
  <c r="Z145" i="6"/>
  <c r="Y145" i="6"/>
  <c r="W145" i="6"/>
  <c r="V145" i="6"/>
  <c r="AB144" i="6"/>
  <c r="AA144" i="6"/>
  <c r="Z144" i="6"/>
  <c r="Y144" i="6"/>
  <c r="W144" i="6"/>
  <c r="V144" i="6"/>
  <c r="AB143" i="6"/>
  <c r="AA143" i="6"/>
  <c r="Z143" i="6"/>
  <c r="Y143" i="6"/>
  <c r="W143" i="6"/>
  <c r="V143" i="6"/>
  <c r="AB142" i="6"/>
  <c r="AA142" i="6"/>
  <c r="Z142" i="6"/>
  <c r="Y142" i="6"/>
  <c r="W142" i="6"/>
  <c r="V142" i="6"/>
  <c r="AB141" i="6"/>
  <c r="AA141" i="6"/>
  <c r="Z141" i="6"/>
  <c r="Y141" i="6"/>
  <c r="W141" i="6"/>
  <c r="V141" i="6"/>
  <c r="AB140" i="6"/>
  <c r="AA140" i="6"/>
  <c r="Z140" i="6"/>
  <c r="Y140" i="6"/>
  <c r="W140" i="6"/>
  <c r="V140" i="6"/>
  <c r="AB139" i="6"/>
  <c r="AA139" i="6"/>
  <c r="Z139" i="6"/>
  <c r="Y139" i="6"/>
  <c r="W139" i="6"/>
  <c r="V139" i="6"/>
  <c r="AB138" i="6"/>
  <c r="AA138" i="6"/>
  <c r="Z138" i="6"/>
  <c r="Y138" i="6"/>
  <c r="W138" i="6"/>
  <c r="V138" i="6"/>
  <c r="AB137" i="6"/>
  <c r="AA137" i="6"/>
  <c r="Z137" i="6"/>
  <c r="Y137" i="6"/>
  <c r="W137" i="6"/>
  <c r="V137" i="6"/>
  <c r="AB136" i="6"/>
  <c r="AA136" i="6"/>
  <c r="Z136" i="6"/>
  <c r="Y136" i="6"/>
  <c r="W136" i="6"/>
  <c r="V136" i="6"/>
  <c r="AB135" i="6"/>
  <c r="AA135" i="6"/>
  <c r="Z135" i="6"/>
  <c r="Y135" i="6"/>
  <c r="W135" i="6"/>
  <c r="V135" i="6"/>
  <c r="AB134" i="6"/>
  <c r="AA134" i="6"/>
  <c r="Z134" i="6"/>
  <c r="Y134" i="6"/>
  <c r="W134" i="6"/>
  <c r="V134" i="6"/>
  <c r="AB133" i="6"/>
  <c r="AA133" i="6"/>
  <c r="Z133" i="6"/>
  <c r="Y133" i="6"/>
  <c r="W133" i="6"/>
  <c r="V133" i="6"/>
  <c r="AB132" i="6"/>
  <c r="AA132" i="6"/>
  <c r="Z132" i="6"/>
  <c r="Y132" i="6"/>
  <c r="W132" i="6"/>
  <c r="V132" i="6"/>
  <c r="AB131" i="6"/>
  <c r="AA131" i="6"/>
  <c r="Z131" i="6"/>
  <c r="Y131" i="6"/>
  <c r="W131" i="6"/>
  <c r="V131" i="6"/>
  <c r="AB130" i="6"/>
  <c r="AA130" i="6"/>
  <c r="Z130" i="6"/>
  <c r="Y130" i="6"/>
  <c r="W130" i="6"/>
  <c r="V130" i="6"/>
  <c r="AB129" i="6"/>
  <c r="AA129" i="6"/>
  <c r="Z129" i="6"/>
  <c r="Y129" i="6"/>
  <c r="W129" i="6"/>
  <c r="V129" i="6"/>
  <c r="AB128" i="6"/>
  <c r="AA128" i="6"/>
  <c r="Z128" i="6"/>
  <c r="Y128" i="6"/>
  <c r="W128" i="6"/>
  <c r="V128" i="6"/>
  <c r="AB127" i="6"/>
  <c r="AA127" i="6"/>
  <c r="Z127" i="6"/>
  <c r="Y127" i="6"/>
  <c r="W127" i="6"/>
  <c r="V127" i="6"/>
  <c r="AB126" i="6"/>
  <c r="AA126" i="6"/>
  <c r="Z126" i="6"/>
  <c r="Y126" i="6"/>
  <c r="W126" i="6"/>
  <c r="V126" i="6"/>
  <c r="AB125" i="6"/>
  <c r="AA125" i="6"/>
  <c r="Z125" i="6"/>
  <c r="Y125" i="6"/>
  <c r="W125" i="6"/>
  <c r="V125" i="6"/>
  <c r="AB124" i="6"/>
  <c r="AA124" i="6"/>
  <c r="Z124" i="6"/>
  <c r="Y124" i="6"/>
  <c r="W124" i="6"/>
  <c r="V124" i="6"/>
  <c r="AB123" i="6"/>
  <c r="AA123" i="6"/>
  <c r="Z123" i="6"/>
  <c r="Y123" i="6"/>
  <c r="W123" i="6"/>
  <c r="V123" i="6"/>
  <c r="AB122" i="6"/>
  <c r="AA122" i="6"/>
  <c r="Z122" i="6"/>
  <c r="Y122" i="6"/>
  <c r="W122" i="6"/>
  <c r="V122" i="6"/>
  <c r="AB121" i="6"/>
  <c r="AA121" i="6"/>
  <c r="Z121" i="6"/>
  <c r="Y121" i="6"/>
  <c r="W121" i="6"/>
  <c r="V121" i="6"/>
  <c r="AB120" i="6"/>
  <c r="AA120" i="6"/>
  <c r="Z120" i="6"/>
  <c r="Y120" i="6"/>
  <c r="W120" i="6"/>
  <c r="V120" i="6"/>
  <c r="AB119" i="6"/>
  <c r="AA119" i="6"/>
  <c r="Z119" i="6"/>
  <c r="Y119" i="6"/>
  <c r="W119" i="6"/>
  <c r="V119" i="6"/>
  <c r="AB118" i="6"/>
  <c r="AA118" i="6"/>
  <c r="Z118" i="6"/>
  <c r="Y118" i="6"/>
  <c r="W118" i="6"/>
  <c r="V118" i="6"/>
  <c r="AB117" i="6"/>
  <c r="AA117" i="6"/>
  <c r="Z117" i="6"/>
  <c r="Y117" i="6"/>
  <c r="W117" i="6"/>
  <c r="V117" i="6"/>
  <c r="AB116" i="6"/>
  <c r="AA116" i="6"/>
  <c r="Z116" i="6"/>
  <c r="Y116" i="6"/>
  <c r="W116" i="6"/>
  <c r="V116" i="6"/>
  <c r="AB115" i="6"/>
  <c r="AA115" i="6"/>
  <c r="Z115" i="6"/>
  <c r="Y115" i="6"/>
  <c r="W115" i="6"/>
  <c r="V115" i="6"/>
  <c r="AB114" i="6"/>
  <c r="AA114" i="6"/>
  <c r="Z114" i="6"/>
  <c r="Y114" i="6"/>
  <c r="W114" i="6"/>
  <c r="V114" i="6"/>
  <c r="AB113" i="6"/>
  <c r="AA113" i="6"/>
  <c r="Z113" i="6"/>
  <c r="Y113" i="6"/>
  <c r="W113" i="6"/>
  <c r="V113" i="6"/>
  <c r="AB112" i="6"/>
  <c r="AA112" i="6"/>
  <c r="Z112" i="6"/>
  <c r="Y112" i="6"/>
  <c r="W112" i="6"/>
  <c r="V112" i="6"/>
  <c r="AB111" i="6"/>
  <c r="AA111" i="6"/>
  <c r="Z111" i="6"/>
  <c r="Y111" i="6"/>
  <c r="W111" i="6"/>
  <c r="V111" i="6"/>
  <c r="AB110" i="6"/>
  <c r="AA110" i="6"/>
  <c r="Z110" i="6"/>
  <c r="Y110" i="6"/>
  <c r="W110" i="6"/>
  <c r="V110" i="6"/>
  <c r="AB109" i="6"/>
  <c r="AA109" i="6"/>
  <c r="Z109" i="6"/>
  <c r="Y109" i="6"/>
  <c r="W109" i="6"/>
  <c r="V109" i="6"/>
  <c r="AB108" i="6"/>
  <c r="AA108" i="6"/>
  <c r="Z108" i="6"/>
  <c r="Y108" i="6"/>
  <c r="W108" i="6"/>
  <c r="V108" i="6"/>
  <c r="AB107" i="6"/>
  <c r="AA107" i="6"/>
  <c r="Z107" i="6"/>
  <c r="Y107" i="6"/>
  <c r="W107" i="6"/>
  <c r="V107" i="6"/>
  <c r="AB106" i="6"/>
  <c r="AA106" i="6"/>
  <c r="Z106" i="6"/>
  <c r="Y106" i="6"/>
  <c r="W106" i="6"/>
  <c r="V106" i="6"/>
  <c r="AB105" i="6"/>
  <c r="AA105" i="6"/>
  <c r="Z105" i="6"/>
  <c r="Y105" i="6"/>
  <c r="W105" i="6"/>
  <c r="V105" i="6"/>
  <c r="AB104" i="6"/>
  <c r="AA104" i="6"/>
  <c r="Z104" i="6"/>
  <c r="Y104" i="6"/>
  <c r="W104" i="6"/>
  <c r="V104" i="6"/>
  <c r="AB103" i="6"/>
  <c r="AA103" i="6"/>
  <c r="Z103" i="6"/>
  <c r="Y103" i="6"/>
  <c r="W103" i="6"/>
  <c r="V103" i="6"/>
  <c r="AB102" i="6"/>
  <c r="AA102" i="6"/>
  <c r="Z102" i="6"/>
  <c r="Y102" i="6"/>
  <c r="W102" i="6"/>
  <c r="V102" i="6"/>
  <c r="AB101" i="6"/>
  <c r="AA101" i="6"/>
  <c r="Z101" i="6"/>
  <c r="Y101" i="6"/>
  <c r="W101" i="6"/>
  <c r="V101" i="6"/>
  <c r="AB100" i="6"/>
  <c r="AA100" i="6"/>
  <c r="Z100" i="6"/>
  <c r="Y100" i="6"/>
  <c r="W100" i="6"/>
  <c r="V100" i="6"/>
  <c r="AB99" i="6"/>
  <c r="AA99" i="6"/>
  <c r="Z99" i="6"/>
  <c r="Y99" i="6"/>
  <c r="W99" i="6"/>
  <c r="V99" i="6"/>
  <c r="AB98" i="6"/>
  <c r="AA98" i="6"/>
  <c r="Z98" i="6"/>
  <c r="Y98" i="6"/>
  <c r="W98" i="6"/>
  <c r="V98" i="6"/>
  <c r="AB97" i="6"/>
  <c r="AA97" i="6"/>
  <c r="Z97" i="6"/>
  <c r="Y97" i="6"/>
  <c r="W97" i="6"/>
  <c r="V97" i="6"/>
  <c r="AB96" i="6"/>
  <c r="AA96" i="6"/>
  <c r="Z96" i="6"/>
  <c r="Y96" i="6"/>
  <c r="W96" i="6"/>
  <c r="V96" i="6"/>
  <c r="AB95" i="6"/>
  <c r="AA95" i="6"/>
  <c r="Z95" i="6"/>
  <c r="Y95" i="6"/>
  <c r="W95" i="6"/>
  <c r="V95" i="6"/>
  <c r="AB94" i="6"/>
  <c r="AA94" i="6"/>
  <c r="Z94" i="6"/>
  <c r="Y94" i="6"/>
  <c r="W94" i="6"/>
  <c r="V94" i="6"/>
  <c r="AB93" i="6"/>
  <c r="AA93" i="6"/>
  <c r="Z93" i="6"/>
  <c r="Y93" i="6"/>
  <c r="W93" i="6"/>
  <c r="V93" i="6"/>
  <c r="AB92" i="6"/>
  <c r="AA92" i="6"/>
  <c r="Z92" i="6"/>
  <c r="Y92" i="6"/>
  <c r="W92" i="6"/>
  <c r="V92" i="6"/>
  <c r="AB91" i="6"/>
  <c r="AA91" i="6"/>
  <c r="Z91" i="6"/>
  <c r="Y91" i="6"/>
  <c r="W91" i="6"/>
  <c r="V91" i="6"/>
  <c r="AB90" i="6"/>
  <c r="AA90" i="6"/>
  <c r="Z90" i="6"/>
  <c r="Y90" i="6"/>
  <c r="W90" i="6"/>
  <c r="V90" i="6"/>
  <c r="AB89" i="6"/>
  <c r="AA89" i="6"/>
  <c r="Z89" i="6"/>
  <c r="Y89" i="6"/>
  <c r="W89" i="6"/>
  <c r="V89" i="6"/>
  <c r="AB88" i="6"/>
  <c r="AA88" i="6"/>
  <c r="Z88" i="6"/>
  <c r="Y88" i="6"/>
  <c r="W88" i="6"/>
  <c r="V88" i="6"/>
  <c r="AB87" i="6"/>
  <c r="AA87" i="6"/>
  <c r="Z87" i="6"/>
  <c r="Y87" i="6"/>
  <c r="W87" i="6"/>
  <c r="V87" i="6"/>
  <c r="AB86" i="6"/>
  <c r="AA86" i="6"/>
  <c r="Z86" i="6"/>
  <c r="Y86" i="6"/>
  <c r="W86" i="6"/>
  <c r="V86" i="6"/>
  <c r="AB85" i="6"/>
  <c r="AA85" i="6"/>
  <c r="Z85" i="6"/>
  <c r="Y85" i="6"/>
  <c r="W85" i="6"/>
  <c r="V85" i="6"/>
  <c r="AB84" i="6"/>
  <c r="AA84" i="6"/>
  <c r="Z84" i="6"/>
  <c r="Y84" i="6"/>
  <c r="W84" i="6"/>
  <c r="V84" i="6"/>
  <c r="AB83" i="6"/>
  <c r="AA83" i="6"/>
  <c r="Z83" i="6"/>
  <c r="Y83" i="6"/>
  <c r="W83" i="6"/>
  <c r="V83" i="6"/>
  <c r="AB82" i="6"/>
  <c r="AA82" i="6"/>
  <c r="Z82" i="6"/>
  <c r="Y82" i="6"/>
  <c r="W82" i="6"/>
  <c r="V82" i="6"/>
  <c r="AB81" i="6"/>
  <c r="AA81" i="6"/>
  <c r="Z81" i="6"/>
  <c r="Y81" i="6"/>
  <c r="W81" i="6"/>
  <c r="V81" i="6"/>
  <c r="AB80" i="6"/>
  <c r="AA80" i="6"/>
  <c r="Z80" i="6"/>
  <c r="Y80" i="6"/>
  <c r="W80" i="6"/>
  <c r="V80" i="6"/>
  <c r="AB79" i="6"/>
  <c r="AA79" i="6"/>
  <c r="Z79" i="6"/>
  <c r="Y79" i="6"/>
  <c r="W79" i="6"/>
  <c r="V79" i="6"/>
  <c r="AB78" i="6"/>
  <c r="AA78" i="6"/>
  <c r="Z78" i="6"/>
  <c r="Y78" i="6"/>
  <c r="W78" i="6"/>
  <c r="V78" i="6"/>
  <c r="AB77" i="6"/>
  <c r="AA77" i="6"/>
  <c r="Z77" i="6"/>
  <c r="Y77" i="6"/>
  <c r="W77" i="6"/>
  <c r="V77" i="6"/>
  <c r="AB76" i="6"/>
  <c r="AA76" i="6"/>
  <c r="Z76" i="6"/>
  <c r="Y76" i="6"/>
  <c r="W76" i="6"/>
  <c r="V76" i="6"/>
  <c r="AB75" i="6"/>
  <c r="AA75" i="6"/>
  <c r="Z75" i="6"/>
  <c r="Y75" i="6"/>
  <c r="W75" i="6"/>
  <c r="V75" i="6"/>
  <c r="AB74" i="6"/>
  <c r="AA74" i="6"/>
  <c r="Z74" i="6"/>
  <c r="Y74" i="6"/>
  <c r="W74" i="6"/>
  <c r="V74" i="6"/>
  <c r="AB73" i="6"/>
  <c r="AA73" i="6"/>
  <c r="Z73" i="6"/>
  <c r="Y73" i="6"/>
  <c r="W73" i="6"/>
  <c r="V73" i="6"/>
  <c r="AB72" i="6"/>
  <c r="AA72" i="6"/>
  <c r="Z72" i="6"/>
  <c r="Y72" i="6"/>
  <c r="W72" i="6"/>
  <c r="V72" i="6"/>
  <c r="AB71" i="6"/>
  <c r="AA71" i="6"/>
  <c r="Z71" i="6"/>
  <c r="Y71" i="6"/>
  <c r="W71" i="6"/>
  <c r="V71" i="6"/>
  <c r="AB70" i="6"/>
  <c r="AA70" i="6"/>
  <c r="Z70" i="6"/>
  <c r="Y70" i="6"/>
  <c r="W70" i="6"/>
  <c r="V70" i="6"/>
  <c r="AB69" i="6"/>
  <c r="AA69" i="6"/>
  <c r="Z69" i="6"/>
  <c r="Y69" i="6"/>
  <c r="W69" i="6"/>
  <c r="V69" i="6"/>
  <c r="AB68" i="6"/>
  <c r="AA68" i="6"/>
  <c r="Z68" i="6"/>
  <c r="Y68" i="6"/>
  <c r="W68" i="6"/>
  <c r="V68" i="6"/>
  <c r="AB67" i="6"/>
  <c r="AA67" i="6"/>
  <c r="Z67" i="6"/>
  <c r="Y67" i="6"/>
  <c r="W67" i="6"/>
  <c r="V67" i="6"/>
  <c r="AB66" i="6"/>
  <c r="AA66" i="6"/>
  <c r="Z66" i="6"/>
  <c r="Y66" i="6"/>
  <c r="W66" i="6"/>
  <c r="V66" i="6"/>
  <c r="AB65" i="6"/>
  <c r="AA65" i="6"/>
  <c r="Z65" i="6"/>
  <c r="Y65" i="6"/>
  <c r="W65" i="6"/>
  <c r="V65" i="6"/>
  <c r="AB64" i="6"/>
  <c r="AA64" i="6"/>
  <c r="Z64" i="6"/>
  <c r="Y64" i="6"/>
  <c r="W64" i="6"/>
  <c r="V64" i="6"/>
  <c r="AB63" i="6"/>
  <c r="AA63" i="6"/>
  <c r="Z63" i="6"/>
  <c r="Y63" i="6"/>
  <c r="W63" i="6"/>
  <c r="V63" i="6"/>
  <c r="AB62" i="6"/>
  <c r="AA62" i="6"/>
  <c r="Z62" i="6"/>
  <c r="Y62" i="6"/>
  <c r="W62" i="6"/>
  <c r="V62" i="6"/>
  <c r="AB61" i="6"/>
  <c r="AA61" i="6"/>
  <c r="Z61" i="6"/>
  <c r="Y61" i="6"/>
  <c r="W61" i="6"/>
  <c r="V61" i="6"/>
  <c r="AB60" i="6"/>
  <c r="AA60" i="6"/>
  <c r="Z60" i="6"/>
  <c r="Y60" i="6"/>
  <c r="W60" i="6"/>
  <c r="V60" i="6"/>
  <c r="AB59" i="6"/>
  <c r="AA59" i="6"/>
  <c r="Z59" i="6"/>
  <c r="Y59" i="6"/>
  <c r="W59" i="6"/>
  <c r="V59" i="6"/>
  <c r="AB58" i="6"/>
  <c r="AA58" i="6"/>
  <c r="Z58" i="6"/>
  <c r="Y58" i="6"/>
  <c r="W58" i="6"/>
  <c r="V58" i="6"/>
  <c r="AB57" i="6"/>
  <c r="AA57" i="6"/>
  <c r="Z57" i="6"/>
  <c r="Y57" i="6"/>
  <c r="W57" i="6"/>
  <c r="V57" i="6"/>
  <c r="AB56" i="6"/>
  <c r="AA56" i="6"/>
  <c r="Z56" i="6"/>
  <c r="Y56" i="6"/>
  <c r="W56" i="6"/>
  <c r="V56" i="6"/>
  <c r="AB55" i="6"/>
  <c r="AA55" i="6"/>
  <c r="Z55" i="6"/>
  <c r="Y55" i="6"/>
  <c r="W55" i="6"/>
  <c r="V55" i="6"/>
  <c r="AB54" i="6"/>
  <c r="AA54" i="6"/>
  <c r="Z54" i="6"/>
  <c r="Y54" i="6"/>
  <c r="W54" i="6"/>
  <c r="V54" i="6"/>
  <c r="AB53" i="6"/>
  <c r="AA53" i="6"/>
  <c r="Z53" i="6"/>
  <c r="Y53" i="6"/>
  <c r="W53" i="6"/>
  <c r="V53" i="6"/>
  <c r="AB52" i="6"/>
  <c r="AA52" i="6"/>
  <c r="Z52" i="6"/>
  <c r="Y52" i="6"/>
  <c r="W52" i="6"/>
  <c r="V52" i="6"/>
  <c r="AB51" i="6"/>
  <c r="AA51" i="6"/>
  <c r="Z51" i="6"/>
  <c r="Y51" i="6"/>
  <c r="W51" i="6"/>
  <c r="V51" i="6"/>
  <c r="AB50" i="6"/>
  <c r="AA50" i="6"/>
  <c r="Z50" i="6"/>
  <c r="Y50" i="6"/>
  <c r="W50" i="6"/>
  <c r="V50" i="6"/>
  <c r="AB49" i="6"/>
  <c r="AA49" i="6"/>
  <c r="Z49" i="6"/>
  <c r="Y49" i="6"/>
  <c r="W49" i="6"/>
  <c r="V49" i="6"/>
  <c r="AB48" i="6"/>
  <c r="AA48" i="6"/>
  <c r="Z48" i="6"/>
  <c r="Y48" i="6"/>
  <c r="W48" i="6"/>
  <c r="V48" i="6"/>
  <c r="AB47" i="6"/>
  <c r="AA47" i="6"/>
  <c r="Z47" i="6"/>
  <c r="Y47" i="6"/>
  <c r="W47" i="6"/>
  <c r="V47" i="6"/>
  <c r="AB46" i="6"/>
  <c r="AA46" i="6"/>
  <c r="Z46" i="6"/>
  <c r="Y46" i="6"/>
  <c r="W46" i="6"/>
  <c r="V46" i="6"/>
  <c r="AB45" i="6"/>
  <c r="AA45" i="6"/>
  <c r="Z45" i="6"/>
  <c r="Y45" i="6"/>
  <c r="W45" i="6"/>
  <c r="V45" i="6"/>
  <c r="AB44" i="6"/>
  <c r="AA44" i="6"/>
  <c r="Z44" i="6"/>
  <c r="Y44" i="6"/>
  <c r="W44" i="6"/>
  <c r="V44" i="6"/>
  <c r="AB43" i="6"/>
  <c r="AA43" i="6"/>
  <c r="Z43" i="6"/>
  <c r="Y43" i="6"/>
  <c r="W43" i="6"/>
  <c r="V43" i="6"/>
  <c r="AB42" i="6"/>
  <c r="AA42" i="6"/>
  <c r="Z42" i="6"/>
  <c r="Y42" i="6"/>
  <c r="W42" i="6"/>
  <c r="V42" i="6"/>
  <c r="AB41" i="6"/>
  <c r="AA41" i="6"/>
  <c r="Z41" i="6"/>
  <c r="Y41" i="6"/>
  <c r="W41" i="6"/>
  <c r="V41" i="6"/>
  <c r="AB40" i="6"/>
  <c r="AA40" i="6"/>
  <c r="Z40" i="6"/>
  <c r="Y40" i="6"/>
  <c r="W40" i="6"/>
  <c r="V40" i="6"/>
  <c r="AB39" i="6"/>
  <c r="AA39" i="6"/>
  <c r="Z39" i="6"/>
  <c r="Y39" i="6"/>
  <c r="W39" i="6"/>
  <c r="V39" i="6"/>
  <c r="AB38" i="6"/>
  <c r="AA38" i="6"/>
  <c r="Z38" i="6"/>
  <c r="Y38" i="6"/>
  <c r="W38" i="6"/>
  <c r="V38" i="6"/>
  <c r="AB37" i="6"/>
  <c r="AA37" i="6"/>
  <c r="Z37" i="6"/>
  <c r="Y37" i="6"/>
  <c r="W37" i="6"/>
  <c r="V37" i="6"/>
  <c r="AB36" i="6"/>
  <c r="AA36" i="6"/>
  <c r="Z36" i="6"/>
  <c r="Y36" i="6"/>
  <c r="W36" i="6"/>
  <c r="V36" i="6"/>
  <c r="AB35" i="6"/>
  <c r="AA35" i="6"/>
  <c r="Z35" i="6"/>
  <c r="Y35" i="6"/>
  <c r="W35" i="6"/>
  <c r="V35" i="6"/>
  <c r="AB34" i="6"/>
  <c r="AA34" i="6"/>
  <c r="Z34" i="6"/>
  <c r="Y34" i="6"/>
  <c r="W34" i="6"/>
  <c r="V34" i="6"/>
  <c r="AB33" i="6"/>
  <c r="AA33" i="6"/>
  <c r="Z33" i="6"/>
  <c r="Y33" i="6"/>
  <c r="W33" i="6"/>
  <c r="V33" i="6"/>
  <c r="AB32" i="6"/>
  <c r="AA32" i="6"/>
  <c r="Z32" i="6"/>
  <c r="Y32" i="6"/>
  <c r="W32" i="6"/>
  <c r="V32" i="6"/>
  <c r="AB31" i="6"/>
  <c r="AA31" i="6"/>
  <c r="Z31" i="6"/>
  <c r="Y31" i="6"/>
  <c r="W31" i="6"/>
  <c r="V31" i="6"/>
  <c r="AB30" i="6"/>
  <c r="AA30" i="6"/>
  <c r="Z30" i="6"/>
  <c r="Y30" i="6"/>
  <c r="W30" i="6"/>
  <c r="V30" i="6"/>
  <c r="AB29" i="6"/>
  <c r="AA29" i="6"/>
  <c r="Z29" i="6"/>
  <c r="Y29" i="6"/>
  <c r="W29" i="6"/>
  <c r="V29" i="6"/>
  <c r="AB28" i="6"/>
  <c r="AA28" i="6"/>
  <c r="Z28" i="6"/>
  <c r="Y28" i="6"/>
  <c r="W28" i="6"/>
  <c r="V28" i="6"/>
  <c r="AB27" i="6"/>
  <c r="AA27" i="6"/>
  <c r="Z27" i="6"/>
  <c r="Y27" i="6"/>
  <c r="W27" i="6"/>
  <c r="V27" i="6"/>
  <c r="AB26" i="6"/>
  <c r="AA26" i="6"/>
  <c r="Z26" i="6"/>
  <c r="Y26" i="6"/>
  <c r="W26" i="6"/>
  <c r="V26" i="6"/>
  <c r="AB25" i="6"/>
  <c r="AA25" i="6"/>
  <c r="Z25" i="6"/>
  <c r="Y25" i="6"/>
  <c r="W25" i="6"/>
  <c r="V25" i="6"/>
  <c r="AB24" i="6"/>
  <c r="AA24" i="6"/>
  <c r="Z24" i="6"/>
  <c r="Y24" i="6"/>
  <c r="W24" i="6"/>
  <c r="V24" i="6"/>
  <c r="AB23" i="6"/>
  <c r="AA23" i="6"/>
  <c r="Z23" i="6"/>
  <c r="Y23" i="6"/>
  <c r="W23" i="6"/>
  <c r="V23" i="6"/>
  <c r="AB22" i="6"/>
  <c r="AA22" i="6"/>
  <c r="Z22" i="6"/>
  <c r="Y22" i="6"/>
  <c r="W22" i="6"/>
  <c r="V22" i="6"/>
  <c r="AB21" i="6"/>
  <c r="AA21" i="6"/>
  <c r="Z21" i="6"/>
  <c r="Y21" i="6"/>
  <c r="W21" i="6"/>
  <c r="V21" i="6"/>
  <c r="AB20" i="6"/>
  <c r="AA20" i="6"/>
  <c r="Z20" i="6"/>
  <c r="Y20" i="6"/>
  <c r="W20" i="6"/>
  <c r="V20" i="6"/>
  <c r="AB19" i="6"/>
  <c r="AA19" i="6"/>
  <c r="Z19" i="6"/>
  <c r="Y19" i="6"/>
  <c r="W19" i="6"/>
  <c r="V19" i="6"/>
  <c r="AB18" i="6"/>
  <c r="AA18" i="6"/>
  <c r="Z18" i="6"/>
  <c r="Y18" i="6"/>
  <c r="W18" i="6"/>
  <c r="V18" i="6"/>
  <c r="AB17" i="6"/>
  <c r="AA17" i="6"/>
  <c r="Z17" i="6"/>
  <c r="Y17" i="6"/>
  <c r="W17" i="6"/>
  <c r="V17" i="6"/>
  <c r="AB16" i="6"/>
  <c r="AA16" i="6"/>
  <c r="Z16" i="6"/>
  <c r="Y16" i="6"/>
  <c r="W16" i="6"/>
  <c r="V16" i="6"/>
  <c r="AB15" i="6"/>
  <c r="AA15" i="6"/>
  <c r="Z15" i="6"/>
  <c r="Y15" i="6"/>
  <c r="W15" i="6"/>
  <c r="V15" i="6"/>
  <c r="AB14" i="6"/>
  <c r="AA14" i="6"/>
  <c r="Z14" i="6"/>
  <c r="Y14" i="6"/>
  <c r="W14" i="6"/>
  <c r="V14" i="6"/>
  <c r="AB13" i="6"/>
  <c r="AA13" i="6"/>
  <c r="Z13" i="6"/>
  <c r="Y13" i="6"/>
  <c r="W13" i="6"/>
  <c r="V13" i="6"/>
  <c r="AB12" i="6"/>
  <c r="AA12" i="6"/>
  <c r="Z12" i="6"/>
  <c r="Y12" i="6"/>
  <c r="W12" i="6"/>
  <c r="V12" i="6"/>
  <c r="AB11" i="6"/>
  <c r="AA11" i="6"/>
  <c r="Z11" i="6"/>
  <c r="Y11" i="6"/>
  <c r="W11" i="6"/>
  <c r="V11" i="6"/>
  <c r="AB10" i="6"/>
  <c r="AA10" i="6"/>
  <c r="Z10" i="6"/>
  <c r="Y10" i="6"/>
  <c r="W10" i="6"/>
  <c r="V10" i="6"/>
  <c r="AB9" i="6"/>
  <c r="AA9" i="6"/>
  <c r="Z9" i="6"/>
  <c r="Y9" i="6"/>
  <c r="W9" i="6"/>
  <c r="V9" i="6"/>
  <c r="AB8" i="6"/>
  <c r="AA8" i="6"/>
  <c r="Z8" i="6"/>
  <c r="Y8" i="6"/>
  <c r="W8" i="6"/>
  <c r="V8" i="6"/>
  <c r="AB7" i="6"/>
  <c r="AA7" i="6"/>
  <c r="Z7" i="6"/>
  <c r="Y7" i="6"/>
  <c r="W7" i="6"/>
  <c r="V7" i="6"/>
  <c r="AB6" i="6"/>
  <c r="AA6" i="6"/>
  <c r="Z6" i="6"/>
  <c r="Y6" i="6"/>
  <c r="W6" i="6"/>
  <c r="V6" i="6"/>
  <c r="AB5" i="6"/>
  <c r="AA5" i="6"/>
  <c r="Z5" i="6"/>
  <c r="Y5" i="6"/>
  <c r="W5" i="6"/>
  <c r="V5" i="6"/>
  <c r="AB4" i="6"/>
  <c r="AA4" i="6"/>
  <c r="Z4" i="6"/>
  <c r="Y4" i="6"/>
  <c r="W4" i="6"/>
  <c r="V4" i="6"/>
  <c r="AB3" i="6"/>
  <c r="AA3" i="6"/>
  <c r="Z3" i="6"/>
  <c r="Y3" i="6"/>
  <c r="W3" i="6"/>
  <c r="V3" i="6"/>
  <c r="AB2" i="6"/>
  <c r="AA2" i="6"/>
  <c r="Z2" i="6"/>
  <c r="Y2" i="6"/>
  <c r="W2" i="6"/>
  <c r="V2" i="6"/>
  <c r="S2" i="3"/>
  <c r="T2" i="3"/>
  <c r="S3" i="3"/>
  <c r="T3" i="3"/>
  <c r="S4" i="3"/>
  <c r="T4" i="3"/>
  <c r="S5" i="3"/>
  <c r="T5" i="3"/>
  <c r="S6" i="3"/>
  <c r="T6" i="3"/>
  <c r="S7" i="3"/>
  <c r="T7" i="3"/>
  <c r="S8" i="3"/>
  <c r="T8" i="3"/>
  <c r="S9" i="3"/>
  <c r="T9" i="3"/>
  <c r="S10" i="3"/>
  <c r="T10" i="3"/>
  <c r="S11" i="3"/>
  <c r="T11" i="3"/>
  <c r="S12" i="3"/>
  <c r="T12" i="3"/>
  <c r="S13" i="3"/>
  <c r="T13" i="3"/>
  <c r="S14" i="3"/>
  <c r="T14" i="3"/>
  <c r="S15" i="3"/>
  <c r="T15" i="3"/>
  <c r="S16" i="3"/>
  <c r="T16" i="3"/>
  <c r="S17" i="3"/>
  <c r="T17" i="3"/>
  <c r="S18" i="3"/>
  <c r="T18" i="3"/>
  <c r="S19" i="3"/>
  <c r="T19" i="3"/>
  <c r="S20" i="3"/>
  <c r="T20" i="3"/>
  <c r="S21" i="3"/>
  <c r="T21" i="3"/>
  <c r="S22" i="3"/>
  <c r="T22" i="3"/>
  <c r="S23" i="3"/>
  <c r="T23" i="3"/>
  <c r="S24" i="3"/>
  <c r="T24" i="3"/>
  <c r="S25" i="3"/>
  <c r="T25" i="3"/>
  <c r="S26" i="3"/>
  <c r="T26" i="3"/>
  <c r="S27" i="3"/>
  <c r="T27" i="3"/>
  <c r="S28" i="3"/>
  <c r="T28" i="3"/>
  <c r="S29" i="3"/>
  <c r="T29" i="3"/>
  <c r="S30" i="3"/>
  <c r="T30" i="3"/>
  <c r="S31" i="3"/>
  <c r="T31" i="3"/>
  <c r="S32" i="3"/>
  <c r="T32" i="3"/>
  <c r="S33" i="3"/>
  <c r="T33" i="3"/>
  <c r="S34" i="3"/>
  <c r="T34" i="3"/>
  <c r="S35" i="3"/>
  <c r="T35" i="3"/>
  <c r="S36" i="3"/>
  <c r="T36" i="3"/>
  <c r="S37" i="3"/>
  <c r="T37" i="3"/>
  <c r="S38" i="3"/>
  <c r="T38" i="3"/>
  <c r="S39" i="3"/>
  <c r="T39" i="3"/>
  <c r="S40" i="3"/>
  <c r="T40" i="3"/>
  <c r="S41" i="3"/>
  <c r="T41" i="3"/>
  <c r="S42" i="3"/>
  <c r="T42" i="3"/>
  <c r="S43" i="3"/>
  <c r="T43" i="3"/>
  <c r="S44" i="3"/>
  <c r="T44" i="3"/>
  <c r="S45" i="3"/>
  <c r="T45" i="3"/>
  <c r="S46" i="3"/>
  <c r="T46" i="3"/>
  <c r="S47" i="3"/>
  <c r="T47" i="3"/>
  <c r="S48" i="3"/>
  <c r="T48" i="3"/>
  <c r="S49" i="3"/>
  <c r="T49" i="3"/>
  <c r="S50" i="3"/>
  <c r="T50" i="3"/>
  <c r="S51" i="3"/>
  <c r="T51" i="3"/>
  <c r="S52" i="3"/>
  <c r="T52" i="3"/>
  <c r="S53" i="3"/>
  <c r="T53" i="3"/>
  <c r="S54" i="3"/>
  <c r="T54" i="3"/>
  <c r="S55" i="3"/>
  <c r="T55" i="3"/>
  <c r="S56" i="3"/>
  <c r="T56" i="3"/>
  <c r="S57" i="3"/>
  <c r="T57" i="3"/>
  <c r="S58" i="3"/>
  <c r="T58" i="3"/>
  <c r="S59" i="3"/>
  <c r="T59" i="3"/>
  <c r="S60" i="3"/>
  <c r="T60" i="3"/>
  <c r="S61" i="3"/>
  <c r="T61" i="3"/>
  <c r="S62" i="3"/>
  <c r="T62" i="3"/>
  <c r="S63" i="3"/>
  <c r="T63" i="3"/>
  <c r="S64" i="3"/>
  <c r="T64" i="3"/>
  <c r="S65" i="3"/>
  <c r="T65" i="3"/>
  <c r="S66" i="3"/>
  <c r="T66" i="3"/>
  <c r="S67" i="3"/>
  <c r="T67" i="3"/>
  <c r="S68" i="3"/>
  <c r="T68" i="3"/>
  <c r="S69" i="3"/>
  <c r="T69" i="3"/>
  <c r="S70" i="3"/>
  <c r="T70" i="3"/>
  <c r="S71" i="3"/>
  <c r="T71" i="3"/>
  <c r="S72" i="3"/>
  <c r="T72" i="3"/>
  <c r="S73" i="3"/>
  <c r="T73" i="3"/>
  <c r="S74" i="3"/>
  <c r="T74" i="3"/>
  <c r="S75" i="3"/>
  <c r="T75" i="3"/>
  <c r="S76" i="3"/>
  <c r="T76" i="3"/>
  <c r="S77" i="3"/>
  <c r="T77" i="3"/>
  <c r="S78" i="3"/>
  <c r="T78" i="3"/>
  <c r="S79" i="3"/>
  <c r="T79" i="3"/>
  <c r="S80" i="3"/>
  <c r="T80" i="3"/>
  <c r="S81" i="3"/>
  <c r="T81" i="3"/>
  <c r="S82" i="3"/>
  <c r="T82" i="3"/>
  <c r="S83" i="3"/>
  <c r="T83" i="3"/>
  <c r="S84" i="3"/>
  <c r="T84" i="3"/>
  <c r="S85" i="3"/>
  <c r="T85" i="3"/>
  <c r="S86" i="3"/>
  <c r="T86" i="3"/>
  <c r="S87" i="3"/>
  <c r="T87" i="3"/>
  <c r="S88" i="3"/>
  <c r="T88" i="3"/>
  <c r="S89" i="3"/>
  <c r="T89" i="3"/>
  <c r="S90" i="3"/>
  <c r="T90" i="3"/>
  <c r="S91" i="3"/>
  <c r="T91" i="3"/>
  <c r="S92" i="3"/>
  <c r="T92" i="3"/>
  <c r="S93" i="3"/>
  <c r="T93" i="3"/>
  <c r="S94" i="3"/>
  <c r="T94" i="3"/>
  <c r="S95" i="3"/>
  <c r="T95" i="3"/>
  <c r="S96" i="3"/>
  <c r="T96" i="3"/>
  <c r="S97" i="3"/>
  <c r="T97" i="3"/>
  <c r="S98" i="3"/>
  <c r="T98" i="3"/>
  <c r="S99" i="3"/>
  <c r="T99" i="3"/>
  <c r="S100" i="3"/>
  <c r="T100" i="3"/>
  <c r="S101" i="3"/>
  <c r="T101" i="3"/>
  <c r="S102" i="3"/>
  <c r="T102" i="3"/>
  <c r="S103" i="3"/>
  <c r="T103" i="3"/>
  <c r="S104" i="3"/>
  <c r="T104" i="3"/>
  <c r="S105" i="3"/>
  <c r="T105" i="3"/>
  <c r="S106" i="3"/>
  <c r="T106" i="3"/>
  <c r="S107" i="3"/>
  <c r="T107" i="3"/>
  <c r="S108" i="3"/>
  <c r="T108" i="3"/>
  <c r="S109" i="3"/>
  <c r="T109" i="3"/>
  <c r="T110" i="3"/>
  <c r="CG58" i="1"/>
  <c r="CG62" i="1"/>
  <c r="CG54" i="1"/>
  <c r="CG6" i="1"/>
  <c r="CG34" i="1"/>
  <c r="CG10" i="1"/>
  <c r="CG98" i="1"/>
  <c r="CG106" i="1"/>
  <c r="CG86" i="1"/>
  <c r="CG102" i="1"/>
  <c r="CG82" i="1"/>
  <c r="CG74" i="1"/>
  <c r="CG103" i="1"/>
  <c r="CG59" i="1"/>
  <c r="CG75" i="1"/>
  <c r="CG87" i="1"/>
  <c r="CG7" i="1"/>
  <c r="CG90" i="1"/>
  <c r="CG107" i="1"/>
  <c r="CG70" i="1"/>
  <c r="CG78" i="1"/>
  <c r="CG14" i="1"/>
  <c r="CG99" i="1"/>
  <c r="CG66" i="1"/>
  <c r="CG42" i="1"/>
  <c r="CG26" i="1"/>
  <c r="CG38" i="1"/>
  <c r="CG30" i="1"/>
  <c r="CG94" i="1"/>
  <c r="CG18" i="1"/>
  <c r="CG15" i="1"/>
  <c r="CG55" i="1"/>
  <c r="CG50" i="1"/>
  <c r="CG43" i="1"/>
  <c r="CG35" i="1"/>
  <c r="CG83" i="1"/>
  <c r="CG95" i="1"/>
  <c r="CG19" i="1"/>
  <c r="CG91" i="1"/>
  <c r="CG2" i="1"/>
  <c r="CG39" i="1"/>
  <c r="CG3" i="1"/>
  <c r="CG31" i="1"/>
  <c r="CG22" i="1"/>
  <c r="CG23" i="1"/>
  <c r="CG27" i="1"/>
  <c r="CG67" i="1"/>
  <c r="CG51" i="1"/>
  <c r="CG11" i="1"/>
  <c r="CG71" i="1"/>
  <c r="CG46" i="1"/>
  <c r="CG47" i="1"/>
  <c r="CG63" i="1"/>
  <c r="CG79" i="1"/>
  <c r="CG48" i="1"/>
  <c r="CG44" i="1"/>
  <c r="CG84" i="1"/>
  <c r="CG104" i="1"/>
  <c r="CG72" i="1"/>
  <c r="CG96" i="1"/>
  <c r="CG28" i="1"/>
  <c r="CG24" i="1"/>
  <c r="CG25" i="1"/>
  <c r="CG40" i="1"/>
  <c r="CG64" i="1"/>
  <c r="CG4" i="1"/>
  <c r="CG76" i="1"/>
  <c r="CG36" i="1"/>
  <c r="CG20" i="1"/>
  <c r="CG88" i="1"/>
  <c r="CG12" i="1"/>
  <c r="CG100" i="1"/>
  <c r="CG60" i="1"/>
  <c r="CG56" i="1"/>
  <c r="CG29" i="1"/>
  <c r="CG8" i="1"/>
  <c r="CG5" i="1"/>
  <c r="CG9" i="1"/>
  <c r="CG68" i="1"/>
  <c r="CG97" i="1"/>
  <c r="CG32" i="1"/>
  <c r="CG89" i="1"/>
  <c r="CG77" i="1"/>
  <c r="CG101" i="1"/>
  <c r="CG85" i="1"/>
  <c r="CG73" i="1"/>
  <c r="CG52" i="1"/>
  <c r="CG65" i="1"/>
  <c r="CG16" i="1"/>
  <c r="CG69" i="1"/>
  <c r="CG92" i="1"/>
  <c r="CG33" i="1"/>
  <c r="CG49" i="1"/>
  <c r="CG17" i="1"/>
  <c r="CG37" i="1"/>
  <c r="CG41" i="1"/>
  <c r="CG80" i="1"/>
  <c r="CG105" i="1"/>
  <c r="CG108" i="1"/>
  <c r="CG93" i="1"/>
  <c r="CG57" i="1"/>
  <c r="CG21" i="1"/>
  <c r="CG45" i="1"/>
  <c r="CG53" i="1"/>
  <c r="CG61" i="1"/>
  <c r="CG81" i="1"/>
  <c r="CG109" i="1"/>
  <c r="CG13" i="1"/>
  <c r="CA13" i="1"/>
  <c r="CB13" i="1"/>
  <c r="CC13" i="1"/>
  <c r="CD13" i="1"/>
  <c r="CE13" i="1"/>
  <c r="CF13" i="1"/>
  <c r="CH13" i="1"/>
  <c r="BC13" i="1"/>
  <c r="BD13" i="1"/>
  <c r="BE13" i="1"/>
  <c r="BF13" i="1"/>
  <c r="BG13" i="1"/>
  <c r="BH13" i="1"/>
  <c r="BI13" i="1"/>
  <c r="BJ13" i="1"/>
  <c r="CI13" i="1"/>
  <c r="BK13" i="1"/>
  <c r="BL13" i="1"/>
  <c r="BM13" i="1"/>
  <c r="BN13" i="1"/>
  <c r="BO13" i="1"/>
  <c r="BP13" i="1"/>
  <c r="BQ13" i="1"/>
  <c r="BR13" i="1"/>
  <c r="CJ13" i="1"/>
  <c r="BS13" i="1"/>
  <c r="BT13" i="1"/>
  <c r="BU13" i="1"/>
  <c r="BV13" i="1"/>
  <c r="BW13" i="1"/>
  <c r="BX13" i="1"/>
  <c r="BY13" i="1"/>
  <c r="BZ13" i="1"/>
  <c r="CK13" i="1"/>
  <c r="CL13" i="1"/>
  <c r="AZ13" i="1"/>
  <c r="BA13" i="1"/>
  <c r="BB13" i="1"/>
  <c r="AY13" i="1"/>
  <c r="AV13" i="1"/>
  <c r="AW13" i="1"/>
  <c r="AX13" i="1"/>
  <c r="AU13" i="1"/>
  <c r="AT13" i="1"/>
  <c r="AS13" i="1"/>
  <c r="CA109" i="1"/>
  <c r="CB109" i="1"/>
  <c r="CC109" i="1"/>
  <c r="CD109" i="1"/>
  <c r="CE109" i="1"/>
  <c r="CF109" i="1"/>
  <c r="CH109" i="1"/>
  <c r="BC109" i="1"/>
  <c r="BD109" i="1"/>
  <c r="BE109" i="1"/>
  <c r="BF109" i="1"/>
  <c r="BG109" i="1"/>
  <c r="BH109" i="1"/>
  <c r="BI109" i="1"/>
  <c r="BJ109" i="1"/>
  <c r="CI109" i="1"/>
  <c r="BK109" i="1"/>
  <c r="BL109" i="1"/>
  <c r="BM109" i="1"/>
  <c r="BN109" i="1"/>
  <c r="BO109" i="1"/>
  <c r="BP109" i="1"/>
  <c r="BQ109" i="1"/>
  <c r="BR109" i="1"/>
  <c r="CJ109" i="1"/>
  <c r="BS109" i="1"/>
  <c r="BT109" i="1"/>
  <c r="BU109" i="1"/>
  <c r="BV109" i="1"/>
  <c r="BW109" i="1"/>
  <c r="BX109" i="1"/>
  <c r="BY109" i="1"/>
  <c r="BZ109" i="1"/>
  <c r="CK109" i="1"/>
  <c r="CL109" i="1"/>
  <c r="AZ109" i="1"/>
  <c r="BA109" i="1"/>
  <c r="BB109" i="1"/>
  <c r="AY109" i="1"/>
  <c r="AV109" i="1"/>
  <c r="AW109" i="1"/>
  <c r="AX109" i="1"/>
  <c r="AU109" i="1"/>
  <c r="AT109" i="1"/>
  <c r="AS109" i="1"/>
  <c r="CA81" i="1"/>
  <c r="CB81" i="1"/>
  <c r="CC81" i="1"/>
  <c r="CD81" i="1"/>
  <c r="CE81" i="1"/>
  <c r="CF81" i="1"/>
  <c r="CH81" i="1"/>
  <c r="BC81" i="1"/>
  <c r="BD81" i="1"/>
  <c r="BE81" i="1"/>
  <c r="BF81" i="1"/>
  <c r="BG81" i="1"/>
  <c r="BH81" i="1"/>
  <c r="BI81" i="1"/>
  <c r="BJ81" i="1"/>
  <c r="CI81" i="1"/>
  <c r="BK81" i="1"/>
  <c r="BL81" i="1"/>
  <c r="BM81" i="1"/>
  <c r="BN81" i="1"/>
  <c r="BO81" i="1"/>
  <c r="BP81" i="1"/>
  <c r="BQ81" i="1"/>
  <c r="BR81" i="1"/>
  <c r="CJ81" i="1"/>
  <c r="BS81" i="1"/>
  <c r="BT81" i="1"/>
  <c r="BU81" i="1"/>
  <c r="BV81" i="1"/>
  <c r="BW81" i="1"/>
  <c r="BX81" i="1"/>
  <c r="BY81" i="1"/>
  <c r="BZ81" i="1"/>
  <c r="CK81" i="1"/>
  <c r="CL81" i="1"/>
  <c r="AZ81" i="1"/>
  <c r="BA81" i="1"/>
  <c r="BB81" i="1"/>
  <c r="AY81" i="1"/>
  <c r="AV81" i="1"/>
  <c r="AW81" i="1"/>
  <c r="AX81" i="1"/>
  <c r="AU81" i="1"/>
  <c r="AT81" i="1"/>
  <c r="AS81" i="1"/>
  <c r="CA61" i="1"/>
  <c r="CB61" i="1"/>
  <c r="CC61" i="1"/>
  <c r="CD61" i="1"/>
  <c r="CE61" i="1"/>
  <c r="CF61" i="1"/>
  <c r="CH61" i="1"/>
  <c r="BC61" i="1"/>
  <c r="BD61" i="1"/>
  <c r="BE61" i="1"/>
  <c r="BF61" i="1"/>
  <c r="BG61" i="1"/>
  <c r="BH61" i="1"/>
  <c r="BI61" i="1"/>
  <c r="BJ61" i="1"/>
  <c r="CI61" i="1"/>
  <c r="BK61" i="1"/>
  <c r="BL61" i="1"/>
  <c r="BM61" i="1"/>
  <c r="BN61" i="1"/>
  <c r="BO61" i="1"/>
  <c r="BP61" i="1"/>
  <c r="BQ61" i="1"/>
  <c r="BR61" i="1"/>
  <c r="CJ61" i="1"/>
  <c r="BS61" i="1"/>
  <c r="BT61" i="1"/>
  <c r="BU61" i="1"/>
  <c r="BV61" i="1"/>
  <c r="BW61" i="1"/>
  <c r="BX61" i="1"/>
  <c r="BY61" i="1"/>
  <c r="BZ61" i="1"/>
  <c r="CK61" i="1"/>
  <c r="CL61" i="1"/>
  <c r="AZ61" i="1"/>
  <c r="BA61" i="1"/>
  <c r="BB61" i="1"/>
  <c r="AY61" i="1"/>
  <c r="AV61" i="1"/>
  <c r="AW61" i="1"/>
  <c r="AX61" i="1"/>
  <c r="AU61" i="1"/>
  <c r="AT61" i="1"/>
  <c r="AS61" i="1"/>
  <c r="CA53" i="1"/>
  <c r="CB53" i="1"/>
  <c r="CC53" i="1"/>
  <c r="CD53" i="1"/>
  <c r="CE53" i="1"/>
  <c r="CF53" i="1"/>
  <c r="CH53" i="1"/>
  <c r="BC53" i="1"/>
  <c r="BD53" i="1"/>
  <c r="BE53" i="1"/>
  <c r="BF53" i="1"/>
  <c r="BG53" i="1"/>
  <c r="BH53" i="1"/>
  <c r="BI53" i="1"/>
  <c r="BJ53" i="1"/>
  <c r="CI53" i="1"/>
  <c r="BK53" i="1"/>
  <c r="BL53" i="1"/>
  <c r="BM53" i="1"/>
  <c r="BN53" i="1"/>
  <c r="BO53" i="1"/>
  <c r="BP53" i="1"/>
  <c r="BQ53" i="1"/>
  <c r="BR53" i="1"/>
  <c r="CJ53" i="1"/>
  <c r="BS53" i="1"/>
  <c r="BT53" i="1"/>
  <c r="BU53" i="1"/>
  <c r="BV53" i="1"/>
  <c r="BW53" i="1"/>
  <c r="BX53" i="1"/>
  <c r="BY53" i="1"/>
  <c r="BZ53" i="1"/>
  <c r="CK53" i="1"/>
  <c r="CL53" i="1"/>
  <c r="AZ53" i="1"/>
  <c r="BA53" i="1"/>
  <c r="BB53" i="1"/>
  <c r="AY53" i="1"/>
  <c r="AV53" i="1"/>
  <c r="AW53" i="1"/>
  <c r="AX53" i="1"/>
  <c r="AU53" i="1"/>
  <c r="AT53" i="1"/>
  <c r="AS53" i="1"/>
  <c r="CA45" i="1"/>
  <c r="CB45" i="1"/>
  <c r="CC45" i="1"/>
  <c r="CD45" i="1"/>
  <c r="CE45" i="1"/>
  <c r="CF45" i="1"/>
  <c r="CH45" i="1"/>
  <c r="BC45" i="1"/>
  <c r="BD45" i="1"/>
  <c r="BE45" i="1"/>
  <c r="BF45" i="1"/>
  <c r="BG45" i="1"/>
  <c r="BH45" i="1"/>
  <c r="BI45" i="1"/>
  <c r="BJ45" i="1"/>
  <c r="CI45" i="1"/>
  <c r="BK45" i="1"/>
  <c r="BL45" i="1"/>
  <c r="BM45" i="1"/>
  <c r="BN45" i="1"/>
  <c r="BO45" i="1"/>
  <c r="BP45" i="1"/>
  <c r="BQ45" i="1"/>
  <c r="BR45" i="1"/>
  <c r="CJ45" i="1"/>
  <c r="BS45" i="1"/>
  <c r="BT45" i="1"/>
  <c r="BU45" i="1"/>
  <c r="BV45" i="1"/>
  <c r="BW45" i="1"/>
  <c r="BX45" i="1"/>
  <c r="BY45" i="1"/>
  <c r="BZ45" i="1"/>
  <c r="CK45" i="1"/>
  <c r="CL45" i="1"/>
  <c r="AZ45" i="1"/>
  <c r="BA45" i="1"/>
  <c r="BB45" i="1"/>
  <c r="AY45" i="1"/>
  <c r="AV45" i="1"/>
  <c r="AW45" i="1"/>
  <c r="AX45" i="1"/>
  <c r="AU45" i="1"/>
  <c r="AT45" i="1"/>
  <c r="AS45" i="1"/>
  <c r="CA21" i="1"/>
  <c r="CB21" i="1"/>
  <c r="CC21" i="1"/>
  <c r="CD21" i="1"/>
  <c r="CE21" i="1"/>
  <c r="CF21" i="1"/>
  <c r="CH21" i="1"/>
  <c r="BC21" i="1"/>
  <c r="BD21" i="1"/>
  <c r="BE21" i="1"/>
  <c r="BF21" i="1"/>
  <c r="BG21" i="1"/>
  <c r="BH21" i="1"/>
  <c r="BI21" i="1"/>
  <c r="BJ21" i="1"/>
  <c r="CI21" i="1"/>
  <c r="BK21" i="1"/>
  <c r="BL21" i="1"/>
  <c r="BM21" i="1"/>
  <c r="BN21" i="1"/>
  <c r="BO21" i="1"/>
  <c r="BP21" i="1"/>
  <c r="BQ21" i="1"/>
  <c r="BR21" i="1"/>
  <c r="CJ21" i="1"/>
  <c r="BS21" i="1"/>
  <c r="BT21" i="1"/>
  <c r="BU21" i="1"/>
  <c r="BV21" i="1"/>
  <c r="BW21" i="1"/>
  <c r="BX21" i="1"/>
  <c r="BY21" i="1"/>
  <c r="BZ21" i="1"/>
  <c r="CK21" i="1"/>
  <c r="CL21" i="1"/>
  <c r="AZ21" i="1"/>
  <c r="BA21" i="1"/>
  <c r="BB21" i="1"/>
  <c r="AY21" i="1"/>
  <c r="AV21" i="1"/>
  <c r="AW21" i="1"/>
  <c r="AX21" i="1"/>
  <c r="AU21" i="1"/>
  <c r="AT21" i="1"/>
  <c r="AS21" i="1"/>
  <c r="CA57" i="1"/>
  <c r="CB57" i="1"/>
  <c r="CC57" i="1"/>
  <c r="CD57" i="1"/>
  <c r="CE57" i="1"/>
  <c r="CF57" i="1"/>
  <c r="CH57" i="1"/>
  <c r="BC57" i="1"/>
  <c r="BD57" i="1"/>
  <c r="BE57" i="1"/>
  <c r="BF57" i="1"/>
  <c r="BG57" i="1"/>
  <c r="BH57" i="1"/>
  <c r="BI57" i="1"/>
  <c r="BJ57" i="1"/>
  <c r="CI57" i="1"/>
  <c r="BK57" i="1"/>
  <c r="BL57" i="1"/>
  <c r="BM57" i="1"/>
  <c r="BN57" i="1"/>
  <c r="BO57" i="1"/>
  <c r="BP57" i="1"/>
  <c r="BQ57" i="1"/>
  <c r="BR57" i="1"/>
  <c r="CJ57" i="1"/>
  <c r="BS57" i="1"/>
  <c r="BT57" i="1"/>
  <c r="BU57" i="1"/>
  <c r="BV57" i="1"/>
  <c r="BW57" i="1"/>
  <c r="BX57" i="1"/>
  <c r="BY57" i="1"/>
  <c r="BZ57" i="1"/>
  <c r="CK57" i="1"/>
  <c r="CL57" i="1"/>
  <c r="AZ57" i="1"/>
  <c r="BA57" i="1"/>
  <c r="BB57" i="1"/>
  <c r="AY57" i="1"/>
  <c r="AV57" i="1"/>
  <c r="AW57" i="1"/>
  <c r="AX57" i="1"/>
  <c r="AU57" i="1"/>
  <c r="AT57" i="1"/>
  <c r="AS57" i="1"/>
  <c r="CA93" i="1"/>
  <c r="CB93" i="1"/>
  <c r="CC93" i="1"/>
  <c r="CD93" i="1"/>
  <c r="CE93" i="1"/>
  <c r="CF93" i="1"/>
  <c r="CH93" i="1"/>
  <c r="BC93" i="1"/>
  <c r="BD93" i="1"/>
  <c r="BE93" i="1"/>
  <c r="BF93" i="1"/>
  <c r="BG93" i="1"/>
  <c r="BH93" i="1"/>
  <c r="BI93" i="1"/>
  <c r="BJ93" i="1"/>
  <c r="CI93" i="1"/>
  <c r="BK93" i="1"/>
  <c r="BL93" i="1"/>
  <c r="BM93" i="1"/>
  <c r="BN93" i="1"/>
  <c r="BO93" i="1"/>
  <c r="BP93" i="1"/>
  <c r="BQ93" i="1"/>
  <c r="BR93" i="1"/>
  <c r="CJ93" i="1"/>
  <c r="BS93" i="1"/>
  <c r="BT93" i="1"/>
  <c r="BU93" i="1"/>
  <c r="BV93" i="1"/>
  <c r="BW93" i="1"/>
  <c r="BX93" i="1"/>
  <c r="BY93" i="1"/>
  <c r="BZ93" i="1"/>
  <c r="CK93" i="1"/>
  <c r="CL93" i="1"/>
  <c r="AZ93" i="1"/>
  <c r="BA93" i="1"/>
  <c r="BB93" i="1"/>
  <c r="AY93" i="1"/>
  <c r="AV93" i="1"/>
  <c r="AW93" i="1"/>
  <c r="AX93" i="1"/>
  <c r="AU93" i="1"/>
  <c r="AT93" i="1"/>
  <c r="AS93" i="1"/>
  <c r="CA108" i="1"/>
  <c r="CB108" i="1"/>
  <c r="CC108" i="1"/>
  <c r="CD108" i="1"/>
  <c r="CE108" i="1"/>
  <c r="CF108" i="1"/>
  <c r="CH108" i="1"/>
  <c r="BC108" i="1"/>
  <c r="BD108" i="1"/>
  <c r="BE108" i="1"/>
  <c r="BF108" i="1"/>
  <c r="BG108" i="1"/>
  <c r="BH108" i="1"/>
  <c r="BI108" i="1"/>
  <c r="BJ108" i="1"/>
  <c r="CI108" i="1"/>
  <c r="BK108" i="1"/>
  <c r="BL108" i="1"/>
  <c r="BM108" i="1"/>
  <c r="BN108" i="1"/>
  <c r="BO108" i="1"/>
  <c r="BP108" i="1"/>
  <c r="BQ108" i="1"/>
  <c r="BR108" i="1"/>
  <c r="CJ108" i="1"/>
  <c r="BS108" i="1"/>
  <c r="BT108" i="1"/>
  <c r="BU108" i="1"/>
  <c r="BV108" i="1"/>
  <c r="BW108" i="1"/>
  <c r="BX108" i="1"/>
  <c r="BY108" i="1"/>
  <c r="BZ108" i="1"/>
  <c r="CK108" i="1"/>
  <c r="CL108" i="1"/>
  <c r="AZ108" i="1"/>
  <c r="BA108" i="1"/>
  <c r="BB108" i="1"/>
  <c r="AY108" i="1"/>
  <c r="AV108" i="1"/>
  <c r="AW108" i="1"/>
  <c r="AX108" i="1"/>
  <c r="AU108" i="1"/>
  <c r="AT108" i="1"/>
  <c r="AS108" i="1"/>
  <c r="CA105" i="1"/>
  <c r="CB105" i="1"/>
  <c r="CC105" i="1"/>
  <c r="CD105" i="1"/>
  <c r="CE105" i="1"/>
  <c r="CF105" i="1"/>
  <c r="CH105" i="1"/>
  <c r="BC105" i="1"/>
  <c r="BD105" i="1"/>
  <c r="BE105" i="1"/>
  <c r="BF105" i="1"/>
  <c r="BG105" i="1"/>
  <c r="BH105" i="1"/>
  <c r="BI105" i="1"/>
  <c r="BJ105" i="1"/>
  <c r="CI105" i="1"/>
  <c r="BK105" i="1"/>
  <c r="BL105" i="1"/>
  <c r="BM105" i="1"/>
  <c r="BN105" i="1"/>
  <c r="BO105" i="1"/>
  <c r="BP105" i="1"/>
  <c r="BQ105" i="1"/>
  <c r="BR105" i="1"/>
  <c r="CJ105" i="1"/>
  <c r="BS105" i="1"/>
  <c r="BT105" i="1"/>
  <c r="BU105" i="1"/>
  <c r="BV105" i="1"/>
  <c r="BW105" i="1"/>
  <c r="BX105" i="1"/>
  <c r="BY105" i="1"/>
  <c r="BZ105" i="1"/>
  <c r="CK105" i="1"/>
  <c r="CL105" i="1"/>
  <c r="AZ105" i="1"/>
  <c r="BA105" i="1"/>
  <c r="BB105" i="1"/>
  <c r="AY105" i="1"/>
  <c r="AV105" i="1"/>
  <c r="AW105" i="1"/>
  <c r="AX105" i="1"/>
  <c r="AU105" i="1"/>
  <c r="AT105" i="1"/>
  <c r="AS105" i="1"/>
  <c r="CA80" i="1"/>
  <c r="CB80" i="1"/>
  <c r="CC80" i="1"/>
  <c r="CD80" i="1"/>
  <c r="CE80" i="1"/>
  <c r="CF80" i="1"/>
  <c r="CH80" i="1"/>
  <c r="BC80" i="1"/>
  <c r="BD80" i="1"/>
  <c r="BE80" i="1"/>
  <c r="BF80" i="1"/>
  <c r="BG80" i="1"/>
  <c r="BH80" i="1"/>
  <c r="BI80" i="1"/>
  <c r="BJ80" i="1"/>
  <c r="CI80" i="1"/>
  <c r="BK80" i="1"/>
  <c r="BL80" i="1"/>
  <c r="BM80" i="1"/>
  <c r="BN80" i="1"/>
  <c r="BO80" i="1"/>
  <c r="BP80" i="1"/>
  <c r="BQ80" i="1"/>
  <c r="BR80" i="1"/>
  <c r="CJ80" i="1"/>
  <c r="BS80" i="1"/>
  <c r="BT80" i="1"/>
  <c r="BU80" i="1"/>
  <c r="BV80" i="1"/>
  <c r="BW80" i="1"/>
  <c r="BX80" i="1"/>
  <c r="BY80" i="1"/>
  <c r="BZ80" i="1"/>
  <c r="CK80" i="1"/>
  <c r="CL80" i="1"/>
  <c r="AZ80" i="1"/>
  <c r="BA80" i="1"/>
  <c r="BB80" i="1"/>
  <c r="AY80" i="1"/>
  <c r="AV80" i="1"/>
  <c r="AW80" i="1"/>
  <c r="AX80" i="1"/>
  <c r="AU80" i="1"/>
  <c r="AT80" i="1"/>
  <c r="AS80" i="1"/>
  <c r="CA41" i="1"/>
  <c r="CB41" i="1"/>
  <c r="CC41" i="1"/>
  <c r="CD41" i="1"/>
  <c r="CE41" i="1"/>
  <c r="CF41" i="1"/>
  <c r="CH41" i="1"/>
  <c r="BC41" i="1"/>
  <c r="BD41" i="1"/>
  <c r="BE41" i="1"/>
  <c r="BF41" i="1"/>
  <c r="BG41" i="1"/>
  <c r="BH41" i="1"/>
  <c r="BI41" i="1"/>
  <c r="BJ41" i="1"/>
  <c r="CI41" i="1"/>
  <c r="BK41" i="1"/>
  <c r="BL41" i="1"/>
  <c r="BM41" i="1"/>
  <c r="BN41" i="1"/>
  <c r="BO41" i="1"/>
  <c r="BP41" i="1"/>
  <c r="BQ41" i="1"/>
  <c r="BR41" i="1"/>
  <c r="CJ41" i="1"/>
  <c r="BS41" i="1"/>
  <c r="BT41" i="1"/>
  <c r="BU41" i="1"/>
  <c r="BV41" i="1"/>
  <c r="BW41" i="1"/>
  <c r="BX41" i="1"/>
  <c r="BY41" i="1"/>
  <c r="BZ41" i="1"/>
  <c r="CK41" i="1"/>
  <c r="CL41" i="1"/>
  <c r="AZ41" i="1"/>
  <c r="BA41" i="1"/>
  <c r="BB41" i="1"/>
  <c r="AY41" i="1"/>
  <c r="AV41" i="1"/>
  <c r="AW41" i="1"/>
  <c r="AX41" i="1"/>
  <c r="AU41" i="1"/>
  <c r="AT41" i="1"/>
  <c r="AS41" i="1"/>
  <c r="CA37" i="1"/>
  <c r="CB37" i="1"/>
  <c r="CC37" i="1"/>
  <c r="CD37" i="1"/>
  <c r="CE37" i="1"/>
  <c r="CF37" i="1"/>
  <c r="CH37" i="1"/>
  <c r="BC37" i="1"/>
  <c r="BD37" i="1"/>
  <c r="BE37" i="1"/>
  <c r="BF37" i="1"/>
  <c r="BG37" i="1"/>
  <c r="BH37" i="1"/>
  <c r="BI37" i="1"/>
  <c r="BJ37" i="1"/>
  <c r="CI37" i="1"/>
  <c r="BK37" i="1"/>
  <c r="BL37" i="1"/>
  <c r="BM37" i="1"/>
  <c r="BN37" i="1"/>
  <c r="BO37" i="1"/>
  <c r="BP37" i="1"/>
  <c r="BQ37" i="1"/>
  <c r="BR37" i="1"/>
  <c r="CJ37" i="1"/>
  <c r="BS37" i="1"/>
  <c r="BT37" i="1"/>
  <c r="BU37" i="1"/>
  <c r="BV37" i="1"/>
  <c r="BW37" i="1"/>
  <c r="BX37" i="1"/>
  <c r="BY37" i="1"/>
  <c r="BZ37" i="1"/>
  <c r="CK37" i="1"/>
  <c r="CL37" i="1"/>
  <c r="AZ37" i="1"/>
  <c r="BA37" i="1"/>
  <c r="BB37" i="1"/>
  <c r="AY37" i="1"/>
  <c r="AV37" i="1"/>
  <c r="AW37" i="1"/>
  <c r="AX37" i="1"/>
  <c r="AU37" i="1"/>
  <c r="AT37" i="1"/>
  <c r="AS37" i="1"/>
  <c r="CA17" i="1"/>
  <c r="CB17" i="1"/>
  <c r="CC17" i="1"/>
  <c r="CD17" i="1"/>
  <c r="CE17" i="1"/>
  <c r="CF17" i="1"/>
  <c r="CH17" i="1"/>
  <c r="BC17" i="1"/>
  <c r="BD17" i="1"/>
  <c r="BE17" i="1"/>
  <c r="BF17" i="1"/>
  <c r="BG17" i="1"/>
  <c r="BH17" i="1"/>
  <c r="BI17" i="1"/>
  <c r="BJ17" i="1"/>
  <c r="CI17" i="1"/>
  <c r="BK17" i="1"/>
  <c r="BL17" i="1"/>
  <c r="BM17" i="1"/>
  <c r="BN17" i="1"/>
  <c r="BO17" i="1"/>
  <c r="BP17" i="1"/>
  <c r="BQ17" i="1"/>
  <c r="BR17" i="1"/>
  <c r="CJ17" i="1"/>
  <c r="BS17" i="1"/>
  <c r="BT17" i="1"/>
  <c r="BU17" i="1"/>
  <c r="BV17" i="1"/>
  <c r="BW17" i="1"/>
  <c r="BX17" i="1"/>
  <c r="BY17" i="1"/>
  <c r="BZ17" i="1"/>
  <c r="CK17" i="1"/>
  <c r="CL17" i="1"/>
  <c r="AZ17" i="1"/>
  <c r="BA17" i="1"/>
  <c r="BB17" i="1"/>
  <c r="AY17" i="1"/>
  <c r="AV17" i="1"/>
  <c r="AW17" i="1"/>
  <c r="AX17" i="1"/>
  <c r="AU17" i="1"/>
  <c r="AT17" i="1"/>
  <c r="AS17" i="1"/>
  <c r="CA49" i="1"/>
  <c r="CB49" i="1"/>
  <c r="CC49" i="1"/>
  <c r="CD49" i="1"/>
  <c r="CE49" i="1"/>
  <c r="CF49" i="1"/>
  <c r="CH49" i="1"/>
  <c r="BC49" i="1"/>
  <c r="BD49" i="1"/>
  <c r="BE49" i="1"/>
  <c r="BF49" i="1"/>
  <c r="BG49" i="1"/>
  <c r="BH49" i="1"/>
  <c r="BI49" i="1"/>
  <c r="BJ49" i="1"/>
  <c r="CI49" i="1"/>
  <c r="BK49" i="1"/>
  <c r="BL49" i="1"/>
  <c r="BM49" i="1"/>
  <c r="BN49" i="1"/>
  <c r="BO49" i="1"/>
  <c r="BP49" i="1"/>
  <c r="BQ49" i="1"/>
  <c r="BR49" i="1"/>
  <c r="CJ49" i="1"/>
  <c r="BS49" i="1"/>
  <c r="BT49" i="1"/>
  <c r="BU49" i="1"/>
  <c r="BV49" i="1"/>
  <c r="BW49" i="1"/>
  <c r="BX49" i="1"/>
  <c r="BY49" i="1"/>
  <c r="BZ49" i="1"/>
  <c r="CK49" i="1"/>
  <c r="CL49" i="1"/>
  <c r="AZ49" i="1"/>
  <c r="BA49" i="1"/>
  <c r="BB49" i="1"/>
  <c r="AY49" i="1"/>
  <c r="AV49" i="1"/>
  <c r="AW49" i="1"/>
  <c r="AX49" i="1"/>
  <c r="AU49" i="1"/>
  <c r="AT49" i="1"/>
  <c r="AS49" i="1"/>
  <c r="CA33" i="1"/>
  <c r="CB33" i="1"/>
  <c r="CC33" i="1"/>
  <c r="CD33" i="1"/>
  <c r="CE33" i="1"/>
  <c r="CF33" i="1"/>
  <c r="CH33" i="1"/>
  <c r="BC33" i="1"/>
  <c r="BD33" i="1"/>
  <c r="BE33" i="1"/>
  <c r="BF33" i="1"/>
  <c r="BG33" i="1"/>
  <c r="BH33" i="1"/>
  <c r="BI33" i="1"/>
  <c r="BJ33" i="1"/>
  <c r="CI33" i="1"/>
  <c r="BK33" i="1"/>
  <c r="BL33" i="1"/>
  <c r="BM33" i="1"/>
  <c r="BN33" i="1"/>
  <c r="BO33" i="1"/>
  <c r="BP33" i="1"/>
  <c r="BQ33" i="1"/>
  <c r="BR33" i="1"/>
  <c r="CJ33" i="1"/>
  <c r="BS33" i="1"/>
  <c r="BT33" i="1"/>
  <c r="BU33" i="1"/>
  <c r="BV33" i="1"/>
  <c r="BW33" i="1"/>
  <c r="BX33" i="1"/>
  <c r="BY33" i="1"/>
  <c r="BZ33" i="1"/>
  <c r="CK33" i="1"/>
  <c r="CL33" i="1"/>
  <c r="AZ33" i="1"/>
  <c r="BA33" i="1"/>
  <c r="BB33" i="1"/>
  <c r="AY33" i="1"/>
  <c r="AV33" i="1"/>
  <c r="AW33" i="1"/>
  <c r="AX33" i="1"/>
  <c r="AU33" i="1"/>
  <c r="AT33" i="1"/>
  <c r="AS33" i="1"/>
  <c r="CA92" i="1"/>
  <c r="CB92" i="1"/>
  <c r="CC92" i="1"/>
  <c r="CD92" i="1"/>
  <c r="CE92" i="1"/>
  <c r="CF92" i="1"/>
  <c r="CH92" i="1"/>
  <c r="BC92" i="1"/>
  <c r="BD92" i="1"/>
  <c r="BE92" i="1"/>
  <c r="BF92" i="1"/>
  <c r="BG92" i="1"/>
  <c r="BH92" i="1"/>
  <c r="BI92" i="1"/>
  <c r="BJ92" i="1"/>
  <c r="CI92" i="1"/>
  <c r="BK92" i="1"/>
  <c r="BL92" i="1"/>
  <c r="BM92" i="1"/>
  <c r="BN92" i="1"/>
  <c r="BO92" i="1"/>
  <c r="BP92" i="1"/>
  <c r="BQ92" i="1"/>
  <c r="BR92" i="1"/>
  <c r="CJ92" i="1"/>
  <c r="BS92" i="1"/>
  <c r="BT92" i="1"/>
  <c r="BU92" i="1"/>
  <c r="BV92" i="1"/>
  <c r="BW92" i="1"/>
  <c r="BX92" i="1"/>
  <c r="BY92" i="1"/>
  <c r="BZ92" i="1"/>
  <c r="CK92" i="1"/>
  <c r="CL92" i="1"/>
  <c r="AZ92" i="1"/>
  <c r="BA92" i="1"/>
  <c r="BB92" i="1"/>
  <c r="AY92" i="1"/>
  <c r="AV92" i="1"/>
  <c r="AW92" i="1"/>
  <c r="AX92" i="1"/>
  <c r="AU92" i="1"/>
  <c r="AT92" i="1"/>
  <c r="AS92" i="1"/>
  <c r="CA69" i="1"/>
  <c r="CB69" i="1"/>
  <c r="CC69" i="1"/>
  <c r="CD69" i="1"/>
  <c r="CE69" i="1"/>
  <c r="CF69" i="1"/>
  <c r="CH69" i="1"/>
  <c r="BC69" i="1"/>
  <c r="BD69" i="1"/>
  <c r="BE69" i="1"/>
  <c r="BF69" i="1"/>
  <c r="BG69" i="1"/>
  <c r="BH69" i="1"/>
  <c r="BI69" i="1"/>
  <c r="BJ69" i="1"/>
  <c r="CI69" i="1"/>
  <c r="BK69" i="1"/>
  <c r="BL69" i="1"/>
  <c r="BM69" i="1"/>
  <c r="BN69" i="1"/>
  <c r="BO69" i="1"/>
  <c r="BP69" i="1"/>
  <c r="BQ69" i="1"/>
  <c r="BR69" i="1"/>
  <c r="CJ69" i="1"/>
  <c r="BS69" i="1"/>
  <c r="BT69" i="1"/>
  <c r="BU69" i="1"/>
  <c r="BV69" i="1"/>
  <c r="BW69" i="1"/>
  <c r="BX69" i="1"/>
  <c r="BY69" i="1"/>
  <c r="BZ69" i="1"/>
  <c r="CK69" i="1"/>
  <c r="CL69" i="1"/>
  <c r="AZ69" i="1"/>
  <c r="BA69" i="1"/>
  <c r="BB69" i="1"/>
  <c r="AY69" i="1"/>
  <c r="AV69" i="1"/>
  <c r="AW69" i="1"/>
  <c r="AX69" i="1"/>
  <c r="AU69" i="1"/>
  <c r="AT69" i="1"/>
  <c r="AS69" i="1"/>
  <c r="CA16" i="1"/>
  <c r="CB16" i="1"/>
  <c r="CC16" i="1"/>
  <c r="CD16" i="1"/>
  <c r="CE16" i="1"/>
  <c r="CF16" i="1"/>
  <c r="CH16" i="1"/>
  <c r="BC16" i="1"/>
  <c r="BD16" i="1"/>
  <c r="BE16" i="1"/>
  <c r="BF16" i="1"/>
  <c r="BG16" i="1"/>
  <c r="BH16" i="1"/>
  <c r="BI16" i="1"/>
  <c r="BJ16" i="1"/>
  <c r="CI16" i="1"/>
  <c r="BK16" i="1"/>
  <c r="BL16" i="1"/>
  <c r="BM16" i="1"/>
  <c r="BN16" i="1"/>
  <c r="BO16" i="1"/>
  <c r="BP16" i="1"/>
  <c r="BQ16" i="1"/>
  <c r="BR16" i="1"/>
  <c r="CJ16" i="1"/>
  <c r="BS16" i="1"/>
  <c r="BT16" i="1"/>
  <c r="BU16" i="1"/>
  <c r="BV16" i="1"/>
  <c r="BW16" i="1"/>
  <c r="BX16" i="1"/>
  <c r="BY16" i="1"/>
  <c r="BZ16" i="1"/>
  <c r="CK16" i="1"/>
  <c r="CL16" i="1"/>
  <c r="AZ16" i="1"/>
  <c r="BA16" i="1"/>
  <c r="BB16" i="1"/>
  <c r="AY16" i="1"/>
  <c r="AV16" i="1"/>
  <c r="AW16" i="1"/>
  <c r="AX16" i="1"/>
  <c r="AU16" i="1"/>
  <c r="AT16" i="1"/>
  <c r="AS16" i="1"/>
  <c r="CA65" i="1"/>
  <c r="CB65" i="1"/>
  <c r="CC65" i="1"/>
  <c r="CD65" i="1"/>
  <c r="CE65" i="1"/>
  <c r="CF65" i="1"/>
  <c r="CH65" i="1"/>
  <c r="BC65" i="1"/>
  <c r="BD65" i="1"/>
  <c r="BE65" i="1"/>
  <c r="BF65" i="1"/>
  <c r="BG65" i="1"/>
  <c r="BH65" i="1"/>
  <c r="BI65" i="1"/>
  <c r="BJ65" i="1"/>
  <c r="CI65" i="1"/>
  <c r="BK65" i="1"/>
  <c r="BL65" i="1"/>
  <c r="BM65" i="1"/>
  <c r="BN65" i="1"/>
  <c r="BO65" i="1"/>
  <c r="BP65" i="1"/>
  <c r="BQ65" i="1"/>
  <c r="BR65" i="1"/>
  <c r="CJ65" i="1"/>
  <c r="BS65" i="1"/>
  <c r="BT65" i="1"/>
  <c r="BU65" i="1"/>
  <c r="BV65" i="1"/>
  <c r="BW65" i="1"/>
  <c r="BX65" i="1"/>
  <c r="BY65" i="1"/>
  <c r="BZ65" i="1"/>
  <c r="CK65" i="1"/>
  <c r="CL65" i="1"/>
  <c r="AZ65" i="1"/>
  <c r="BA65" i="1"/>
  <c r="BB65" i="1"/>
  <c r="AY65" i="1"/>
  <c r="AV65" i="1"/>
  <c r="AW65" i="1"/>
  <c r="AX65" i="1"/>
  <c r="AU65" i="1"/>
  <c r="AT65" i="1"/>
  <c r="AS65" i="1"/>
  <c r="CA52" i="1"/>
  <c r="CB52" i="1"/>
  <c r="CC52" i="1"/>
  <c r="CD52" i="1"/>
  <c r="CE52" i="1"/>
  <c r="CF52" i="1"/>
  <c r="CH52" i="1"/>
  <c r="BC52" i="1"/>
  <c r="BD52" i="1"/>
  <c r="BE52" i="1"/>
  <c r="BF52" i="1"/>
  <c r="BG52" i="1"/>
  <c r="BH52" i="1"/>
  <c r="BI52" i="1"/>
  <c r="BJ52" i="1"/>
  <c r="CI52" i="1"/>
  <c r="BK52" i="1"/>
  <c r="BL52" i="1"/>
  <c r="BM52" i="1"/>
  <c r="BN52" i="1"/>
  <c r="BO52" i="1"/>
  <c r="BP52" i="1"/>
  <c r="BQ52" i="1"/>
  <c r="BR52" i="1"/>
  <c r="CJ52" i="1"/>
  <c r="BS52" i="1"/>
  <c r="BT52" i="1"/>
  <c r="BU52" i="1"/>
  <c r="BV52" i="1"/>
  <c r="BW52" i="1"/>
  <c r="BX52" i="1"/>
  <c r="BY52" i="1"/>
  <c r="BZ52" i="1"/>
  <c r="CK52" i="1"/>
  <c r="CL52" i="1"/>
  <c r="AZ52" i="1"/>
  <c r="BA52" i="1"/>
  <c r="BB52" i="1"/>
  <c r="AY52" i="1"/>
  <c r="AV52" i="1"/>
  <c r="AW52" i="1"/>
  <c r="AX52" i="1"/>
  <c r="AU52" i="1"/>
  <c r="AT52" i="1"/>
  <c r="AS52" i="1"/>
  <c r="CA73" i="1"/>
  <c r="CB73" i="1"/>
  <c r="CC73" i="1"/>
  <c r="CD73" i="1"/>
  <c r="CE73" i="1"/>
  <c r="CF73" i="1"/>
  <c r="CH73" i="1"/>
  <c r="BC73" i="1"/>
  <c r="BD73" i="1"/>
  <c r="BE73" i="1"/>
  <c r="BF73" i="1"/>
  <c r="BG73" i="1"/>
  <c r="BH73" i="1"/>
  <c r="BI73" i="1"/>
  <c r="BJ73" i="1"/>
  <c r="CI73" i="1"/>
  <c r="BK73" i="1"/>
  <c r="BL73" i="1"/>
  <c r="BM73" i="1"/>
  <c r="BN73" i="1"/>
  <c r="BO73" i="1"/>
  <c r="BP73" i="1"/>
  <c r="BQ73" i="1"/>
  <c r="BR73" i="1"/>
  <c r="CJ73" i="1"/>
  <c r="BS73" i="1"/>
  <c r="BT73" i="1"/>
  <c r="BU73" i="1"/>
  <c r="BV73" i="1"/>
  <c r="BW73" i="1"/>
  <c r="BX73" i="1"/>
  <c r="BY73" i="1"/>
  <c r="BZ73" i="1"/>
  <c r="CK73" i="1"/>
  <c r="CL73" i="1"/>
  <c r="AZ73" i="1"/>
  <c r="BA73" i="1"/>
  <c r="BB73" i="1"/>
  <c r="AY73" i="1"/>
  <c r="AV73" i="1"/>
  <c r="AW73" i="1"/>
  <c r="AX73" i="1"/>
  <c r="AU73" i="1"/>
  <c r="AT73" i="1"/>
  <c r="AS73" i="1"/>
  <c r="CA85" i="1"/>
  <c r="CB85" i="1"/>
  <c r="CC85" i="1"/>
  <c r="CD85" i="1"/>
  <c r="CE85" i="1"/>
  <c r="CF85" i="1"/>
  <c r="CH85" i="1"/>
  <c r="BC85" i="1"/>
  <c r="BD85" i="1"/>
  <c r="BE85" i="1"/>
  <c r="BF85" i="1"/>
  <c r="BG85" i="1"/>
  <c r="BH85" i="1"/>
  <c r="BI85" i="1"/>
  <c r="BJ85" i="1"/>
  <c r="CI85" i="1"/>
  <c r="BK85" i="1"/>
  <c r="BL85" i="1"/>
  <c r="BM85" i="1"/>
  <c r="BN85" i="1"/>
  <c r="BO85" i="1"/>
  <c r="BP85" i="1"/>
  <c r="BQ85" i="1"/>
  <c r="BR85" i="1"/>
  <c r="CJ85" i="1"/>
  <c r="BS85" i="1"/>
  <c r="BT85" i="1"/>
  <c r="BU85" i="1"/>
  <c r="BV85" i="1"/>
  <c r="BW85" i="1"/>
  <c r="BX85" i="1"/>
  <c r="BY85" i="1"/>
  <c r="BZ85" i="1"/>
  <c r="CK85" i="1"/>
  <c r="CL85" i="1"/>
  <c r="AZ85" i="1"/>
  <c r="BA85" i="1"/>
  <c r="BB85" i="1"/>
  <c r="AY85" i="1"/>
  <c r="AV85" i="1"/>
  <c r="AW85" i="1"/>
  <c r="AX85" i="1"/>
  <c r="AU85" i="1"/>
  <c r="AT85" i="1"/>
  <c r="AS85" i="1"/>
  <c r="CA101" i="1"/>
  <c r="CB101" i="1"/>
  <c r="CC101" i="1"/>
  <c r="CD101" i="1"/>
  <c r="CE101" i="1"/>
  <c r="CF101" i="1"/>
  <c r="CH101" i="1"/>
  <c r="BC101" i="1"/>
  <c r="BD101" i="1"/>
  <c r="BE101" i="1"/>
  <c r="BF101" i="1"/>
  <c r="BG101" i="1"/>
  <c r="BH101" i="1"/>
  <c r="BI101" i="1"/>
  <c r="BJ101" i="1"/>
  <c r="CI101" i="1"/>
  <c r="BK101" i="1"/>
  <c r="BL101" i="1"/>
  <c r="BM101" i="1"/>
  <c r="BN101" i="1"/>
  <c r="BO101" i="1"/>
  <c r="BP101" i="1"/>
  <c r="BQ101" i="1"/>
  <c r="BR101" i="1"/>
  <c r="CJ101" i="1"/>
  <c r="BS101" i="1"/>
  <c r="BT101" i="1"/>
  <c r="BU101" i="1"/>
  <c r="BV101" i="1"/>
  <c r="BW101" i="1"/>
  <c r="BX101" i="1"/>
  <c r="BY101" i="1"/>
  <c r="BZ101" i="1"/>
  <c r="CK101" i="1"/>
  <c r="CL101" i="1"/>
  <c r="AZ101" i="1"/>
  <c r="BA101" i="1"/>
  <c r="BB101" i="1"/>
  <c r="AY101" i="1"/>
  <c r="AV101" i="1"/>
  <c r="AW101" i="1"/>
  <c r="AX101" i="1"/>
  <c r="AU101" i="1"/>
  <c r="AT101" i="1"/>
  <c r="AS101" i="1"/>
  <c r="CA77" i="1"/>
  <c r="CB77" i="1"/>
  <c r="CC77" i="1"/>
  <c r="CD77" i="1"/>
  <c r="CE77" i="1"/>
  <c r="CF77" i="1"/>
  <c r="CH77" i="1"/>
  <c r="BC77" i="1"/>
  <c r="BD77" i="1"/>
  <c r="BE77" i="1"/>
  <c r="BF77" i="1"/>
  <c r="BG77" i="1"/>
  <c r="BH77" i="1"/>
  <c r="BI77" i="1"/>
  <c r="BJ77" i="1"/>
  <c r="CI77" i="1"/>
  <c r="BK77" i="1"/>
  <c r="BL77" i="1"/>
  <c r="BM77" i="1"/>
  <c r="BN77" i="1"/>
  <c r="BO77" i="1"/>
  <c r="BP77" i="1"/>
  <c r="BQ77" i="1"/>
  <c r="BR77" i="1"/>
  <c r="CJ77" i="1"/>
  <c r="BS77" i="1"/>
  <c r="BT77" i="1"/>
  <c r="BU77" i="1"/>
  <c r="BV77" i="1"/>
  <c r="BW77" i="1"/>
  <c r="BX77" i="1"/>
  <c r="BY77" i="1"/>
  <c r="BZ77" i="1"/>
  <c r="CK77" i="1"/>
  <c r="CL77" i="1"/>
  <c r="AZ77" i="1"/>
  <c r="BA77" i="1"/>
  <c r="BB77" i="1"/>
  <c r="AY77" i="1"/>
  <c r="AV77" i="1"/>
  <c r="AW77" i="1"/>
  <c r="AX77" i="1"/>
  <c r="AU77" i="1"/>
  <c r="AT77" i="1"/>
  <c r="AS77" i="1"/>
  <c r="CA89" i="1"/>
  <c r="CB89" i="1"/>
  <c r="CC89" i="1"/>
  <c r="CD89" i="1"/>
  <c r="CE89" i="1"/>
  <c r="CF89" i="1"/>
  <c r="CH89" i="1"/>
  <c r="BC89" i="1"/>
  <c r="BD89" i="1"/>
  <c r="BE89" i="1"/>
  <c r="BF89" i="1"/>
  <c r="BG89" i="1"/>
  <c r="BH89" i="1"/>
  <c r="BI89" i="1"/>
  <c r="BJ89" i="1"/>
  <c r="CI89" i="1"/>
  <c r="BK89" i="1"/>
  <c r="BL89" i="1"/>
  <c r="BM89" i="1"/>
  <c r="BN89" i="1"/>
  <c r="BO89" i="1"/>
  <c r="BP89" i="1"/>
  <c r="BQ89" i="1"/>
  <c r="BR89" i="1"/>
  <c r="CJ89" i="1"/>
  <c r="BS89" i="1"/>
  <c r="BT89" i="1"/>
  <c r="BU89" i="1"/>
  <c r="BV89" i="1"/>
  <c r="BW89" i="1"/>
  <c r="BX89" i="1"/>
  <c r="BY89" i="1"/>
  <c r="BZ89" i="1"/>
  <c r="CK89" i="1"/>
  <c r="CL89" i="1"/>
  <c r="AZ89" i="1"/>
  <c r="BA89" i="1"/>
  <c r="BB89" i="1"/>
  <c r="AY89" i="1"/>
  <c r="AV89" i="1"/>
  <c r="AW89" i="1"/>
  <c r="AX89" i="1"/>
  <c r="AU89" i="1"/>
  <c r="AT89" i="1"/>
  <c r="AS89" i="1"/>
  <c r="CA32" i="1"/>
  <c r="CB32" i="1"/>
  <c r="CC32" i="1"/>
  <c r="CD32" i="1"/>
  <c r="CE32" i="1"/>
  <c r="CF32" i="1"/>
  <c r="CH32" i="1"/>
  <c r="BC32" i="1"/>
  <c r="BD32" i="1"/>
  <c r="BE32" i="1"/>
  <c r="BF32" i="1"/>
  <c r="BG32" i="1"/>
  <c r="BH32" i="1"/>
  <c r="BI32" i="1"/>
  <c r="BJ32" i="1"/>
  <c r="CI32" i="1"/>
  <c r="BK32" i="1"/>
  <c r="BL32" i="1"/>
  <c r="BM32" i="1"/>
  <c r="BN32" i="1"/>
  <c r="BO32" i="1"/>
  <c r="BP32" i="1"/>
  <c r="BQ32" i="1"/>
  <c r="BR32" i="1"/>
  <c r="CJ32" i="1"/>
  <c r="BS32" i="1"/>
  <c r="BT32" i="1"/>
  <c r="BU32" i="1"/>
  <c r="BV32" i="1"/>
  <c r="BW32" i="1"/>
  <c r="BX32" i="1"/>
  <c r="BY32" i="1"/>
  <c r="BZ32" i="1"/>
  <c r="CK32" i="1"/>
  <c r="CL32" i="1"/>
  <c r="AZ32" i="1"/>
  <c r="BA32" i="1"/>
  <c r="BB32" i="1"/>
  <c r="AY32" i="1"/>
  <c r="AV32" i="1"/>
  <c r="AW32" i="1"/>
  <c r="AX32" i="1"/>
  <c r="AU32" i="1"/>
  <c r="AT32" i="1"/>
  <c r="AS32" i="1"/>
  <c r="CA97" i="1"/>
  <c r="CB97" i="1"/>
  <c r="CC97" i="1"/>
  <c r="CD97" i="1"/>
  <c r="CE97" i="1"/>
  <c r="CF97" i="1"/>
  <c r="CH97" i="1"/>
  <c r="BC97" i="1"/>
  <c r="BD97" i="1"/>
  <c r="BE97" i="1"/>
  <c r="BF97" i="1"/>
  <c r="BG97" i="1"/>
  <c r="BH97" i="1"/>
  <c r="BI97" i="1"/>
  <c r="BJ97" i="1"/>
  <c r="CI97" i="1"/>
  <c r="BK97" i="1"/>
  <c r="BL97" i="1"/>
  <c r="BM97" i="1"/>
  <c r="BN97" i="1"/>
  <c r="BO97" i="1"/>
  <c r="BP97" i="1"/>
  <c r="BQ97" i="1"/>
  <c r="BR97" i="1"/>
  <c r="CJ97" i="1"/>
  <c r="BS97" i="1"/>
  <c r="BT97" i="1"/>
  <c r="BU97" i="1"/>
  <c r="BV97" i="1"/>
  <c r="BW97" i="1"/>
  <c r="BX97" i="1"/>
  <c r="BY97" i="1"/>
  <c r="BZ97" i="1"/>
  <c r="CK97" i="1"/>
  <c r="CL97" i="1"/>
  <c r="AZ97" i="1"/>
  <c r="BA97" i="1"/>
  <c r="BB97" i="1"/>
  <c r="AY97" i="1"/>
  <c r="AV97" i="1"/>
  <c r="AW97" i="1"/>
  <c r="AX97" i="1"/>
  <c r="AU97" i="1"/>
  <c r="AT97" i="1"/>
  <c r="AS97" i="1"/>
  <c r="CA68" i="1"/>
  <c r="CB68" i="1"/>
  <c r="CC68" i="1"/>
  <c r="CD68" i="1"/>
  <c r="CE68" i="1"/>
  <c r="CF68" i="1"/>
  <c r="CH68" i="1"/>
  <c r="BC68" i="1"/>
  <c r="BD68" i="1"/>
  <c r="BE68" i="1"/>
  <c r="BF68" i="1"/>
  <c r="BG68" i="1"/>
  <c r="BH68" i="1"/>
  <c r="BI68" i="1"/>
  <c r="BJ68" i="1"/>
  <c r="CI68" i="1"/>
  <c r="BK68" i="1"/>
  <c r="BL68" i="1"/>
  <c r="BM68" i="1"/>
  <c r="BN68" i="1"/>
  <c r="BO68" i="1"/>
  <c r="BP68" i="1"/>
  <c r="BQ68" i="1"/>
  <c r="BR68" i="1"/>
  <c r="CJ68" i="1"/>
  <c r="BS68" i="1"/>
  <c r="BT68" i="1"/>
  <c r="BU68" i="1"/>
  <c r="BV68" i="1"/>
  <c r="BW68" i="1"/>
  <c r="BX68" i="1"/>
  <c r="BY68" i="1"/>
  <c r="BZ68" i="1"/>
  <c r="CK68" i="1"/>
  <c r="CL68" i="1"/>
  <c r="AZ68" i="1"/>
  <c r="BA68" i="1"/>
  <c r="BB68" i="1"/>
  <c r="AY68" i="1"/>
  <c r="AV68" i="1"/>
  <c r="AW68" i="1"/>
  <c r="AX68" i="1"/>
  <c r="AU68" i="1"/>
  <c r="AT68" i="1"/>
  <c r="AS68" i="1"/>
  <c r="CA9" i="1"/>
  <c r="CB9" i="1"/>
  <c r="CC9" i="1"/>
  <c r="CD9" i="1"/>
  <c r="CE9" i="1"/>
  <c r="CF9" i="1"/>
  <c r="CH9" i="1"/>
  <c r="BC9" i="1"/>
  <c r="BD9" i="1"/>
  <c r="BE9" i="1"/>
  <c r="BF9" i="1"/>
  <c r="BG9" i="1"/>
  <c r="BH9" i="1"/>
  <c r="BI9" i="1"/>
  <c r="BJ9" i="1"/>
  <c r="CI9" i="1"/>
  <c r="BK9" i="1"/>
  <c r="BL9" i="1"/>
  <c r="BM9" i="1"/>
  <c r="BN9" i="1"/>
  <c r="BO9" i="1"/>
  <c r="BP9" i="1"/>
  <c r="BQ9" i="1"/>
  <c r="BR9" i="1"/>
  <c r="CJ9" i="1"/>
  <c r="BS9" i="1"/>
  <c r="BT9" i="1"/>
  <c r="BU9" i="1"/>
  <c r="BV9" i="1"/>
  <c r="BW9" i="1"/>
  <c r="BX9" i="1"/>
  <c r="BY9" i="1"/>
  <c r="BZ9" i="1"/>
  <c r="CK9" i="1"/>
  <c r="CL9" i="1"/>
  <c r="AZ9" i="1"/>
  <c r="BA9" i="1"/>
  <c r="BB9" i="1"/>
  <c r="AY9" i="1"/>
  <c r="AV9" i="1"/>
  <c r="AW9" i="1"/>
  <c r="AX9" i="1"/>
  <c r="AU9" i="1"/>
  <c r="AT9" i="1"/>
  <c r="AS9" i="1"/>
  <c r="CA5" i="1"/>
  <c r="CB5" i="1"/>
  <c r="CC5" i="1"/>
  <c r="CD5" i="1"/>
  <c r="CE5" i="1"/>
  <c r="CF5" i="1"/>
  <c r="CH5" i="1"/>
  <c r="BC5" i="1"/>
  <c r="BD5" i="1"/>
  <c r="BE5" i="1"/>
  <c r="BF5" i="1"/>
  <c r="BG5" i="1"/>
  <c r="BH5" i="1"/>
  <c r="BI5" i="1"/>
  <c r="BJ5" i="1"/>
  <c r="CI5" i="1"/>
  <c r="BK5" i="1"/>
  <c r="BL5" i="1"/>
  <c r="BM5" i="1"/>
  <c r="BN5" i="1"/>
  <c r="BO5" i="1"/>
  <c r="BP5" i="1"/>
  <c r="BQ5" i="1"/>
  <c r="BR5" i="1"/>
  <c r="CJ5" i="1"/>
  <c r="BS5" i="1"/>
  <c r="BT5" i="1"/>
  <c r="BU5" i="1"/>
  <c r="BV5" i="1"/>
  <c r="BW5" i="1"/>
  <c r="BX5" i="1"/>
  <c r="BY5" i="1"/>
  <c r="BZ5" i="1"/>
  <c r="CK5" i="1"/>
  <c r="CL5" i="1"/>
  <c r="AZ5" i="1"/>
  <c r="BA5" i="1"/>
  <c r="BB5" i="1"/>
  <c r="AY5" i="1"/>
  <c r="AV5" i="1"/>
  <c r="AW5" i="1"/>
  <c r="AX5" i="1"/>
  <c r="AU5" i="1"/>
  <c r="AT5" i="1"/>
  <c r="AS5" i="1"/>
  <c r="CA8" i="1"/>
  <c r="CB8" i="1"/>
  <c r="CC8" i="1"/>
  <c r="CD8" i="1"/>
  <c r="CE8" i="1"/>
  <c r="CF8" i="1"/>
  <c r="CH8" i="1"/>
  <c r="BC8" i="1"/>
  <c r="BD8" i="1"/>
  <c r="BE8" i="1"/>
  <c r="BF8" i="1"/>
  <c r="BG8" i="1"/>
  <c r="BH8" i="1"/>
  <c r="BI8" i="1"/>
  <c r="BJ8" i="1"/>
  <c r="CI8" i="1"/>
  <c r="BK8" i="1"/>
  <c r="BL8" i="1"/>
  <c r="BM8" i="1"/>
  <c r="BN8" i="1"/>
  <c r="BO8" i="1"/>
  <c r="BP8" i="1"/>
  <c r="BQ8" i="1"/>
  <c r="BR8" i="1"/>
  <c r="CJ8" i="1"/>
  <c r="BS8" i="1"/>
  <c r="BT8" i="1"/>
  <c r="BU8" i="1"/>
  <c r="BV8" i="1"/>
  <c r="BW8" i="1"/>
  <c r="BX8" i="1"/>
  <c r="BY8" i="1"/>
  <c r="BZ8" i="1"/>
  <c r="CK8" i="1"/>
  <c r="CL8" i="1"/>
  <c r="AZ8" i="1"/>
  <c r="BA8" i="1"/>
  <c r="BB8" i="1"/>
  <c r="AY8" i="1"/>
  <c r="AV8" i="1"/>
  <c r="AW8" i="1"/>
  <c r="AX8" i="1"/>
  <c r="AU8" i="1"/>
  <c r="AT8" i="1"/>
  <c r="AS8" i="1"/>
  <c r="CA29" i="1"/>
  <c r="CB29" i="1"/>
  <c r="CC29" i="1"/>
  <c r="CD29" i="1"/>
  <c r="CE29" i="1"/>
  <c r="CF29" i="1"/>
  <c r="CH29" i="1"/>
  <c r="BC29" i="1"/>
  <c r="BD29" i="1"/>
  <c r="BE29" i="1"/>
  <c r="BF29" i="1"/>
  <c r="BG29" i="1"/>
  <c r="BH29" i="1"/>
  <c r="BI29" i="1"/>
  <c r="BJ29" i="1"/>
  <c r="CI29" i="1"/>
  <c r="BK29" i="1"/>
  <c r="BL29" i="1"/>
  <c r="BM29" i="1"/>
  <c r="BN29" i="1"/>
  <c r="BO29" i="1"/>
  <c r="BP29" i="1"/>
  <c r="BQ29" i="1"/>
  <c r="BR29" i="1"/>
  <c r="CJ29" i="1"/>
  <c r="BS29" i="1"/>
  <c r="BT29" i="1"/>
  <c r="BU29" i="1"/>
  <c r="BV29" i="1"/>
  <c r="BW29" i="1"/>
  <c r="BX29" i="1"/>
  <c r="BY29" i="1"/>
  <c r="BZ29" i="1"/>
  <c r="CK29" i="1"/>
  <c r="CL29" i="1"/>
  <c r="AZ29" i="1"/>
  <c r="BA29" i="1"/>
  <c r="BB29" i="1"/>
  <c r="AY29" i="1"/>
  <c r="AV29" i="1"/>
  <c r="AW29" i="1"/>
  <c r="AX29" i="1"/>
  <c r="AU29" i="1"/>
  <c r="AT29" i="1"/>
  <c r="AS29" i="1"/>
  <c r="CA56" i="1"/>
  <c r="CB56" i="1"/>
  <c r="CC56" i="1"/>
  <c r="CD56" i="1"/>
  <c r="CE56" i="1"/>
  <c r="CF56" i="1"/>
  <c r="CH56" i="1"/>
  <c r="BC56" i="1"/>
  <c r="BD56" i="1"/>
  <c r="BE56" i="1"/>
  <c r="BF56" i="1"/>
  <c r="BG56" i="1"/>
  <c r="BH56" i="1"/>
  <c r="BI56" i="1"/>
  <c r="BJ56" i="1"/>
  <c r="CI56" i="1"/>
  <c r="BK56" i="1"/>
  <c r="BL56" i="1"/>
  <c r="BM56" i="1"/>
  <c r="BN56" i="1"/>
  <c r="BO56" i="1"/>
  <c r="BP56" i="1"/>
  <c r="BQ56" i="1"/>
  <c r="BR56" i="1"/>
  <c r="CJ56" i="1"/>
  <c r="BS56" i="1"/>
  <c r="BT56" i="1"/>
  <c r="BU56" i="1"/>
  <c r="BV56" i="1"/>
  <c r="BW56" i="1"/>
  <c r="BX56" i="1"/>
  <c r="BY56" i="1"/>
  <c r="BZ56" i="1"/>
  <c r="CK56" i="1"/>
  <c r="CL56" i="1"/>
  <c r="AZ56" i="1"/>
  <c r="BA56" i="1"/>
  <c r="BB56" i="1"/>
  <c r="AY56" i="1"/>
  <c r="AV56" i="1"/>
  <c r="AW56" i="1"/>
  <c r="AX56" i="1"/>
  <c r="AU56" i="1"/>
  <c r="AT56" i="1"/>
  <c r="AS56" i="1"/>
  <c r="CA60" i="1"/>
  <c r="CB60" i="1"/>
  <c r="CC60" i="1"/>
  <c r="CD60" i="1"/>
  <c r="CE60" i="1"/>
  <c r="CF60" i="1"/>
  <c r="CH60" i="1"/>
  <c r="BC60" i="1"/>
  <c r="BD60" i="1"/>
  <c r="BE60" i="1"/>
  <c r="BF60" i="1"/>
  <c r="BG60" i="1"/>
  <c r="BH60" i="1"/>
  <c r="BI60" i="1"/>
  <c r="BJ60" i="1"/>
  <c r="CI60" i="1"/>
  <c r="BK60" i="1"/>
  <c r="BL60" i="1"/>
  <c r="BM60" i="1"/>
  <c r="BN60" i="1"/>
  <c r="BO60" i="1"/>
  <c r="BP60" i="1"/>
  <c r="BQ60" i="1"/>
  <c r="BR60" i="1"/>
  <c r="CJ60" i="1"/>
  <c r="BS60" i="1"/>
  <c r="BT60" i="1"/>
  <c r="BU60" i="1"/>
  <c r="BV60" i="1"/>
  <c r="BW60" i="1"/>
  <c r="BX60" i="1"/>
  <c r="BY60" i="1"/>
  <c r="BZ60" i="1"/>
  <c r="CK60" i="1"/>
  <c r="CL60" i="1"/>
  <c r="AZ60" i="1"/>
  <c r="BA60" i="1"/>
  <c r="BB60" i="1"/>
  <c r="AY60" i="1"/>
  <c r="AV60" i="1"/>
  <c r="AW60" i="1"/>
  <c r="AX60" i="1"/>
  <c r="AU60" i="1"/>
  <c r="AT60" i="1"/>
  <c r="AS60" i="1"/>
  <c r="CA100" i="1"/>
  <c r="CB100" i="1"/>
  <c r="CC100" i="1"/>
  <c r="CD100" i="1"/>
  <c r="CE100" i="1"/>
  <c r="CF100" i="1"/>
  <c r="CH100" i="1"/>
  <c r="BC100" i="1"/>
  <c r="BD100" i="1"/>
  <c r="BE100" i="1"/>
  <c r="BF100" i="1"/>
  <c r="BG100" i="1"/>
  <c r="BH100" i="1"/>
  <c r="BI100" i="1"/>
  <c r="BJ100" i="1"/>
  <c r="CI100" i="1"/>
  <c r="BK100" i="1"/>
  <c r="BL100" i="1"/>
  <c r="BM100" i="1"/>
  <c r="BN100" i="1"/>
  <c r="BO100" i="1"/>
  <c r="BP100" i="1"/>
  <c r="BQ100" i="1"/>
  <c r="BR100" i="1"/>
  <c r="CJ100" i="1"/>
  <c r="BS100" i="1"/>
  <c r="BT100" i="1"/>
  <c r="BU100" i="1"/>
  <c r="BV100" i="1"/>
  <c r="BW100" i="1"/>
  <c r="BX100" i="1"/>
  <c r="BY100" i="1"/>
  <c r="BZ100" i="1"/>
  <c r="CK100" i="1"/>
  <c r="CL100" i="1"/>
  <c r="AZ100" i="1"/>
  <c r="BA100" i="1"/>
  <c r="BB100" i="1"/>
  <c r="AY100" i="1"/>
  <c r="AV100" i="1"/>
  <c r="AW100" i="1"/>
  <c r="AX100" i="1"/>
  <c r="AU100" i="1"/>
  <c r="AT100" i="1"/>
  <c r="AS100" i="1"/>
  <c r="CA12" i="1"/>
  <c r="CB12" i="1"/>
  <c r="CC12" i="1"/>
  <c r="CD12" i="1"/>
  <c r="CE12" i="1"/>
  <c r="CF12" i="1"/>
  <c r="CH12" i="1"/>
  <c r="BC12" i="1"/>
  <c r="BD12" i="1"/>
  <c r="BE12" i="1"/>
  <c r="BF12" i="1"/>
  <c r="BG12" i="1"/>
  <c r="BH12" i="1"/>
  <c r="BI12" i="1"/>
  <c r="BJ12" i="1"/>
  <c r="CI12" i="1"/>
  <c r="BK12" i="1"/>
  <c r="BL12" i="1"/>
  <c r="BM12" i="1"/>
  <c r="BN12" i="1"/>
  <c r="BO12" i="1"/>
  <c r="BP12" i="1"/>
  <c r="BQ12" i="1"/>
  <c r="BR12" i="1"/>
  <c r="CJ12" i="1"/>
  <c r="BS12" i="1"/>
  <c r="BT12" i="1"/>
  <c r="BU12" i="1"/>
  <c r="BV12" i="1"/>
  <c r="BW12" i="1"/>
  <c r="BX12" i="1"/>
  <c r="BY12" i="1"/>
  <c r="BZ12" i="1"/>
  <c r="CK12" i="1"/>
  <c r="CL12" i="1"/>
  <c r="AZ12" i="1"/>
  <c r="BA12" i="1"/>
  <c r="BB12" i="1"/>
  <c r="AY12" i="1"/>
  <c r="AV12" i="1"/>
  <c r="AW12" i="1"/>
  <c r="AX12" i="1"/>
  <c r="AU12" i="1"/>
  <c r="AT12" i="1"/>
  <c r="AS12" i="1"/>
  <c r="CA88" i="1"/>
  <c r="CB88" i="1"/>
  <c r="CC88" i="1"/>
  <c r="CD88" i="1"/>
  <c r="CE88" i="1"/>
  <c r="CF88" i="1"/>
  <c r="CH88" i="1"/>
  <c r="BC88" i="1"/>
  <c r="BD88" i="1"/>
  <c r="BE88" i="1"/>
  <c r="BF88" i="1"/>
  <c r="BG88" i="1"/>
  <c r="BH88" i="1"/>
  <c r="BI88" i="1"/>
  <c r="BJ88" i="1"/>
  <c r="CI88" i="1"/>
  <c r="BK88" i="1"/>
  <c r="BL88" i="1"/>
  <c r="BM88" i="1"/>
  <c r="BN88" i="1"/>
  <c r="BO88" i="1"/>
  <c r="BP88" i="1"/>
  <c r="BQ88" i="1"/>
  <c r="BR88" i="1"/>
  <c r="CJ88" i="1"/>
  <c r="BS88" i="1"/>
  <c r="BT88" i="1"/>
  <c r="BU88" i="1"/>
  <c r="BV88" i="1"/>
  <c r="BW88" i="1"/>
  <c r="BX88" i="1"/>
  <c r="BY88" i="1"/>
  <c r="BZ88" i="1"/>
  <c r="CK88" i="1"/>
  <c r="CL88" i="1"/>
  <c r="AZ88" i="1"/>
  <c r="BA88" i="1"/>
  <c r="BB88" i="1"/>
  <c r="AY88" i="1"/>
  <c r="AV88" i="1"/>
  <c r="AW88" i="1"/>
  <c r="AX88" i="1"/>
  <c r="AU88" i="1"/>
  <c r="AT88" i="1"/>
  <c r="AS88" i="1"/>
  <c r="CA20" i="1"/>
  <c r="CB20" i="1"/>
  <c r="CC20" i="1"/>
  <c r="CD20" i="1"/>
  <c r="CE20" i="1"/>
  <c r="CF20" i="1"/>
  <c r="CH20" i="1"/>
  <c r="BC20" i="1"/>
  <c r="BD20" i="1"/>
  <c r="BE20" i="1"/>
  <c r="BF20" i="1"/>
  <c r="BG20" i="1"/>
  <c r="BH20" i="1"/>
  <c r="BI20" i="1"/>
  <c r="BJ20" i="1"/>
  <c r="CI20" i="1"/>
  <c r="BK20" i="1"/>
  <c r="BL20" i="1"/>
  <c r="BM20" i="1"/>
  <c r="BN20" i="1"/>
  <c r="BO20" i="1"/>
  <c r="BP20" i="1"/>
  <c r="BQ20" i="1"/>
  <c r="BR20" i="1"/>
  <c r="CJ20" i="1"/>
  <c r="BS20" i="1"/>
  <c r="BT20" i="1"/>
  <c r="BU20" i="1"/>
  <c r="BV20" i="1"/>
  <c r="BW20" i="1"/>
  <c r="BX20" i="1"/>
  <c r="BY20" i="1"/>
  <c r="BZ20" i="1"/>
  <c r="CK20" i="1"/>
  <c r="CL20" i="1"/>
  <c r="AZ20" i="1"/>
  <c r="BA20" i="1"/>
  <c r="BB20" i="1"/>
  <c r="AY20" i="1"/>
  <c r="AV20" i="1"/>
  <c r="AW20" i="1"/>
  <c r="AX20" i="1"/>
  <c r="AU20" i="1"/>
  <c r="AT20" i="1"/>
  <c r="AS20" i="1"/>
  <c r="CA36" i="1"/>
  <c r="CB36" i="1"/>
  <c r="CC36" i="1"/>
  <c r="CD36" i="1"/>
  <c r="CE36" i="1"/>
  <c r="CF36" i="1"/>
  <c r="CH36" i="1"/>
  <c r="BC36" i="1"/>
  <c r="BD36" i="1"/>
  <c r="BE36" i="1"/>
  <c r="BF36" i="1"/>
  <c r="BG36" i="1"/>
  <c r="BH36" i="1"/>
  <c r="BI36" i="1"/>
  <c r="BJ36" i="1"/>
  <c r="CI36" i="1"/>
  <c r="BK36" i="1"/>
  <c r="BL36" i="1"/>
  <c r="BM36" i="1"/>
  <c r="BN36" i="1"/>
  <c r="BO36" i="1"/>
  <c r="BP36" i="1"/>
  <c r="BQ36" i="1"/>
  <c r="BR36" i="1"/>
  <c r="CJ36" i="1"/>
  <c r="BS36" i="1"/>
  <c r="BT36" i="1"/>
  <c r="BU36" i="1"/>
  <c r="BV36" i="1"/>
  <c r="BW36" i="1"/>
  <c r="BX36" i="1"/>
  <c r="BY36" i="1"/>
  <c r="BZ36" i="1"/>
  <c r="CK36" i="1"/>
  <c r="CL36" i="1"/>
  <c r="AZ36" i="1"/>
  <c r="BA36" i="1"/>
  <c r="BB36" i="1"/>
  <c r="AY36" i="1"/>
  <c r="AV36" i="1"/>
  <c r="AW36" i="1"/>
  <c r="AX36" i="1"/>
  <c r="AU36" i="1"/>
  <c r="AT36" i="1"/>
  <c r="AS36" i="1"/>
  <c r="CA76" i="1"/>
  <c r="CB76" i="1"/>
  <c r="CC76" i="1"/>
  <c r="CD76" i="1"/>
  <c r="CE76" i="1"/>
  <c r="CF76" i="1"/>
  <c r="CH76" i="1"/>
  <c r="BC76" i="1"/>
  <c r="BD76" i="1"/>
  <c r="BE76" i="1"/>
  <c r="BF76" i="1"/>
  <c r="BG76" i="1"/>
  <c r="BH76" i="1"/>
  <c r="BI76" i="1"/>
  <c r="BJ76" i="1"/>
  <c r="CI76" i="1"/>
  <c r="BK76" i="1"/>
  <c r="BL76" i="1"/>
  <c r="BM76" i="1"/>
  <c r="BN76" i="1"/>
  <c r="BO76" i="1"/>
  <c r="BP76" i="1"/>
  <c r="BQ76" i="1"/>
  <c r="BR76" i="1"/>
  <c r="CJ76" i="1"/>
  <c r="BS76" i="1"/>
  <c r="BT76" i="1"/>
  <c r="BU76" i="1"/>
  <c r="BV76" i="1"/>
  <c r="BW76" i="1"/>
  <c r="BX76" i="1"/>
  <c r="BY76" i="1"/>
  <c r="BZ76" i="1"/>
  <c r="CK76" i="1"/>
  <c r="CL76" i="1"/>
  <c r="AZ76" i="1"/>
  <c r="BA76" i="1"/>
  <c r="BB76" i="1"/>
  <c r="AY76" i="1"/>
  <c r="AV76" i="1"/>
  <c r="AW76" i="1"/>
  <c r="AX76" i="1"/>
  <c r="AU76" i="1"/>
  <c r="AT76" i="1"/>
  <c r="AS76" i="1"/>
  <c r="CA4" i="1"/>
  <c r="CB4" i="1"/>
  <c r="CC4" i="1"/>
  <c r="CD4" i="1"/>
  <c r="CE4" i="1"/>
  <c r="CF4" i="1"/>
  <c r="CH4" i="1"/>
  <c r="BC4" i="1"/>
  <c r="BD4" i="1"/>
  <c r="BE4" i="1"/>
  <c r="BF4" i="1"/>
  <c r="BG4" i="1"/>
  <c r="BH4" i="1"/>
  <c r="BI4" i="1"/>
  <c r="BJ4" i="1"/>
  <c r="CI4" i="1"/>
  <c r="BK4" i="1"/>
  <c r="BL4" i="1"/>
  <c r="BM4" i="1"/>
  <c r="BN4" i="1"/>
  <c r="BO4" i="1"/>
  <c r="BP4" i="1"/>
  <c r="BQ4" i="1"/>
  <c r="BR4" i="1"/>
  <c r="CJ4" i="1"/>
  <c r="BS4" i="1"/>
  <c r="BT4" i="1"/>
  <c r="BU4" i="1"/>
  <c r="BV4" i="1"/>
  <c r="BW4" i="1"/>
  <c r="BX4" i="1"/>
  <c r="BY4" i="1"/>
  <c r="BZ4" i="1"/>
  <c r="CK4" i="1"/>
  <c r="CL4" i="1"/>
  <c r="AZ4" i="1"/>
  <c r="BA4" i="1"/>
  <c r="BB4" i="1"/>
  <c r="AY4" i="1"/>
  <c r="AV4" i="1"/>
  <c r="AW4" i="1"/>
  <c r="AX4" i="1"/>
  <c r="AU4" i="1"/>
  <c r="AT4" i="1"/>
  <c r="AS4" i="1"/>
  <c r="CA64" i="1"/>
  <c r="CB64" i="1"/>
  <c r="CC64" i="1"/>
  <c r="CD64" i="1"/>
  <c r="CE64" i="1"/>
  <c r="CF64" i="1"/>
  <c r="CH64" i="1"/>
  <c r="BC64" i="1"/>
  <c r="BD64" i="1"/>
  <c r="BE64" i="1"/>
  <c r="BF64" i="1"/>
  <c r="BG64" i="1"/>
  <c r="BH64" i="1"/>
  <c r="BI64" i="1"/>
  <c r="BJ64" i="1"/>
  <c r="CI64" i="1"/>
  <c r="BK64" i="1"/>
  <c r="BL64" i="1"/>
  <c r="BM64" i="1"/>
  <c r="BN64" i="1"/>
  <c r="BO64" i="1"/>
  <c r="BP64" i="1"/>
  <c r="BQ64" i="1"/>
  <c r="BR64" i="1"/>
  <c r="CJ64" i="1"/>
  <c r="BS64" i="1"/>
  <c r="BT64" i="1"/>
  <c r="BU64" i="1"/>
  <c r="BV64" i="1"/>
  <c r="BW64" i="1"/>
  <c r="BX64" i="1"/>
  <c r="BY64" i="1"/>
  <c r="BZ64" i="1"/>
  <c r="CK64" i="1"/>
  <c r="CL64" i="1"/>
  <c r="AZ64" i="1"/>
  <c r="BA64" i="1"/>
  <c r="BB64" i="1"/>
  <c r="AY64" i="1"/>
  <c r="AV64" i="1"/>
  <c r="AW64" i="1"/>
  <c r="AX64" i="1"/>
  <c r="AU64" i="1"/>
  <c r="AT64" i="1"/>
  <c r="AS64" i="1"/>
  <c r="CA40" i="1"/>
  <c r="CB40" i="1"/>
  <c r="CC40" i="1"/>
  <c r="CD40" i="1"/>
  <c r="CE40" i="1"/>
  <c r="CF40" i="1"/>
  <c r="CH40" i="1"/>
  <c r="BC40" i="1"/>
  <c r="BD40" i="1"/>
  <c r="BE40" i="1"/>
  <c r="BF40" i="1"/>
  <c r="BG40" i="1"/>
  <c r="BH40" i="1"/>
  <c r="BI40" i="1"/>
  <c r="BJ40" i="1"/>
  <c r="CI40" i="1"/>
  <c r="BK40" i="1"/>
  <c r="BL40" i="1"/>
  <c r="BM40" i="1"/>
  <c r="BN40" i="1"/>
  <c r="BO40" i="1"/>
  <c r="BP40" i="1"/>
  <c r="BQ40" i="1"/>
  <c r="BR40" i="1"/>
  <c r="CJ40" i="1"/>
  <c r="BS40" i="1"/>
  <c r="BT40" i="1"/>
  <c r="BU40" i="1"/>
  <c r="BV40" i="1"/>
  <c r="BW40" i="1"/>
  <c r="BX40" i="1"/>
  <c r="BY40" i="1"/>
  <c r="BZ40" i="1"/>
  <c r="CK40" i="1"/>
  <c r="CL40" i="1"/>
  <c r="AZ40" i="1"/>
  <c r="BA40" i="1"/>
  <c r="BB40" i="1"/>
  <c r="AY40" i="1"/>
  <c r="AV40" i="1"/>
  <c r="AW40" i="1"/>
  <c r="AX40" i="1"/>
  <c r="AU40" i="1"/>
  <c r="AT40" i="1"/>
  <c r="AS40" i="1"/>
  <c r="CA25" i="1"/>
  <c r="CB25" i="1"/>
  <c r="CC25" i="1"/>
  <c r="CD25" i="1"/>
  <c r="CE25" i="1"/>
  <c r="CF25" i="1"/>
  <c r="CH25" i="1"/>
  <c r="BC25" i="1"/>
  <c r="BD25" i="1"/>
  <c r="BE25" i="1"/>
  <c r="BF25" i="1"/>
  <c r="BG25" i="1"/>
  <c r="BH25" i="1"/>
  <c r="BI25" i="1"/>
  <c r="BJ25" i="1"/>
  <c r="CI25" i="1"/>
  <c r="BK25" i="1"/>
  <c r="BL25" i="1"/>
  <c r="BM25" i="1"/>
  <c r="BN25" i="1"/>
  <c r="BO25" i="1"/>
  <c r="BP25" i="1"/>
  <c r="BQ25" i="1"/>
  <c r="BR25" i="1"/>
  <c r="CJ25" i="1"/>
  <c r="BS25" i="1"/>
  <c r="BT25" i="1"/>
  <c r="BU25" i="1"/>
  <c r="BV25" i="1"/>
  <c r="BW25" i="1"/>
  <c r="BX25" i="1"/>
  <c r="BY25" i="1"/>
  <c r="BZ25" i="1"/>
  <c r="CK25" i="1"/>
  <c r="CL25" i="1"/>
  <c r="AZ25" i="1"/>
  <c r="BA25" i="1"/>
  <c r="BB25" i="1"/>
  <c r="AY25" i="1"/>
  <c r="AV25" i="1"/>
  <c r="AW25" i="1"/>
  <c r="AX25" i="1"/>
  <c r="AU25" i="1"/>
  <c r="AT25" i="1"/>
  <c r="AS25" i="1"/>
  <c r="CA24" i="1"/>
  <c r="CB24" i="1"/>
  <c r="CC24" i="1"/>
  <c r="CD24" i="1"/>
  <c r="CE24" i="1"/>
  <c r="CF24" i="1"/>
  <c r="CH24" i="1"/>
  <c r="BC24" i="1"/>
  <c r="BD24" i="1"/>
  <c r="BE24" i="1"/>
  <c r="BF24" i="1"/>
  <c r="BG24" i="1"/>
  <c r="BH24" i="1"/>
  <c r="BI24" i="1"/>
  <c r="BJ24" i="1"/>
  <c r="CI24" i="1"/>
  <c r="BK24" i="1"/>
  <c r="BL24" i="1"/>
  <c r="BM24" i="1"/>
  <c r="BN24" i="1"/>
  <c r="BO24" i="1"/>
  <c r="BP24" i="1"/>
  <c r="BQ24" i="1"/>
  <c r="BR24" i="1"/>
  <c r="CJ24" i="1"/>
  <c r="BS24" i="1"/>
  <c r="BT24" i="1"/>
  <c r="BU24" i="1"/>
  <c r="BV24" i="1"/>
  <c r="BW24" i="1"/>
  <c r="BX24" i="1"/>
  <c r="BY24" i="1"/>
  <c r="BZ24" i="1"/>
  <c r="CK24" i="1"/>
  <c r="CL24" i="1"/>
  <c r="AZ24" i="1"/>
  <c r="BA24" i="1"/>
  <c r="BB24" i="1"/>
  <c r="AY24" i="1"/>
  <c r="AV24" i="1"/>
  <c r="AW24" i="1"/>
  <c r="AX24" i="1"/>
  <c r="AU24" i="1"/>
  <c r="AT24" i="1"/>
  <c r="AS24" i="1"/>
  <c r="CA28" i="1"/>
  <c r="CB28" i="1"/>
  <c r="CC28" i="1"/>
  <c r="CD28" i="1"/>
  <c r="CE28" i="1"/>
  <c r="CF28" i="1"/>
  <c r="CH28" i="1"/>
  <c r="BC28" i="1"/>
  <c r="BD28" i="1"/>
  <c r="BE28" i="1"/>
  <c r="BF28" i="1"/>
  <c r="BG28" i="1"/>
  <c r="BH28" i="1"/>
  <c r="BI28" i="1"/>
  <c r="BJ28" i="1"/>
  <c r="CI28" i="1"/>
  <c r="BK28" i="1"/>
  <c r="BL28" i="1"/>
  <c r="BM28" i="1"/>
  <c r="BN28" i="1"/>
  <c r="BO28" i="1"/>
  <c r="BP28" i="1"/>
  <c r="BQ28" i="1"/>
  <c r="BR28" i="1"/>
  <c r="CJ28" i="1"/>
  <c r="BS28" i="1"/>
  <c r="BT28" i="1"/>
  <c r="BU28" i="1"/>
  <c r="BV28" i="1"/>
  <c r="BW28" i="1"/>
  <c r="BX28" i="1"/>
  <c r="BY28" i="1"/>
  <c r="BZ28" i="1"/>
  <c r="CK28" i="1"/>
  <c r="CL28" i="1"/>
  <c r="AZ28" i="1"/>
  <c r="BA28" i="1"/>
  <c r="BB28" i="1"/>
  <c r="AY28" i="1"/>
  <c r="AV28" i="1"/>
  <c r="AW28" i="1"/>
  <c r="AX28" i="1"/>
  <c r="AU28" i="1"/>
  <c r="AT28" i="1"/>
  <c r="AS28" i="1"/>
  <c r="CA96" i="1"/>
  <c r="CB96" i="1"/>
  <c r="CC96" i="1"/>
  <c r="CD96" i="1"/>
  <c r="CE96" i="1"/>
  <c r="CF96" i="1"/>
  <c r="CH96" i="1"/>
  <c r="BC96" i="1"/>
  <c r="BD96" i="1"/>
  <c r="BE96" i="1"/>
  <c r="BF96" i="1"/>
  <c r="BG96" i="1"/>
  <c r="BH96" i="1"/>
  <c r="BI96" i="1"/>
  <c r="BJ96" i="1"/>
  <c r="CI96" i="1"/>
  <c r="BK96" i="1"/>
  <c r="BL96" i="1"/>
  <c r="BM96" i="1"/>
  <c r="BN96" i="1"/>
  <c r="BO96" i="1"/>
  <c r="BP96" i="1"/>
  <c r="BQ96" i="1"/>
  <c r="BR96" i="1"/>
  <c r="CJ96" i="1"/>
  <c r="BS96" i="1"/>
  <c r="BT96" i="1"/>
  <c r="BU96" i="1"/>
  <c r="BV96" i="1"/>
  <c r="BW96" i="1"/>
  <c r="BX96" i="1"/>
  <c r="BY96" i="1"/>
  <c r="BZ96" i="1"/>
  <c r="CK96" i="1"/>
  <c r="CL96" i="1"/>
  <c r="AZ96" i="1"/>
  <c r="BA96" i="1"/>
  <c r="BB96" i="1"/>
  <c r="AY96" i="1"/>
  <c r="AV96" i="1"/>
  <c r="AW96" i="1"/>
  <c r="AX96" i="1"/>
  <c r="AU96" i="1"/>
  <c r="AT96" i="1"/>
  <c r="AS96" i="1"/>
  <c r="CA72" i="1"/>
  <c r="CB72" i="1"/>
  <c r="CC72" i="1"/>
  <c r="CD72" i="1"/>
  <c r="CE72" i="1"/>
  <c r="CF72" i="1"/>
  <c r="CH72" i="1"/>
  <c r="BC72" i="1"/>
  <c r="BD72" i="1"/>
  <c r="BE72" i="1"/>
  <c r="BF72" i="1"/>
  <c r="BG72" i="1"/>
  <c r="BH72" i="1"/>
  <c r="BI72" i="1"/>
  <c r="BJ72" i="1"/>
  <c r="CI72" i="1"/>
  <c r="BK72" i="1"/>
  <c r="BL72" i="1"/>
  <c r="BM72" i="1"/>
  <c r="BN72" i="1"/>
  <c r="BO72" i="1"/>
  <c r="BP72" i="1"/>
  <c r="BQ72" i="1"/>
  <c r="BR72" i="1"/>
  <c r="CJ72" i="1"/>
  <c r="BS72" i="1"/>
  <c r="BT72" i="1"/>
  <c r="BU72" i="1"/>
  <c r="BV72" i="1"/>
  <c r="BW72" i="1"/>
  <c r="BX72" i="1"/>
  <c r="BY72" i="1"/>
  <c r="BZ72" i="1"/>
  <c r="CK72" i="1"/>
  <c r="CL72" i="1"/>
  <c r="AZ72" i="1"/>
  <c r="BA72" i="1"/>
  <c r="BB72" i="1"/>
  <c r="AY72" i="1"/>
  <c r="AV72" i="1"/>
  <c r="AW72" i="1"/>
  <c r="AX72" i="1"/>
  <c r="AU72" i="1"/>
  <c r="AT72" i="1"/>
  <c r="AS72" i="1"/>
  <c r="CA104" i="1"/>
  <c r="CB104" i="1"/>
  <c r="CC104" i="1"/>
  <c r="CD104" i="1"/>
  <c r="CE104" i="1"/>
  <c r="CF104" i="1"/>
  <c r="CH104" i="1"/>
  <c r="BC104" i="1"/>
  <c r="BD104" i="1"/>
  <c r="BE104" i="1"/>
  <c r="BF104" i="1"/>
  <c r="BG104" i="1"/>
  <c r="BH104" i="1"/>
  <c r="BI104" i="1"/>
  <c r="BJ104" i="1"/>
  <c r="CI104" i="1"/>
  <c r="BK104" i="1"/>
  <c r="BL104" i="1"/>
  <c r="BM104" i="1"/>
  <c r="BN104" i="1"/>
  <c r="BO104" i="1"/>
  <c r="BP104" i="1"/>
  <c r="BQ104" i="1"/>
  <c r="BR104" i="1"/>
  <c r="CJ104" i="1"/>
  <c r="BS104" i="1"/>
  <c r="BT104" i="1"/>
  <c r="BU104" i="1"/>
  <c r="BV104" i="1"/>
  <c r="BW104" i="1"/>
  <c r="BX104" i="1"/>
  <c r="BY104" i="1"/>
  <c r="BZ104" i="1"/>
  <c r="CK104" i="1"/>
  <c r="CL104" i="1"/>
  <c r="AZ104" i="1"/>
  <c r="BA104" i="1"/>
  <c r="BB104" i="1"/>
  <c r="AY104" i="1"/>
  <c r="AV104" i="1"/>
  <c r="AW104" i="1"/>
  <c r="AX104" i="1"/>
  <c r="AU104" i="1"/>
  <c r="AT104" i="1"/>
  <c r="AS104" i="1"/>
  <c r="CA84" i="1"/>
  <c r="CB84" i="1"/>
  <c r="CC84" i="1"/>
  <c r="CD84" i="1"/>
  <c r="CE84" i="1"/>
  <c r="CF84" i="1"/>
  <c r="CH84" i="1"/>
  <c r="BC84" i="1"/>
  <c r="BD84" i="1"/>
  <c r="BE84" i="1"/>
  <c r="BF84" i="1"/>
  <c r="BG84" i="1"/>
  <c r="BH84" i="1"/>
  <c r="BI84" i="1"/>
  <c r="BJ84" i="1"/>
  <c r="CI84" i="1"/>
  <c r="BK84" i="1"/>
  <c r="BL84" i="1"/>
  <c r="BM84" i="1"/>
  <c r="BN84" i="1"/>
  <c r="BO84" i="1"/>
  <c r="BP84" i="1"/>
  <c r="BQ84" i="1"/>
  <c r="BR84" i="1"/>
  <c r="CJ84" i="1"/>
  <c r="BS84" i="1"/>
  <c r="BT84" i="1"/>
  <c r="BU84" i="1"/>
  <c r="BV84" i="1"/>
  <c r="BW84" i="1"/>
  <c r="BX84" i="1"/>
  <c r="BY84" i="1"/>
  <c r="BZ84" i="1"/>
  <c r="CK84" i="1"/>
  <c r="CL84" i="1"/>
  <c r="AZ84" i="1"/>
  <c r="BA84" i="1"/>
  <c r="BB84" i="1"/>
  <c r="AY84" i="1"/>
  <c r="AV84" i="1"/>
  <c r="AW84" i="1"/>
  <c r="AX84" i="1"/>
  <c r="AU84" i="1"/>
  <c r="AT84" i="1"/>
  <c r="AS84" i="1"/>
  <c r="CA44" i="1"/>
  <c r="CB44" i="1"/>
  <c r="CC44" i="1"/>
  <c r="CD44" i="1"/>
  <c r="CE44" i="1"/>
  <c r="CF44" i="1"/>
  <c r="CH44" i="1"/>
  <c r="BC44" i="1"/>
  <c r="BD44" i="1"/>
  <c r="BE44" i="1"/>
  <c r="BF44" i="1"/>
  <c r="BG44" i="1"/>
  <c r="BH44" i="1"/>
  <c r="BI44" i="1"/>
  <c r="BJ44" i="1"/>
  <c r="CI44" i="1"/>
  <c r="BK44" i="1"/>
  <c r="BL44" i="1"/>
  <c r="BM44" i="1"/>
  <c r="BN44" i="1"/>
  <c r="BO44" i="1"/>
  <c r="BP44" i="1"/>
  <c r="BQ44" i="1"/>
  <c r="BR44" i="1"/>
  <c r="CJ44" i="1"/>
  <c r="BS44" i="1"/>
  <c r="BT44" i="1"/>
  <c r="BU44" i="1"/>
  <c r="BV44" i="1"/>
  <c r="BW44" i="1"/>
  <c r="BX44" i="1"/>
  <c r="BY44" i="1"/>
  <c r="BZ44" i="1"/>
  <c r="CK44" i="1"/>
  <c r="CL44" i="1"/>
  <c r="AZ44" i="1"/>
  <c r="BA44" i="1"/>
  <c r="BB44" i="1"/>
  <c r="AY44" i="1"/>
  <c r="AV44" i="1"/>
  <c r="AW44" i="1"/>
  <c r="AX44" i="1"/>
  <c r="AU44" i="1"/>
  <c r="AT44" i="1"/>
  <c r="AS44" i="1"/>
  <c r="CA48" i="1"/>
  <c r="CB48" i="1"/>
  <c r="CC48" i="1"/>
  <c r="CD48" i="1"/>
  <c r="CE48" i="1"/>
  <c r="CF48" i="1"/>
  <c r="CH48" i="1"/>
  <c r="BC48" i="1"/>
  <c r="BD48" i="1"/>
  <c r="BE48" i="1"/>
  <c r="BF48" i="1"/>
  <c r="BG48" i="1"/>
  <c r="BH48" i="1"/>
  <c r="BI48" i="1"/>
  <c r="BJ48" i="1"/>
  <c r="CI48" i="1"/>
  <c r="BK48" i="1"/>
  <c r="BL48" i="1"/>
  <c r="BM48" i="1"/>
  <c r="BN48" i="1"/>
  <c r="BO48" i="1"/>
  <c r="BP48" i="1"/>
  <c r="BQ48" i="1"/>
  <c r="BR48" i="1"/>
  <c r="CJ48" i="1"/>
  <c r="BS48" i="1"/>
  <c r="BT48" i="1"/>
  <c r="BU48" i="1"/>
  <c r="BV48" i="1"/>
  <c r="BW48" i="1"/>
  <c r="BX48" i="1"/>
  <c r="BY48" i="1"/>
  <c r="BZ48" i="1"/>
  <c r="CK48" i="1"/>
  <c r="CL48" i="1"/>
  <c r="AZ48" i="1"/>
  <c r="BA48" i="1"/>
  <c r="BB48" i="1"/>
  <c r="AY48" i="1"/>
  <c r="AV48" i="1"/>
  <c r="AW48" i="1"/>
  <c r="AX48" i="1"/>
  <c r="AU48" i="1"/>
  <c r="AT48" i="1"/>
  <c r="AS48" i="1"/>
  <c r="CA79" i="1"/>
  <c r="CB79" i="1"/>
  <c r="CC79" i="1"/>
  <c r="CD79" i="1"/>
  <c r="CE79" i="1"/>
  <c r="CF79" i="1"/>
  <c r="CH79" i="1"/>
  <c r="BC79" i="1"/>
  <c r="BD79" i="1"/>
  <c r="BE79" i="1"/>
  <c r="BF79" i="1"/>
  <c r="BG79" i="1"/>
  <c r="BH79" i="1"/>
  <c r="BI79" i="1"/>
  <c r="BJ79" i="1"/>
  <c r="CI79" i="1"/>
  <c r="BK79" i="1"/>
  <c r="BL79" i="1"/>
  <c r="BM79" i="1"/>
  <c r="BN79" i="1"/>
  <c r="BO79" i="1"/>
  <c r="BP79" i="1"/>
  <c r="BQ79" i="1"/>
  <c r="BR79" i="1"/>
  <c r="CJ79" i="1"/>
  <c r="BS79" i="1"/>
  <c r="BT79" i="1"/>
  <c r="BU79" i="1"/>
  <c r="BV79" i="1"/>
  <c r="BW79" i="1"/>
  <c r="BX79" i="1"/>
  <c r="BY79" i="1"/>
  <c r="BZ79" i="1"/>
  <c r="CK79" i="1"/>
  <c r="CL79" i="1"/>
  <c r="AZ79" i="1"/>
  <c r="BA79" i="1"/>
  <c r="BB79" i="1"/>
  <c r="AY79" i="1"/>
  <c r="AV79" i="1"/>
  <c r="AW79" i="1"/>
  <c r="AX79" i="1"/>
  <c r="AU79" i="1"/>
  <c r="AT79" i="1"/>
  <c r="AS79" i="1"/>
  <c r="CA63" i="1"/>
  <c r="CB63" i="1"/>
  <c r="CC63" i="1"/>
  <c r="CD63" i="1"/>
  <c r="CE63" i="1"/>
  <c r="CF63" i="1"/>
  <c r="CH63" i="1"/>
  <c r="BC63" i="1"/>
  <c r="BD63" i="1"/>
  <c r="BE63" i="1"/>
  <c r="BF63" i="1"/>
  <c r="BG63" i="1"/>
  <c r="BH63" i="1"/>
  <c r="BI63" i="1"/>
  <c r="BJ63" i="1"/>
  <c r="CI63" i="1"/>
  <c r="BK63" i="1"/>
  <c r="BL63" i="1"/>
  <c r="BM63" i="1"/>
  <c r="BN63" i="1"/>
  <c r="BO63" i="1"/>
  <c r="BP63" i="1"/>
  <c r="BQ63" i="1"/>
  <c r="BR63" i="1"/>
  <c r="CJ63" i="1"/>
  <c r="BS63" i="1"/>
  <c r="BT63" i="1"/>
  <c r="BU63" i="1"/>
  <c r="BV63" i="1"/>
  <c r="BW63" i="1"/>
  <c r="BX63" i="1"/>
  <c r="BY63" i="1"/>
  <c r="BZ63" i="1"/>
  <c r="CK63" i="1"/>
  <c r="CL63" i="1"/>
  <c r="AZ63" i="1"/>
  <c r="BA63" i="1"/>
  <c r="BB63" i="1"/>
  <c r="AY63" i="1"/>
  <c r="AV63" i="1"/>
  <c r="AW63" i="1"/>
  <c r="AX63" i="1"/>
  <c r="AU63" i="1"/>
  <c r="AT63" i="1"/>
  <c r="AS63" i="1"/>
  <c r="CA47" i="1"/>
  <c r="CB47" i="1"/>
  <c r="CC47" i="1"/>
  <c r="CD47" i="1"/>
  <c r="CE47" i="1"/>
  <c r="CF47" i="1"/>
  <c r="CH47" i="1"/>
  <c r="BC47" i="1"/>
  <c r="BD47" i="1"/>
  <c r="BE47" i="1"/>
  <c r="BF47" i="1"/>
  <c r="BG47" i="1"/>
  <c r="BH47" i="1"/>
  <c r="BI47" i="1"/>
  <c r="BJ47" i="1"/>
  <c r="CI47" i="1"/>
  <c r="BK47" i="1"/>
  <c r="BL47" i="1"/>
  <c r="BM47" i="1"/>
  <c r="BN47" i="1"/>
  <c r="BO47" i="1"/>
  <c r="BP47" i="1"/>
  <c r="BQ47" i="1"/>
  <c r="BR47" i="1"/>
  <c r="CJ47" i="1"/>
  <c r="BS47" i="1"/>
  <c r="BT47" i="1"/>
  <c r="BU47" i="1"/>
  <c r="BV47" i="1"/>
  <c r="BW47" i="1"/>
  <c r="BX47" i="1"/>
  <c r="BY47" i="1"/>
  <c r="BZ47" i="1"/>
  <c r="CK47" i="1"/>
  <c r="CL47" i="1"/>
  <c r="AZ47" i="1"/>
  <c r="BA47" i="1"/>
  <c r="BB47" i="1"/>
  <c r="AY47" i="1"/>
  <c r="AV47" i="1"/>
  <c r="AW47" i="1"/>
  <c r="AX47" i="1"/>
  <c r="AU47" i="1"/>
  <c r="AT47" i="1"/>
  <c r="AS47" i="1"/>
  <c r="CA46" i="1"/>
  <c r="CB46" i="1"/>
  <c r="CC46" i="1"/>
  <c r="CD46" i="1"/>
  <c r="CE46" i="1"/>
  <c r="CF46" i="1"/>
  <c r="CH46" i="1"/>
  <c r="BC46" i="1"/>
  <c r="BD46" i="1"/>
  <c r="BE46" i="1"/>
  <c r="BF46" i="1"/>
  <c r="BG46" i="1"/>
  <c r="BH46" i="1"/>
  <c r="BI46" i="1"/>
  <c r="BJ46" i="1"/>
  <c r="CI46" i="1"/>
  <c r="BK46" i="1"/>
  <c r="BL46" i="1"/>
  <c r="BM46" i="1"/>
  <c r="BN46" i="1"/>
  <c r="BO46" i="1"/>
  <c r="BP46" i="1"/>
  <c r="BQ46" i="1"/>
  <c r="BR46" i="1"/>
  <c r="CJ46" i="1"/>
  <c r="BS46" i="1"/>
  <c r="BT46" i="1"/>
  <c r="BU46" i="1"/>
  <c r="BV46" i="1"/>
  <c r="BW46" i="1"/>
  <c r="BX46" i="1"/>
  <c r="BY46" i="1"/>
  <c r="BZ46" i="1"/>
  <c r="CK46" i="1"/>
  <c r="CL46" i="1"/>
  <c r="AZ46" i="1"/>
  <c r="BA46" i="1"/>
  <c r="BB46" i="1"/>
  <c r="AY46" i="1"/>
  <c r="AV46" i="1"/>
  <c r="AW46" i="1"/>
  <c r="AX46" i="1"/>
  <c r="AU46" i="1"/>
  <c r="AT46" i="1"/>
  <c r="AS46" i="1"/>
  <c r="CA71" i="1"/>
  <c r="CB71" i="1"/>
  <c r="CC71" i="1"/>
  <c r="CD71" i="1"/>
  <c r="CE71" i="1"/>
  <c r="CF71" i="1"/>
  <c r="CH71" i="1"/>
  <c r="BC71" i="1"/>
  <c r="BD71" i="1"/>
  <c r="BE71" i="1"/>
  <c r="BF71" i="1"/>
  <c r="BG71" i="1"/>
  <c r="BH71" i="1"/>
  <c r="BI71" i="1"/>
  <c r="BJ71" i="1"/>
  <c r="CI71" i="1"/>
  <c r="BK71" i="1"/>
  <c r="BL71" i="1"/>
  <c r="BM71" i="1"/>
  <c r="BN71" i="1"/>
  <c r="BO71" i="1"/>
  <c r="BP71" i="1"/>
  <c r="BQ71" i="1"/>
  <c r="BR71" i="1"/>
  <c r="CJ71" i="1"/>
  <c r="BS71" i="1"/>
  <c r="BT71" i="1"/>
  <c r="BU71" i="1"/>
  <c r="BV71" i="1"/>
  <c r="BW71" i="1"/>
  <c r="BX71" i="1"/>
  <c r="BY71" i="1"/>
  <c r="BZ71" i="1"/>
  <c r="CK71" i="1"/>
  <c r="CL71" i="1"/>
  <c r="AZ71" i="1"/>
  <c r="BA71" i="1"/>
  <c r="BB71" i="1"/>
  <c r="AY71" i="1"/>
  <c r="AV71" i="1"/>
  <c r="AW71" i="1"/>
  <c r="AX71" i="1"/>
  <c r="AU71" i="1"/>
  <c r="AT71" i="1"/>
  <c r="AS71" i="1"/>
  <c r="CA11" i="1"/>
  <c r="CB11" i="1"/>
  <c r="CC11" i="1"/>
  <c r="CD11" i="1"/>
  <c r="CE11" i="1"/>
  <c r="CF11" i="1"/>
  <c r="CH11" i="1"/>
  <c r="BC11" i="1"/>
  <c r="BD11" i="1"/>
  <c r="BE11" i="1"/>
  <c r="BF11" i="1"/>
  <c r="BG11" i="1"/>
  <c r="BH11" i="1"/>
  <c r="BI11" i="1"/>
  <c r="BJ11" i="1"/>
  <c r="CI11" i="1"/>
  <c r="BK11" i="1"/>
  <c r="BL11" i="1"/>
  <c r="BM11" i="1"/>
  <c r="BN11" i="1"/>
  <c r="BO11" i="1"/>
  <c r="BP11" i="1"/>
  <c r="BQ11" i="1"/>
  <c r="BR11" i="1"/>
  <c r="CJ11" i="1"/>
  <c r="BS11" i="1"/>
  <c r="BT11" i="1"/>
  <c r="BU11" i="1"/>
  <c r="BV11" i="1"/>
  <c r="BW11" i="1"/>
  <c r="BX11" i="1"/>
  <c r="BY11" i="1"/>
  <c r="BZ11" i="1"/>
  <c r="CK11" i="1"/>
  <c r="CL11" i="1"/>
  <c r="AZ11" i="1"/>
  <c r="BA11" i="1"/>
  <c r="BB11" i="1"/>
  <c r="AY11" i="1"/>
  <c r="AV11" i="1"/>
  <c r="AW11" i="1"/>
  <c r="AX11" i="1"/>
  <c r="AU11" i="1"/>
  <c r="AT11" i="1"/>
  <c r="AS11" i="1"/>
  <c r="CA51" i="1"/>
  <c r="CB51" i="1"/>
  <c r="CC51" i="1"/>
  <c r="CD51" i="1"/>
  <c r="CE51" i="1"/>
  <c r="CF51" i="1"/>
  <c r="CH51" i="1"/>
  <c r="BC51" i="1"/>
  <c r="BD51" i="1"/>
  <c r="BE51" i="1"/>
  <c r="BF51" i="1"/>
  <c r="BG51" i="1"/>
  <c r="BH51" i="1"/>
  <c r="BI51" i="1"/>
  <c r="BJ51" i="1"/>
  <c r="CI51" i="1"/>
  <c r="BK51" i="1"/>
  <c r="BL51" i="1"/>
  <c r="BM51" i="1"/>
  <c r="BN51" i="1"/>
  <c r="BO51" i="1"/>
  <c r="BP51" i="1"/>
  <c r="BQ51" i="1"/>
  <c r="BR51" i="1"/>
  <c r="CJ51" i="1"/>
  <c r="BS51" i="1"/>
  <c r="BT51" i="1"/>
  <c r="BU51" i="1"/>
  <c r="BV51" i="1"/>
  <c r="BW51" i="1"/>
  <c r="BX51" i="1"/>
  <c r="BY51" i="1"/>
  <c r="BZ51" i="1"/>
  <c r="CK51" i="1"/>
  <c r="CL51" i="1"/>
  <c r="AZ51" i="1"/>
  <c r="BA51" i="1"/>
  <c r="BB51" i="1"/>
  <c r="AY51" i="1"/>
  <c r="AV51" i="1"/>
  <c r="AW51" i="1"/>
  <c r="AX51" i="1"/>
  <c r="AU51" i="1"/>
  <c r="AT51" i="1"/>
  <c r="AS51" i="1"/>
  <c r="CA67" i="1"/>
  <c r="CB67" i="1"/>
  <c r="CC67" i="1"/>
  <c r="CD67" i="1"/>
  <c r="CE67" i="1"/>
  <c r="CF67" i="1"/>
  <c r="CH67" i="1"/>
  <c r="BC67" i="1"/>
  <c r="BD67" i="1"/>
  <c r="BE67" i="1"/>
  <c r="BF67" i="1"/>
  <c r="BG67" i="1"/>
  <c r="BH67" i="1"/>
  <c r="BI67" i="1"/>
  <c r="BJ67" i="1"/>
  <c r="CI67" i="1"/>
  <c r="BK67" i="1"/>
  <c r="BL67" i="1"/>
  <c r="BM67" i="1"/>
  <c r="BN67" i="1"/>
  <c r="BO67" i="1"/>
  <c r="BP67" i="1"/>
  <c r="BQ67" i="1"/>
  <c r="BR67" i="1"/>
  <c r="CJ67" i="1"/>
  <c r="BS67" i="1"/>
  <c r="BT67" i="1"/>
  <c r="BU67" i="1"/>
  <c r="BV67" i="1"/>
  <c r="BW67" i="1"/>
  <c r="BX67" i="1"/>
  <c r="BY67" i="1"/>
  <c r="BZ67" i="1"/>
  <c r="CK67" i="1"/>
  <c r="CL67" i="1"/>
  <c r="AZ67" i="1"/>
  <c r="BA67" i="1"/>
  <c r="BB67" i="1"/>
  <c r="AY67" i="1"/>
  <c r="AV67" i="1"/>
  <c r="AW67" i="1"/>
  <c r="AX67" i="1"/>
  <c r="AU67" i="1"/>
  <c r="AT67" i="1"/>
  <c r="AS67" i="1"/>
  <c r="CA27" i="1"/>
  <c r="CB27" i="1"/>
  <c r="CC27" i="1"/>
  <c r="CD27" i="1"/>
  <c r="CE27" i="1"/>
  <c r="CF27" i="1"/>
  <c r="CH27" i="1"/>
  <c r="BC27" i="1"/>
  <c r="BD27" i="1"/>
  <c r="BE27" i="1"/>
  <c r="BF27" i="1"/>
  <c r="BG27" i="1"/>
  <c r="BH27" i="1"/>
  <c r="BI27" i="1"/>
  <c r="BJ27" i="1"/>
  <c r="CI27" i="1"/>
  <c r="BK27" i="1"/>
  <c r="BL27" i="1"/>
  <c r="BM27" i="1"/>
  <c r="BN27" i="1"/>
  <c r="BO27" i="1"/>
  <c r="BP27" i="1"/>
  <c r="BQ27" i="1"/>
  <c r="BR27" i="1"/>
  <c r="CJ27" i="1"/>
  <c r="BS27" i="1"/>
  <c r="BT27" i="1"/>
  <c r="BU27" i="1"/>
  <c r="BV27" i="1"/>
  <c r="BW27" i="1"/>
  <c r="BX27" i="1"/>
  <c r="BY27" i="1"/>
  <c r="BZ27" i="1"/>
  <c r="CK27" i="1"/>
  <c r="CL27" i="1"/>
  <c r="AZ27" i="1"/>
  <c r="BA27" i="1"/>
  <c r="BB27" i="1"/>
  <c r="AY27" i="1"/>
  <c r="AV27" i="1"/>
  <c r="AW27" i="1"/>
  <c r="AX27" i="1"/>
  <c r="AU27" i="1"/>
  <c r="AT27" i="1"/>
  <c r="AS27" i="1"/>
  <c r="CA23" i="1"/>
  <c r="CB23" i="1"/>
  <c r="CC23" i="1"/>
  <c r="CD23" i="1"/>
  <c r="CE23" i="1"/>
  <c r="CF23" i="1"/>
  <c r="CH23" i="1"/>
  <c r="BC23" i="1"/>
  <c r="BD23" i="1"/>
  <c r="BE23" i="1"/>
  <c r="BF23" i="1"/>
  <c r="BG23" i="1"/>
  <c r="BH23" i="1"/>
  <c r="BI23" i="1"/>
  <c r="BJ23" i="1"/>
  <c r="CI23" i="1"/>
  <c r="BK23" i="1"/>
  <c r="BL23" i="1"/>
  <c r="BM23" i="1"/>
  <c r="BN23" i="1"/>
  <c r="BO23" i="1"/>
  <c r="BP23" i="1"/>
  <c r="BQ23" i="1"/>
  <c r="BR23" i="1"/>
  <c r="CJ23" i="1"/>
  <c r="BS23" i="1"/>
  <c r="BT23" i="1"/>
  <c r="BU23" i="1"/>
  <c r="BV23" i="1"/>
  <c r="BW23" i="1"/>
  <c r="BX23" i="1"/>
  <c r="BY23" i="1"/>
  <c r="BZ23" i="1"/>
  <c r="CK23" i="1"/>
  <c r="CL23" i="1"/>
  <c r="AZ23" i="1"/>
  <c r="BA23" i="1"/>
  <c r="BB23" i="1"/>
  <c r="AY23" i="1"/>
  <c r="AV23" i="1"/>
  <c r="AW23" i="1"/>
  <c r="AX23" i="1"/>
  <c r="AU23" i="1"/>
  <c r="AT23" i="1"/>
  <c r="AS23" i="1"/>
  <c r="CA22" i="1"/>
  <c r="CB22" i="1"/>
  <c r="CC22" i="1"/>
  <c r="CD22" i="1"/>
  <c r="CE22" i="1"/>
  <c r="CF22" i="1"/>
  <c r="CH22" i="1"/>
  <c r="BC22" i="1"/>
  <c r="BD22" i="1"/>
  <c r="BE22" i="1"/>
  <c r="BF22" i="1"/>
  <c r="BG22" i="1"/>
  <c r="BH22" i="1"/>
  <c r="BI22" i="1"/>
  <c r="BJ22" i="1"/>
  <c r="CI22" i="1"/>
  <c r="BK22" i="1"/>
  <c r="BL22" i="1"/>
  <c r="BM22" i="1"/>
  <c r="BN22" i="1"/>
  <c r="BO22" i="1"/>
  <c r="BP22" i="1"/>
  <c r="BQ22" i="1"/>
  <c r="BR22" i="1"/>
  <c r="CJ22" i="1"/>
  <c r="BS22" i="1"/>
  <c r="BT22" i="1"/>
  <c r="BU22" i="1"/>
  <c r="BV22" i="1"/>
  <c r="BW22" i="1"/>
  <c r="BX22" i="1"/>
  <c r="BY22" i="1"/>
  <c r="BZ22" i="1"/>
  <c r="CK22" i="1"/>
  <c r="CL22" i="1"/>
  <c r="AZ22" i="1"/>
  <c r="BA22" i="1"/>
  <c r="BB22" i="1"/>
  <c r="AY22" i="1"/>
  <c r="AV22" i="1"/>
  <c r="AW22" i="1"/>
  <c r="AX22" i="1"/>
  <c r="AU22" i="1"/>
  <c r="AT22" i="1"/>
  <c r="AS22" i="1"/>
  <c r="CA31" i="1"/>
  <c r="CB31" i="1"/>
  <c r="CC31" i="1"/>
  <c r="CD31" i="1"/>
  <c r="CE31" i="1"/>
  <c r="CF31" i="1"/>
  <c r="CH31" i="1"/>
  <c r="BC31" i="1"/>
  <c r="BD31" i="1"/>
  <c r="BE31" i="1"/>
  <c r="BF31" i="1"/>
  <c r="BG31" i="1"/>
  <c r="BH31" i="1"/>
  <c r="BI31" i="1"/>
  <c r="BJ31" i="1"/>
  <c r="CI31" i="1"/>
  <c r="BK31" i="1"/>
  <c r="BL31" i="1"/>
  <c r="BM31" i="1"/>
  <c r="BN31" i="1"/>
  <c r="BO31" i="1"/>
  <c r="BP31" i="1"/>
  <c r="BQ31" i="1"/>
  <c r="BR31" i="1"/>
  <c r="CJ31" i="1"/>
  <c r="BS31" i="1"/>
  <c r="BT31" i="1"/>
  <c r="BU31" i="1"/>
  <c r="BV31" i="1"/>
  <c r="BW31" i="1"/>
  <c r="BX31" i="1"/>
  <c r="BY31" i="1"/>
  <c r="BZ31" i="1"/>
  <c r="CK31" i="1"/>
  <c r="CL31" i="1"/>
  <c r="AZ31" i="1"/>
  <c r="BA31" i="1"/>
  <c r="BB31" i="1"/>
  <c r="AY31" i="1"/>
  <c r="AV31" i="1"/>
  <c r="AW31" i="1"/>
  <c r="AX31" i="1"/>
  <c r="AU31" i="1"/>
  <c r="AT31" i="1"/>
  <c r="AS31" i="1"/>
  <c r="CA3" i="1"/>
  <c r="CB3" i="1"/>
  <c r="CC3" i="1"/>
  <c r="CD3" i="1"/>
  <c r="CE3" i="1"/>
  <c r="CF3" i="1"/>
  <c r="CH3" i="1"/>
  <c r="BC3" i="1"/>
  <c r="BD3" i="1"/>
  <c r="BE3" i="1"/>
  <c r="BF3" i="1"/>
  <c r="BG3" i="1"/>
  <c r="BH3" i="1"/>
  <c r="BI3" i="1"/>
  <c r="BJ3" i="1"/>
  <c r="CI3" i="1"/>
  <c r="BK3" i="1"/>
  <c r="BL3" i="1"/>
  <c r="BM3" i="1"/>
  <c r="BN3" i="1"/>
  <c r="BO3" i="1"/>
  <c r="BP3" i="1"/>
  <c r="BQ3" i="1"/>
  <c r="BR3" i="1"/>
  <c r="CJ3" i="1"/>
  <c r="BS3" i="1"/>
  <c r="BT3" i="1"/>
  <c r="BU3" i="1"/>
  <c r="BV3" i="1"/>
  <c r="BW3" i="1"/>
  <c r="BX3" i="1"/>
  <c r="BY3" i="1"/>
  <c r="BZ3" i="1"/>
  <c r="CK3" i="1"/>
  <c r="CL3" i="1"/>
  <c r="AZ3" i="1"/>
  <c r="AY3" i="1"/>
  <c r="AV3" i="1"/>
  <c r="AU3" i="1"/>
  <c r="AT3" i="1"/>
  <c r="AS3" i="1"/>
  <c r="CA39" i="1"/>
  <c r="CB39" i="1"/>
  <c r="CC39" i="1"/>
  <c r="CD39" i="1"/>
  <c r="CE39" i="1"/>
  <c r="CF39" i="1"/>
  <c r="CH39" i="1"/>
  <c r="BC39" i="1"/>
  <c r="BD39" i="1"/>
  <c r="BE39" i="1"/>
  <c r="BF39" i="1"/>
  <c r="BG39" i="1"/>
  <c r="BH39" i="1"/>
  <c r="BI39" i="1"/>
  <c r="BJ39" i="1"/>
  <c r="CI39" i="1"/>
  <c r="BK39" i="1"/>
  <c r="BL39" i="1"/>
  <c r="BM39" i="1"/>
  <c r="BN39" i="1"/>
  <c r="BO39" i="1"/>
  <c r="BP39" i="1"/>
  <c r="BQ39" i="1"/>
  <c r="BR39" i="1"/>
  <c r="CJ39" i="1"/>
  <c r="BS39" i="1"/>
  <c r="BT39" i="1"/>
  <c r="BU39" i="1"/>
  <c r="BV39" i="1"/>
  <c r="BW39" i="1"/>
  <c r="BX39" i="1"/>
  <c r="BY39" i="1"/>
  <c r="BZ39" i="1"/>
  <c r="CK39" i="1"/>
  <c r="CL39" i="1"/>
  <c r="AZ39" i="1"/>
  <c r="BA39" i="1"/>
  <c r="BB39" i="1"/>
  <c r="AY39" i="1"/>
  <c r="AV39" i="1"/>
  <c r="AW39" i="1"/>
  <c r="AX39" i="1"/>
  <c r="AU39" i="1"/>
  <c r="AT39" i="1"/>
  <c r="AS39" i="1"/>
  <c r="CA2" i="1"/>
  <c r="CB2" i="1"/>
  <c r="CC2" i="1"/>
  <c r="CD2" i="1"/>
  <c r="CE2" i="1"/>
  <c r="CF2" i="1"/>
  <c r="CH2" i="1"/>
  <c r="BC2" i="1"/>
  <c r="BD2" i="1"/>
  <c r="BE2" i="1"/>
  <c r="BF2" i="1"/>
  <c r="BG2" i="1"/>
  <c r="BH2" i="1"/>
  <c r="BI2" i="1"/>
  <c r="BJ2" i="1"/>
  <c r="CI2" i="1"/>
  <c r="BK2" i="1"/>
  <c r="BL2" i="1"/>
  <c r="BM2" i="1"/>
  <c r="BN2" i="1"/>
  <c r="BO2" i="1"/>
  <c r="BP2" i="1"/>
  <c r="BQ2" i="1"/>
  <c r="BR2" i="1"/>
  <c r="CJ2" i="1"/>
  <c r="BS2" i="1"/>
  <c r="BT2" i="1"/>
  <c r="BU2" i="1"/>
  <c r="BV2" i="1"/>
  <c r="BW2" i="1"/>
  <c r="BX2" i="1"/>
  <c r="BY2" i="1"/>
  <c r="BZ2" i="1"/>
  <c r="CK2" i="1"/>
  <c r="CL2" i="1"/>
  <c r="AZ2" i="1"/>
  <c r="BA2" i="1"/>
  <c r="BB2" i="1"/>
  <c r="AY2" i="1"/>
  <c r="AV2" i="1"/>
  <c r="AW2" i="1"/>
  <c r="AX2" i="1"/>
  <c r="AU2" i="1"/>
  <c r="AT2" i="1"/>
  <c r="AS2" i="1"/>
  <c r="CA91" i="1"/>
  <c r="CB91" i="1"/>
  <c r="CC91" i="1"/>
  <c r="CD91" i="1"/>
  <c r="CE91" i="1"/>
  <c r="CF91" i="1"/>
  <c r="CH91" i="1"/>
  <c r="BC91" i="1"/>
  <c r="BD91" i="1"/>
  <c r="BE91" i="1"/>
  <c r="BF91" i="1"/>
  <c r="BG91" i="1"/>
  <c r="BH91" i="1"/>
  <c r="BI91" i="1"/>
  <c r="BJ91" i="1"/>
  <c r="CI91" i="1"/>
  <c r="BK91" i="1"/>
  <c r="BL91" i="1"/>
  <c r="BM91" i="1"/>
  <c r="BN91" i="1"/>
  <c r="BO91" i="1"/>
  <c r="BP91" i="1"/>
  <c r="BQ91" i="1"/>
  <c r="BR91" i="1"/>
  <c r="CJ91" i="1"/>
  <c r="BS91" i="1"/>
  <c r="BT91" i="1"/>
  <c r="BU91" i="1"/>
  <c r="BV91" i="1"/>
  <c r="BW91" i="1"/>
  <c r="BX91" i="1"/>
  <c r="BY91" i="1"/>
  <c r="BZ91" i="1"/>
  <c r="CK91" i="1"/>
  <c r="CL91" i="1"/>
  <c r="AZ91" i="1"/>
  <c r="BA91" i="1"/>
  <c r="BB91" i="1"/>
  <c r="AY91" i="1"/>
  <c r="AV91" i="1"/>
  <c r="AW91" i="1"/>
  <c r="AX91" i="1"/>
  <c r="AU91" i="1"/>
  <c r="AT91" i="1"/>
  <c r="AS91" i="1"/>
  <c r="CA19" i="1"/>
  <c r="CB19" i="1"/>
  <c r="CC19" i="1"/>
  <c r="CD19" i="1"/>
  <c r="CE19" i="1"/>
  <c r="CF19" i="1"/>
  <c r="CH19" i="1"/>
  <c r="BC19" i="1"/>
  <c r="BD19" i="1"/>
  <c r="BE19" i="1"/>
  <c r="BF19" i="1"/>
  <c r="BG19" i="1"/>
  <c r="BH19" i="1"/>
  <c r="BI19" i="1"/>
  <c r="BJ19" i="1"/>
  <c r="CI19" i="1"/>
  <c r="BK19" i="1"/>
  <c r="BL19" i="1"/>
  <c r="BM19" i="1"/>
  <c r="BN19" i="1"/>
  <c r="BO19" i="1"/>
  <c r="BP19" i="1"/>
  <c r="BQ19" i="1"/>
  <c r="BR19" i="1"/>
  <c r="CJ19" i="1"/>
  <c r="BS19" i="1"/>
  <c r="BT19" i="1"/>
  <c r="BU19" i="1"/>
  <c r="BV19" i="1"/>
  <c r="BW19" i="1"/>
  <c r="BX19" i="1"/>
  <c r="BY19" i="1"/>
  <c r="BZ19" i="1"/>
  <c r="CK19" i="1"/>
  <c r="CL19" i="1"/>
  <c r="AZ19" i="1"/>
  <c r="BA19" i="1"/>
  <c r="BB19" i="1"/>
  <c r="AY19" i="1"/>
  <c r="AV19" i="1"/>
  <c r="AW19" i="1"/>
  <c r="AX19" i="1"/>
  <c r="AU19" i="1"/>
  <c r="AT19" i="1"/>
  <c r="AS19" i="1"/>
  <c r="CA95" i="1"/>
  <c r="CB95" i="1"/>
  <c r="CC95" i="1"/>
  <c r="CD95" i="1"/>
  <c r="CE95" i="1"/>
  <c r="CF95" i="1"/>
  <c r="CH95" i="1"/>
  <c r="BC95" i="1"/>
  <c r="BD95" i="1"/>
  <c r="BE95" i="1"/>
  <c r="BF95" i="1"/>
  <c r="BG95" i="1"/>
  <c r="BH95" i="1"/>
  <c r="BI95" i="1"/>
  <c r="BJ95" i="1"/>
  <c r="CI95" i="1"/>
  <c r="BK95" i="1"/>
  <c r="BL95" i="1"/>
  <c r="BM95" i="1"/>
  <c r="BN95" i="1"/>
  <c r="BO95" i="1"/>
  <c r="BP95" i="1"/>
  <c r="BQ95" i="1"/>
  <c r="BR95" i="1"/>
  <c r="CJ95" i="1"/>
  <c r="BS95" i="1"/>
  <c r="BT95" i="1"/>
  <c r="BU95" i="1"/>
  <c r="BV95" i="1"/>
  <c r="BW95" i="1"/>
  <c r="BX95" i="1"/>
  <c r="BY95" i="1"/>
  <c r="BZ95" i="1"/>
  <c r="CK95" i="1"/>
  <c r="CL95" i="1"/>
  <c r="AZ95" i="1"/>
  <c r="BA95" i="1"/>
  <c r="BB95" i="1"/>
  <c r="AY95" i="1"/>
  <c r="AV95" i="1"/>
  <c r="AW95" i="1"/>
  <c r="AX95" i="1"/>
  <c r="AU95" i="1"/>
  <c r="AT95" i="1"/>
  <c r="AS95" i="1"/>
  <c r="CA83" i="1"/>
  <c r="CB83" i="1"/>
  <c r="CC83" i="1"/>
  <c r="CD83" i="1"/>
  <c r="CE83" i="1"/>
  <c r="CF83" i="1"/>
  <c r="CH83" i="1"/>
  <c r="BC83" i="1"/>
  <c r="BD83" i="1"/>
  <c r="BE83" i="1"/>
  <c r="BF83" i="1"/>
  <c r="BG83" i="1"/>
  <c r="BH83" i="1"/>
  <c r="BI83" i="1"/>
  <c r="BJ83" i="1"/>
  <c r="CI83" i="1"/>
  <c r="BK83" i="1"/>
  <c r="BL83" i="1"/>
  <c r="BM83" i="1"/>
  <c r="BN83" i="1"/>
  <c r="BO83" i="1"/>
  <c r="BP83" i="1"/>
  <c r="BQ83" i="1"/>
  <c r="BR83" i="1"/>
  <c r="CJ83" i="1"/>
  <c r="BS83" i="1"/>
  <c r="BT83" i="1"/>
  <c r="BU83" i="1"/>
  <c r="BV83" i="1"/>
  <c r="BW83" i="1"/>
  <c r="BX83" i="1"/>
  <c r="BY83" i="1"/>
  <c r="BZ83" i="1"/>
  <c r="CK83" i="1"/>
  <c r="CL83" i="1"/>
  <c r="AZ83" i="1"/>
  <c r="BA83" i="1"/>
  <c r="BB83" i="1"/>
  <c r="AY83" i="1"/>
  <c r="AV83" i="1"/>
  <c r="AW83" i="1"/>
  <c r="AX83" i="1"/>
  <c r="AU83" i="1"/>
  <c r="AT83" i="1"/>
  <c r="AS83" i="1"/>
  <c r="CA35" i="1"/>
  <c r="CB35" i="1"/>
  <c r="CC35" i="1"/>
  <c r="CD35" i="1"/>
  <c r="CE35" i="1"/>
  <c r="CF35" i="1"/>
  <c r="CH35" i="1"/>
  <c r="BC35" i="1"/>
  <c r="BD35" i="1"/>
  <c r="BE35" i="1"/>
  <c r="BF35" i="1"/>
  <c r="BG35" i="1"/>
  <c r="BH35" i="1"/>
  <c r="BI35" i="1"/>
  <c r="BJ35" i="1"/>
  <c r="CI35" i="1"/>
  <c r="BK35" i="1"/>
  <c r="BL35" i="1"/>
  <c r="BM35" i="1"/>
  <c r="BN35" i="1"/>
  <c r="BO35" i="1"/>
  <c r="BP35" i="1"/>
  <c r="BQ35" i="1"/>
  <c r="BR35" i="1"/>
  <c r="CJ35" i="1"/>
  <c r="BS35" i="1"/>
  <c r="BT35" i="1"/>
  <c r="BU35" i="1"/>
  <c r="BV35" i="1"/>
  <c r="BW35" i="1"/>
  <c r="BX35" i="1"/>
  <c r="BY35" i="1"/>
  <c r="BZ35" i="1"/>
  <c r="CK35" i="1"/>
  <c r="CL35" i="1"/>
  <c r="AZ35" i="1"/>
  <c r="BA35" i="1"/>
  <c r="BB35" i="1"/>
  <c r="AY35" i="1"/>
  <c r="AV35" i="1"/>
  <c r="AW35" i="1"/>
  <c r="AX35" i="1"/>
  <c r="AU35" i="1"/>
  <c r="AT35" i="1"/>
  <c r="AS35" i="1"/>
  <c r="CA43" i="1"/>
  <c r="CB43" i="1"/>
  <c r="CC43" i="1"/>
  <c r="CD43" i="1"/>
  <c r="CE43" i="1"/>
  <c r="CF43" i="1"/>
  <c r="CH43" i="1"/>
  <c r="BC43" i="1"/>
  <c r="BD43" i="1"/>
  <c r="BE43" i="1"/>
  <c r="BF43" i="1"/>
  <c r="BG43" i="1"/>
  <c r="BH43" i="1"/>
  <c r="BI43" i="1"/>
  <c r="BJ43" i="1"/>
  <c r="CI43" i="1"/>
  <c r="BK43" i="1"/>
  <c r="BL43" i="1"/>
  <c r="BM43" i="1"/>
  <c r="BN43" i="1"/>
  <c r="BO43" i="1"/>
  <c r="BP43" i="1"/>
  <c r="BQ43" i="1"/>
  <c r="BR43" i="1"/>
  <c r="CJ43" i="1"/>
  <c r="BS43" i="1"/>
  <c r="BT43" i="1"/>
  <c r="BU43" i="1"/>
  <c r="BV43" i="1"/>
  <c r="BW43" i="1"/>
  <c r="BX43" i="1"/>
  <c r="BY43" i="1"/>
  <c r="BZ43" i="1"/>
  <c r="CK43" i="1"/>
  <c r="CL43" i="1"/>
  <c r="AZ43" i="1"/>
  <c r="BA43" i="1"/>
  <c r="BB43" i="1"/>
  <c r="AY43" i="1"/>
  <c r="AV43" i="1"/>
  <c r="AW43" i="1"/>
  <c r="AX43" i="1"/>
  <c r="AU43" i="1"/>
  <c r="AT43" i="1"/>
  <c r="AS43" i="1"/>
  <c r="CA50" i="1"/>
  <c r="CB50" i="1"/>
  <c r="CC50" i="1"/>
  <c r="CD50" i="1"/>
  <c r="CE50" i="1"/>
  <c r="CF50" i="1"/>
  <c r="CH50" i="1"/>
  <c r="BC50" i="1"/>
  <c r="BD50" i="1"/>
  <c r="BE50" i="1"/>
  <c r="BF50" i="1"/>
  <c r="BG50" i="1"/>
  <c r="BH50" i="1"/>
  <c r="BI50" i="1"/>
  <c r="BJ50" i="1"/>
  <c r="CI50" i="1"/>
  <c r="BK50" i="1"/>
  <c r="BL50" i="1"/>
  <c r="BM50" i="1"/>
  <c r="BN50" i="1"/>
  <c r="BO50" i="1"/>
  <c r="BP50" i="1"/>
  <c r="BQ50" i="1"/>
  <c r="BR50" i="1"/>
  <c r="CJ50" i="1"/>
  <c r="BS50" i="1"/>
  <c r="BT50" i="1"/>
  <c r="BU50" i="1"/>
  <c r="BV50" i="1"/>
  <c r="BW50" i="1"/>
  <c r="BX50" i="1"/>
  <c r="BY50" i="1"/>
  <c r="BZ50" i="1"/>
  <c r="CK50" i="1"/>
  <c r="CL50" i="1"/>
  <c r="AZ50" i="1"/>
  <c r="BA50" i="1"/>
  <c r="BB50" i="1"/>
  <c r="AY50" i="1"/>
  <c r="AV50" i="1"/>
  <c r="AW50" i="1"/>
  <c r="AX50" i="1"/>
  <c r="AU50" i="1"/>
  <c r="AT50" i="1"/>
  <c r="AS50" i="1"/>
  <c r="CA55" i="1"/>
  <c r="CB55" i="1"/>
  <c r="CC55" i="1"/>
  <c r="CD55" i="1"/>
  <c r="CE55" i="1"/>
  <c r="CF55" i="1"/>
  <c r="CH55" i="1"/>
  <c r="BC55" i="1"/>
  <c r="BD55" i="1"/>
  <c r="BE55" i="1"/>
  <c r="BF55" i="1"/>
  <c r="BG55" i="1"/>
  <c r="BH55" i="1"/>
  <c r="BI55" i="1"/>
  <c r="BJ55" i="1"/>
  <c r="CI55" i="1"/>
  <c r="BK55" i="1"/>
  <c r="BL55" i="1"/>
  <c r="BM55" i="1"/>
  <c r="BN55" i="1"/>
  <c r="BO55" i="1"/>
  <c r="BP55" i="1"/>
  <c r="BQ55" i="1"/>
  <c r="BR55" i="1"/>
  <c r="CJ55" i="1"/>
  <c r="BS55" i="1"/>
  <c r="BT55" i="1"/>
  <c r="BU55" i="1"/>
  <c r="BV55" i="1"/>
  <c r="BW55" i="1"/>
  <c r="BX55" i="1"/>
  <c r="BY55" i="1"/>
  <c r="BZ55" i="1"/>
  <c r="CK55" i="1"/>
  <c r="CL55" i="1"/>
  <c r="AZ55" i="1"/>
  <c r="BA55" i="1"/>
  <c r="BB55" i="1"/>
  <c r="AY55" i="1"/>
  <c r="AV55" i="1"/>
  <c r="AW55" i="1"/>
  <c r="AX55" i="1"/>
  <c r="AU55" i="1"/>
  <c r="AT55" i="1"/>
  <c r="AS55" i="1"/>
  <c r="CA15" i="1"/>
  <c r="CB15" i="1"/>
  <c r="CC15" i="1"/>
  <c r="CD15" i="1"/>
  <c r="CE15" i="1"/>
  <c r="CF15" i="1"/>
  <c r="CH15" i="1"/>
  <c r="BC15" i="1"/>
  <c r="BD15" i="1"/>
  <c r="BE15" i="1"/>
  <c r="BF15" i="1"/>
  <c r="BG15" i="1"/>
  <c r="BH15" i="1"/>
  <c r="BI15" i="1"/>
  <c r="BJ15" i="1"/>
  <c r="CI15" i="1"/>
  <c r="BK15" i="1"/>
  <c r="BL15" i="1"/>
  <c r="BM15" i="1"/>
  <c r="BN15" i="1"/>
  <c r="BO15" i="1"/>
  <c r="BP15" i="1"/>
  <c r="BQ15" i="1"/>
  <c r="BR15" i="1"/>
  <c r="CJ15" i="1"/>
  <c r="BS15" i="1"/>
  <c r="BT15" i="1"/>
  <c r="BU15" i="1"/>
  <c r="BV15" i="1"/>
  <c r="BW15" i="1"/>
  <c r="BX15" i="1"/>
  <c r="BY15" i="1"/>
  <c r="BZ15" i="1"/>
  <c r="CK15" i="1"/>
  <c r="CL15" i="1"/>
  <c r="AZ15" i="1"/>
  <c r="BA15" i="1"/>
  <c r="BB15" i="1"/>
  <c r="AY15" i="1"/>
  <c r="AV15" i="1"/>
  <c r="AW15" i="1"/>
  <c r="AX15" i="1"/>
  <c r="AU15" i="1"/>
  <c r="AT15" i="1"/>
  <c r="AS15" i="1"/>
  <c r="CA18" i="1"/>
  <c r="CB18" i="1"/>
  <c r="CC18" i="1"/>
  <c r="CD18" i="1"/>
  <c r="CE18" i="1"/>
  <c r="CF18" i="1"/>
  <c r="CH18" i="1"/>
  <c r="BC18" i="1"/>
  <c r="BD18" i="1"/>
  <c r="BE18" i="1"/>
  <c r="BF18" i="1"/>
  <c r="BG18" i="1"/>
  <c r="BH18" i="1"/>
  <c r="BI18" i="1"/>
  <c r="BJ18" i="1"/>
  <c r="CI18" i="1"/>
  <c r="BK18" i="1"/>
  <c r="BL18" i="1"/>
  <c r="BM18" i="1"/>
  <c r="BN18" i="1"/>
  <c r="BO18" i="1"/>
  <c r="BP18" i="1"/>
  <c r="BQ18" i="1"/>
  <c r="BR18" i="1"/>
  <c r="CJ18" i="1"/>
  <c r="BS18" i="1"/>
  <c r="BT18" i="1"/>
  <c r="BU18" i="1"/>
  <c r="BV18" i="1"/>
  <c r="BW18" i="1"/>
  <c r="BX18" i="1"/>
  <c r="BY18" i="1"/>
  <c r="BZ18" i="1"/>
  <c r="CK18" i="1"/>
  <c r="CL18" i="1"/>
  <c r="AZ18" i="1"/>
  <c r="BA18" i="1"/>
  <c r="BB18" i="1"/>
  <c r="AY18" i="1"/>
  <c r="AV18" i="1"/>
  <c r="AW18" i="1"/>
  <c r="AX18" i="1"/>
  <c r="AU18" i="1"/>
  <c r="AT18" i="1"/>
  <c r="AS18" i="1"/>
  <c r="CA94" i="1"/>
  <c r="CB94" i="1"/>
  <c r="CC94" i="1"/>
  <c r="CD94" i="1"/>
  <c r="CE94" i="1"/>
  <c r="CF94" i="1"/>
  <c r="CH94" i="1"/>
  <c r="BC94" i="1"/>
  <c r="BD94" i="1"/>
  <c r="BE94" i="1"/>
  <c r="BF94" i="1"/>
  <c r="BG94" i="1"/>
  <c r="BH94" i="1"/>
  <c r="BI94" i="1"/>
  <c r="BJ94" i="1"/>
  <c r="CI94" i="1"/>
  <c r="BK94" i="1"/>
  <c r="BL94" i="1"/>
  <c r="BM94" i="1"/>
  <c r="BN94" i="1"/>
  <c r="BO94" i="1"/>
  <c r="BP94" i="1"/>
  <c r="BQ94" i="1"/>
  <c r="BR94" i="1"/>
  <c r="CJ94" i="1"/>
  <c r="BS94" i="1"/>
  <c r="BT94" i="1"/>
  <c r="BU94" i="1"/>
  <c r="BV94" i="1"/>
  <c r="BW94" i="1"/>
  <c r="BX94" i="1"/>
  <c r="BY94" i="1"/>
  <c r="BZ94" i="1"/>
  <c r="CK94" i="1"/>
  <c r="CL94" i="1"/>
  <c r="AZ94" i="1"/>
  <c r="BA94" i="1"/>
  <c r="BB94" i="1"/>
  <c r="AY94" i="1"/>
  <c r="AV94" i="1"/>
  <c r="AW94" i="1"/>
  <c r="AX94" i="1"/>
  <c r="AU94" i="1"/>
  <c r="AT94" i="1"/>
  <c r="AS94" i="1"/>
  <c r="CA30" i="1"/>
  <c r="CB30" i="1"/>
  <c r="CC30" i="1"/>
  <c r="CD30" i="1"/>
  <c r="CE30" i="1"/>
  <c r="CF30" i="1"/>
  <c r="CH30" i="1"/>
  <c r="BC30" i="1"/>
  <c r="BD30" i="1"/>
  <c r="BE30" i="1"/>
  <c r="BF30" i="1"/>
  <c r="BG30" i="1"/>
  <c r="BH30" i="1"/>
  <c r="BI30" i="1"/>
  <c r="BJ30" i="1"/>
  <c r="CI30" i="1"/>
  <c r="BK30" i="1"/>
  <c r="BL30" i="1"/>
  <c r="BM30" i="1"/>
  <c r="BN30" i="1"/>
  <c r="BO30" i="1"/>
  <c r="BP30" i="1"/>
  <c r="BQ30" i="1"/>
  <c r="BR30" i="1"/>
  <c r="CJ30" i="1"/>
  <c r="BS30" i="1"/>
  <c r="BT30" i="1"/>
  <c r="BU30" i="1"/>
  <c r="BV30" i="1"/>
  <c r="BW30" i="1"/>
  <c r="BX30" i="1"/>
  <c r="BY30" i="1"/>
  <c r="BZ30" i="1"/>
  <c r="CK30" i="1"/>
  <c r="CL30" i="1"/>
  <c r="AZ30" i="1"/>
  <c r="BA30" i="1"/>
  <c r="BB30" i="1"/>
  <c r="AY30" i="1"/>
  <c r="AV30" i="1"/>
  <c r="AW30" i="1"/>
  <c r="AX30" i="1"/>
  <c r="AU30" i="1"/>
  <c r="AT30" i="1"/>
  <c r="AS30" i="1"/>
  <c r="CA38" i="1"/>
  <c r="CB38" i="1"/>
  <c r="CC38" i="1"/>
  <c r="CD38" i="1"/>
  <c r="CE38" i="1"/>
  <c r="CF38" i="1"/>
  <c r="CH38" i="1"/>
  <c r="BC38" i="1"/>
  <c r="BD38" i="1"/>
  <c r="BE38" i="1"/>
  <c r="BF38" i="1"/>
  <c r="BG38" i="1"/>
  <c r="BH38" i="1"/>
  <c r="BI38" i="1"/>
  <c r="BJ38" i="1"/>
  <c r="CI38" i="1"/>
  <c r="BK38" i="1"/>
  <c r="BL38" i="1"/>
  <c r="BM38" i="1"/>
  <c r="BN38" i="1"/>
  <c r="BO38" i="1"/>
  <c r="BP38" i="1"/>
  <c r="BQ38" i="1"/>
  <c r="BR38" i="1"/>
  <c r="CJ38" i="1"/>
  <c r="BS38" i="1"/>
  <c r="BT38" i="1"/>
  <c r="BU38" i="1"/>
  <c r="BV38" i="1"/>
  <c r="BW38" i="1"/>
  <c r="BX38" i="1"/>
  <c r="BY38" i="1"/>
  <c r="BZ38" i="1"/>
  <c r="CK38" i="1"/>
  <c r="CL38" i="1"/>
  <c r="AZ38" i="1"/>
  <c r="BA38" i="1"/>
  <c r="BB38" i="1"/>
  <c r="AY38" i="1"/>
  <c r="AV38" i="1"/>
  <c r="AW38" i="1"/>
  <c r="AX38" i="1"/>
  <c r="AU38" i="1"/>
  <c r="AT38" i="1"/>
  <c r="AS38" i="1"/>
  <c r="CA26" i="1"/>
  <c r="CB26" i="1"/>
  <c r="CC26" i="1"/>
  <c r="CD26" i="1"/>
  <c r="CE26" i="1"/>
  <c r="CF26" i="1"/>
  <c r="CH26" i="1"/>
  <c r="BC26" i="1"/>
  <c r="BD26" i="1"/>
  <c r="BE26" i="1"/>
  <c r="BF26" i="1"/>
  <c r="BG26" i="1"/>
  <c r="BH26" i="1"/>
  <c r="BI26" i="1"/>
  <c r="BJ26" i="1"/>
  <c r="CI26" i="1"/>
  <c r="BK26" i="1"/>
  <c r="BL26" i="1"/>
  <c r="BM26" i="1"/>
  <c r="BN26" i="1"/>
  <c r="BO26" i="1"/>
  <c r="BP26" i="1"/>
  <c r="BQ26" i="1"/>
  <c r="BR26" i="1"/>
  <c r="CJ26" i="1"/>
  <c r="BS26" i="1"/>
  <c r="BT26" i="1"/>
  <c r="BU26" i="1"/>
  <c r="BV26" i="1"/>
  <c r="BW26" i="1"/>
  <c r="BX26" i="1"/>
  <c r="BY26" i="1"/>
  <c r="BZ26" i="1"/>
  <c r="CK26" i="1"/>
  <c r="CL26" i="1"/>
  <c r="AZ26" i="1"/>
  <c r="BA26" i="1"/>
  <c r="BB26" i="1"/>
  <c r="AY26" i="1"/>
  <c r="AV26" i="1"/>
  <c r="AW26" i="1"/>
  <c r="AX26" i="1"/>
  <c r="AU26" i="1"/>
  <c r="AT26" i="1"/>
  <c r="AS26" i="1"/>
  <c r="CA42" i="1"/>
  <c r="CB42" i="1"/>
  <c r="CC42" i="1"/>
  <c r="CD42" i="1"/>
  <c r="CE42" i="1"/>
  <c r="CF42" i="1"/>
  <c r="CH42" i="1"/>
  <c r="BC42" i="1"/>
  <c r="BD42" i="1"/>
  <c r="BE42" i="1"/>
  <c r="BF42" i="1"/>
  <c r="BG42" i="1"/>
  <c r="BH42" i="1"/>
  <c r="BI42" i="1"/>
  <c r="BJ42" i="1"/>
  <c r="CI42" i="1"/>
  <c r="BK42" i="1"/>
  <c r="BL42" i="1"/>
  <c r="BM42" i="1"/>
  <c r="BN42" i="1"/>
  <c r="BO42" i="1"/>
  <c r="BP42" i="1"/>
  <c r="BQ42" i="1"/>
  <c r="BR42" i="1"/>
  <c r="CJ42" i="1"/>
  <c r="BS42" i="1"/>
  <c r="BT42" i="1"/>
  <c r="BU42" i="1"/>
  <c r="BV42" i="1"/>
  <c r="BW42" i="1"/>
  <c r="BX42" i="1"/>
  <c r="BY42" i="1"/>
  <c r="BZ42" i="1"/>
  <c r="CK42" i="1"/>
  <c r="CL42" i="1"/>
  <c r="AZ42" i="1"/>
  <c r="BA42" i="1"/>
  <c r="BB42" i="1"/>
  <c r="AY42" i="1"/>
  <c r="AV42" i="1"/>
  <c r="AW42" i="1"/>
  <c r="AX42" i="1"/>
  <c r="AU42" i="1"/>
  <c r="AT42" i="1"/>
  <c r="AS42" i="1"/>
  <c r="CA66" i="1"/>
  <c r="CB66" i="1"/>
  <c r="CC66" i="1"/>
  <c r="CD66" i="1"/>
  <c r="CE66" i="1"/>
  <c r="CF66" i="1"/>
  <c r="CH66" i="1"/>
  <c r="BC66" i="1"/>
  <c r="BD66" i="1"/>
  <c r="BE66" i="1"/>
  <c r="BF66" i="1"/>
  <c r="BG66" i="1"/>
  <c r="BH66" i="1"/>
  <c r="BI66" i="1"/>
  <c r="BJ66" i="1"/>
  <c r="CI66" i="1"/>
  <c r="BK66" i="1"/>
  <c r="BL66" i="1"/>
  <c r="BM66" i="1"/>
  <c r="BN66" i="1"/>
  <c r="BO66" i="1"/>
  <c r="BP66" i="1"/>
  <c r="BQ66" i="1"/>
  <c r="BR66" i="1"/>
  <c r="CJ66" i="1"/>
  <c r="BS66" i="1"/>
  <c r="BT66" i="1"/>
  <c r="BU66" i="1"/>
  <c r="BV66" i="1"/>
  <c r="BW66" i="1"/>
  <c r="BX66" i="1"/>
  <c r="BY66" i="1"/>
  <c r="BZ66" i="1"/>
  <c r="CK66" i="1"/>
  <c r="CL66" i="1"/>
  <c r="AZ66" i="1"/>
  <c r="BA66" i="1"/>
  <c r="BB66" i="1"/>
  <c r="AY66" i="1"/>
  <c r="AV66" i="1"/>
  <c r="AW66" i="1"/>
  <c r="AX66" i="1"/>
  <c r="AU66" i="1"/>
  <c r="AT66" i="1"/>
  <c r="AS66" i="1"/>
  <c r="CA99" i="1"/>
  <c r="CB99" i="1"/>
  <c r="CC99" i="1"/>
  <c r="CD99" i="1"/>
  <c r="CE99" i="1"/>
  <c r="CF99" i="1"/>
  <c r="CH99" i="1"/>
  <c r="BC99" i="1"/>
  <c r="BD99" i="1"/>
  <c r="BE99" i="1"/>
  <c r="BF99" i="1"/>
  <c r="BG99" i="1"/>
  <c r="BH99" i="1"/>
  <c r="BI99" i="1"/>
  <c r="BJ99" i="1"/>
  <c r="CI99" i="1"/>
  <c r="BK99" i="1"/>
  <c r="BL99" i="1"/>
  <c r="BM99" i="1"/>
  <c r="BN99" i="1"/>
  <c r="BO99" i="1"/>
  <c r="BP99" i="1"/>
  <c r="BQ99" i="1"/>
  <c r="BR99" i="1"/>
  <c r="CJ99" i="1"/>
  <c r="BS99" i="1"/>
  <c r="BT99" i="1"/>
  <c r="BU99" i="1"/>
  <c r="BV99" i="1"/>
  <c r="BW99" i="1"/>
  <c r="BX99" i="1"/>
  <c r="BY99" i="1"/>
  <c r="BZ99" i="1"/>
  <c r="CK99" i="1"/>
  <c r="CL99" i="1"/>
  <c r="AZ99" i="1"/>
  <c r="BA99" i="1"/>
  <c r="BB99" i="1"/>
  <c r="AY99" i="1"/>
  <c r="AV99" i="1"/>
  <c r="AW99" i="1"/>
  <c r="AX99" i="1"/>
  <c r="AU99" i="1"/>
  <c r="AT99" i="1"/>
  <c r="AS99" i="1"/>
  <c r="CA14" i="1"/>
  <c r="CB14" i="1"/>
  <c r="CC14" i="1"/>
  <c r="CD14" i="1"/>
  <c r="CE14" i="1"/>
  <c r="CF14" i="1"/>
  <c r="CH14" i="1"/>
  <c r="BC14" i="1"/>
  <c r="BD14" i="1"/>
  <c r="BE14" i="1"/>
  <c r="BF14" i="1"/>
  <c r="BG14" i="1"/>
  <c r="BH14" i="1"/>
  <c r="BI14" i="1"/>
  <c r="BJ14" i="1"/>
  <c r="CI14" i="1"/>
  <c r="BK14" i="1"/>
  <c r="BL14" i="1"/>
  <c r="BM14" i="1"/>
  <c r="BN14" i="1"/>
  <c r="BO14" i="1"/>
  <c r="BP14" i="1"/>
  <c r="BQ14" i="1"/>
  <c r="BR14" i="1"/>
  <c r="CJ14" i="1"/>
  <c r="BS14" i="1"/>
  <c r="BT14" i="1"/>
  <c r="BU14" i="1"/>
  <c r="BV14" i="1"/>
  <c r="BW14" i="1"/>
  <c r="BX14" i="1"/>
  <c r="BY14" i="1"/>
  <c r="BZ14" i="1"/>
  <c r="CK14" i="1"/>
  <c r="CL14" i="1"/>
  <c r="AZ14" i="1"/>
  <c r="BA14" i="1"/>
  <c r="BB14" i="1"/>
  <c r="AY14" i="1"/>
  <c r="AV14" i="1"/>
  <c r="AW14" i="1"/>
  <c r="AX14" i="1"/>
  <c r="AU14" i="1"/>
  <c r="AT14" i="1"/>
  <c r="AS14" i="1"/>
  <c r="CA78" i="1"/>
  <c r="CB78" i="1"/>
  <c r="CC78" i="1"/>
  <c r="CD78" i="1"/>
  <c r="CE78" i="1"/>
  <c r="CF78" i="1"/>
  <c r="CH78" i="1"/>
  <c r="BC78" i="1"/>
  <c r="BD78" i="1"/>
  <c r="BE78" i="1"/>
  <c r="BF78" i="1"/>
  <c r="BG78" i="1"/>
  <c r="BH78" i="1"/>
  <c r="BI78" i="1"/>
  <c r="BJ78" i="1"/>
  <c r="CI78" i="1"/>
  <c r="BK78" i="1"/>
  <c r="BL78" i="1"/>
  <c r="BM78" i="1"/>
  <c r="BN78" i="1"/>
  <c r="BO78" i="1"/>
  <c r="BP78" i="1"/>
  <c r="BQ78" i="1"/>
  <c r="BR78" i="1"/>
  <c r="CJ78" i="1"/>
  <c r="BS78" i="1"/>
  <c r="BT78" i="1"/>
  <c r="BU78" i="1"/>
  <c r="BV78" i="1"/>
  <c r="BW78" i="1"/>
  <c r="BX78" i="1"/>
  <c r="BY78" i="1"/>
  <c r="BZ78" i="1"/>
  <c r="CK78" i="1"/>
  <c r="CL78" i="1"/>
  <c r="AZ78" i="1"/>
  <c r="BA78" i="1"/>
  <c r="BB78" i="1"/>
  <c r="AY78" i="1"/>
  <c r="AV78" i="1"/>
  <c r="AW78" i="1"/>
  <c r="AX78" i="1"/>
  <c r="AU78" i="1"/>
  <c r="AT78" i="1"/>
  <c r="AS78" i="1"/>
  <c r="CA70" i="1"/>
  <c r="CB70" i="1"/>
  <c r="CC70" i="1"/>
  <c r="CD70" i="1"/>
  <c r="CE70" i="1"/>
  <c r="CF70" i="1"/>
  <c r="CH70" i="1"/>
  <c r="BC70" i="1"/>
  <c r="BD70" i="1"/>
  <c r="BE70" i="1"/>
  <c r="BF70" i="1"/>
  <c r="BG70" i="1"/>
  <c r="BH70" i="1"/>
  <c r="BI70" i="1"/>
  <c r="BJ70" i="1"/>
  <c r="CI70" i="1"/>
  <c r="BK70" i="1"/>
  <c r="BL70" i="1"/>
  <c r="BM70" i="1"/>
  <c r="BN70" i="1"/>
  <c r="BO70" i="1"/>
  <c r="BP70" i="1"/>
  <c r="BQ70" i="1"/>
  <c r="BR70" i="1"/>
  <c r="CJ70" i="1"/>
  <c r="BS70" i="1"/>
  <c r="BT70" i="1"/>
  <c r="BU70" i="1"/>
  <c r="BV70" i="1"/>
  <c r="BW70" i="1"/>
  <c r="BX70" i="1"/>
  <c r="BY70" i="1"/>
  <c r="BZ70" i="1"/>
  <c r="CK70" i="1"/>
  <c r="CL70" i="1"/>
  <c r="AZ70" i="1"/>
  <c r="BA70" i="1"/>
  <c r="BB70" i="1"/>
  <c r="AY70" i="1"/>
  <c r="AV70" i="1"/>
  <c r="AW70" i="1"/>
  <c r="AX70" i="1"/>
  <c r="AU70" i="1"/>
  <c r="AT70" i="1"/>
  <c r="AS70" i="1"/>
  <c r="CA107" i="1"/>
  <c r="CB107" i="1"/>
  <c r="CC107" i="1"/>
  <c r="CD107" i="1"/>
  <c r="CE107" i="1"/>
  <c r="CF107" i="1"/>
  <c r="CH107" i="1"/>
  <c r="BC107" i="1"/>
  <c r="BD107" i="1"/>
  <c r="BE107" i="1"/>
  <c r="BF107" i="1"/>
  <c r="BG107" i="1"/>
  <c r="BH107" i="1"/>
  <c r="BI107" i="1"/>
  <c r="BJ107" i="1"/>
  <c r="CI107" i="1"/>
  <c r="BK107" i="1"/>
  <c r="BL107" i="1"/>
  <c r="BM107" i="1"/>
  <c r="BN107" i="1"/>
  <c r="BO107" i="1"/>
  <c r="BP107" i="1"/>
  <c r="BQ107" i="1"/>
  <c r="BR107" i="1"/>
  <c r="CJ107" i="1"/>
  <c r="BS107" i="1"/>
  <c r="BT107" i="1"/>
  <c r="BU107" i="1"/>
  <c r="BV107" i="1"/>
  <c r="BW107" i="1"/>
  <c r="BX107" i="1"/>
  <c r="BY107" i="1"/>
  <c r="BZ107" i="1"/>
  <c r="CK107" i="1"/>
  <c r="CL107" i="1"/>
  <c r="AZ107" i="1"/>
  <c r="BA107" i="1"/>
  <c r="BB107" i="1"/>
  <c r="AY107" i="1"/>
  <c r="AV107" i="1"/>
  <c r="AW107" i="1"/>
  <c r="AX107" i="1"/>
  <c r="AU107" i="1"/>
  <c r="AT107" i="1"/>
  <c r="AS107" i="1"/>
  <c r="CA90" i="1"/>
  <c r="CB90" i="1"/>
  <c r="CC90" i="1"/>
  <c r="CD90" i="1"/>
  <c r="CE90" i="1"/>
  <c r="CF90" i="1"/>
  <c r="CH90" i="1"/>
  <c r="BC90" i="1"/>
  <c r="BD90" i="1"/>
  <c r="BE90" i="1"/>
  <c r="BF90" i="1"/>
  <c r="BG90" i="1"/>
  <c r="BH90" i="1"/>
  <c r="BI90" i="1"/>
  <c r="BJ90" i="1"/>
  <c r="CI90" i="1"/>
  <c r="BK90" i="1"/>
  <c r="BL90" i="1"/>
  <c r="BM90" i="1"/>
  <c r="BN90" i="1"/>
  <c r="BO90" i="1"/>
  <c r="BP90" i="1"/>
  <c r="BQ90" i="1"/>
  <c r="BR90" i="1"/>
  <c r="CJ90" i="1"/>
  <c r="BS90" i="1"/>
  <c r="BT90" i="1"/>
  <c r="BU90" i="1"/>
  <c r="BV90" i="1"/>
  <c r="BW90" i="1"/>
  <c r="BX90" i="1"/>
  <c r="BY90" i="1"/>
  <c r="BZ90" i="1"/>
  <c r="CK90" i="1"/>
  <c r="CL90" i="1"/>
  <c r="AZ90" i="1"/>
  <c r="BA90" i="1"/>
  <c r="BB90" i="1"/>
  <c r="AY90" i="1"/>
  <c r="AV90" i="1"/>
  <c r="AW90" i="1"/>
  <c r="AX90" i="1"/>
  <c r="AU90" i="1"/>
  <c r="AT90" i="1"/>
  <c r="AS90" i="1"/>
  <c r="CA7" i="1"/>
  <c r="CB7" i="1"/>
  <c r="CC7" i="1"/>
  <c r="CD7" i="1"/>
  <c r="CE7" i="1"/>
  <c r="CF7" i="1"/>
  <c r="CH7" i="1"/>
  <c r="BC7" i="1"/>
  <c r="BD7" i="1"/>
  <c r="BE7" i="1"/>
  <c r="BF7" i="1"/>
  <c r="BG7" i="1"/>
  <c r="BH7" i="1"/>
  <c r="BI7" i="1"/>
  <c r="BJ7" i="1"/>
  <c r="CI7" i="1"/>
  <c r="BK7" i="1"/>
  <c r="BL7" i="1"/>
  <c r="BM7" i="1"/>
  <c r="BN7" i="1"/>
  <c r="BO7" i="1"/>
  <c r="BP7" i="1"/>
  <c r="BQ7" i="1"/>
  <c r="BR7" i="1"/>
  <c r="CJ7" i="1"/>
  <c r="BS7" i="1"/>
  <c r="BT7" i="1"/>
  <c r="BU7" i="1"/>
  <c r="BV7" i="1"/>
  <c r="BW7" i="1"/>
  <c r="BX7" i="1"/>
  <c r="BY7" i="1"/>
  <c r="BZ7" i="1"/>
  <c r="CK7" i="1"/>
  <c r="CL7" i="1"/>
  <c r="AZ7" i="1"/>
  <c r="BA7" i="1"/>
  <c r="BB7" i="1"/>
  <c r="AY7" i="1"/>
  <c r="AV7" i="1"/>
  <c r="AW7" i="1"/>
  <c r="AX7" i="1"/>
  <c r="AU7" i="1"/>
  <c r="AT7" i="1"/>
  <c r="AS7" i="1"/>
  <c r="CA87" i="1"/>
  <c r="CB87" i="1"/>
  <c r="CC87" i="1"/>
  <c r="CD87" i="1"/>
  <c r="CE87" i="1"/>
  <c r="CF87" i="1"/>
  <c r="CH87" i="1"/>
  <c r="BC87" i="1"/>
  <c r="BD87" i="1"/>
  <c r="BE87" i="1"/>
  <c r="BF87" i="1"/>
  <c r="BG87" i="1"/>
  <c r="BH87" i="1"/>
  <c r="BI87" i="1"/>
  <c r="BJ87" i="1"/>
  <c r="CI87" i="1"/>
  <c r="BK87" i="1"/>
  <c r="BL87" i="1"/>
  <c r="BM87" i="1"/>
  <c r="BN87" i="1"/>
  <c r="BO87" i="1"/>
  <c r="BP87" i="1"/>
  <c r="BQ87" i="1"/>
  <c r="BR87" i="1"/>
  <c r="CJ87" i="1"/>
  <c r="BS87" i="1"/>
  <c r="BT87" i="1"/>
  <c r="BU87" i="1"/>
  <c r="BV87" i="1"/>
  <c r="BW87" i="1"/>
  <c r="BX87" i="1"/>
  <c r="BY87" i="1"/>
  <c r="BZ87" i="1"/>
  <c r="CK87" i="1"/>
  <c r="CL87" i="1"/>
  <c r="AZ87" i="1"/>
  <c r="BA87" i="1"/>
  <c r="BB87" i="1"/>
  <c r="AY87" i="1"/>
  <c r="AV87" i="1"/>
  <c r="AW87" i="1"/>
  <c r="AX87" i="1"/>
  <c r="AU87" i="1"/>
  <c r="AT87" i="1"/>
  <c r="AS87" i="1"/>
  <c r="CA75" i="1"/>
  <c r="CB75" i="1"/>
  <c r="CC75" i="1"/>
  <c r="CD75" i="1"/>
  <c r="CE75" i="1"/>
  <c r="CF75" i="1"/>
  <c r="CH75" i="1"/>
  <c r="BC75" i="1"/>
  <c r="BD75" i="1"/>
  <c r="BE75" i="1"/>
  <c r="BF75" i="1"/>
  <c r="BG75" i="1"/>
  <c r="BH75" i="1"/>
  <c r="BI75" i="1"/>
  <c r="BJ75" i="1"/>
  <c r="CI75" i="1"/>
  <c r="BK75" i="1"/>
  <c r="BL75" i="1"/>
  <c r="BM75" i="1"/>
  <c r="BN75" i="1"/>
  <c r="BO75" i="1"/>
  <c r="BP75" i="1"/>
  <c r="BQ75" i="1"/>
  <c r="BR75" i="1"/>
  <c r="CJ75" i="1"/>
  <c r="BS75" i="1"/>
  <c r="BT75" i="1"/>
  <c r="BU75" i="1"/>
  <c r="BV75" i="1"/>
  <c r="BW75" i="1"/>
  <c r="BX75" i="1"/>
  <c r="BY75" i="1"/>
  <c r="BZ75" i="1"/>
  <c r="CK75" i="1"/>
  <c r="CL75" i="1"/>
  <c r="AZ75" i="1"/>
  <c r="BA75" i="1"/>
  <c r="BB75" i="1"/>
  <c r="AY75" i="1"/>
  <c r="AV75" i="1"/>
  <c r="AW75" i="1"/>
  <c r="AX75" i="1"/>
  <c r="AU75" i="1"/>
  <c r="AT75" i="1"/>
  <c r="AS75" i="1"/>
  <c r="CA59" i="1"/>
  <c r="CB59" i="1"/>
  <c r="CC59" i="1"/>
  <c r="CD59" i="1"/>
  <c r="CE59" i="1"/>
  <c r="CF59" i="1"/>
  <c r="CH59" i="1"/>
  <c r="BC59" i="1"/>
  <c r="BD59" i="1"/>
  <c r="BE59" i="1"/>
  <c r="BF59" i="1"/>
  <c r="BG59" i="1"/>
  <c r="BH59" i="1"/>
  <c r="BI59" i="1"/>
  <c r="BJ59" i="1"/>
  <c r="CI59" i="1"/>
  <c r="BK59" i="1"/>
  <c r="BL59" i="1"/>
  <c r="BM59" i="1"/>
  <c r="BN59" i="1"/>
  <c r="BO59" i="1"/>
  <c r="BP59" i="1"/>
  <c r="BQ59" i="1"/>
  <c r="BR59" i="1"/>
  <c r="CJ59" i="1"/>
  <c r="BS59" i="1"/>
  <c r="BT59" i="1"/>
  <c r="BU59" i="1"/>
  <c r="BV59" i="1"/>
  <c r="BW59" i="1"/>
  <c r="BX59" i="1"/>
  <c r="BY59" i="1"/>
  <c r="BZ59" i="1"/>
  <c r="CK59" i="1"/>
  <c r="CL59" i="1"/>
  <c r="AZ59" i="1"/>
  <c r="BA59" i="1"/>
  <c r="BB59" i="1"/>
  <c r="AY59" i="1"/>
  <c r="AV59" i="1"/>
  <c r="AW59" i="1"/>
  <c r="AX59" i="1"/>
  <c r="AU59" i="1"/>
  <c r="AT59" i="1"/>
  <c r="AS59" i="1"/>
  <c r="CA103" i="1"/>
  <c r="CB103" i="1"/>
  <c r="CC103" i="1"/>
  <c r="CD103" i="1"/>
  <c r="CE103" i="1"/>
  <c r="CF103" i="1"/>
  <c r="CH103" i="1"/>
  <c r="BC103" i="1"/>
  <c r="BD103" i="1"/>
  <c r="BE103" i="1"/>
  <c r="BF103" i="1"/>
  <c r="BG103" i="1"/>
  <c r="BH103" i="1"/>
  <c r="BI103" i="1"/>
  <c r="BJ103" i="1"/>
  <c r="CI103" i="1"/>
  <c r="BK103" i="1"/>
  <c r="BL103" i="1"/>
  <c r="BM103" i="1"/>
  <c r="BN103" i="1"/>
  <c r="BO103" i="1"/>
  <c r="BP103" i="1"/>
  <c r="BQ103" i="1"/>
  <c r="BR103" i="1"/>
  <c r="CJ103" i="1"/>
  <c r="BS103" i="1"/>
  <c r="BT103" i="1"/>
  <c r="BU103" i="1"/>
  <c r="BV103" i="1"/>
  <c r="BW103" i="1"/>
  <c r="BX103" i="1"/>
  <c r="BY103" i="1"/>
  <c r="BZ103" i="1"/>
  <c r="CK103" i="1"/>
  <c r="CL103" i="1"/>
  <c r="AZ103" i="1"/>
  <c r="BA103" i="1"/>
  <c r="BB103" i="1"/>
  <c r="AY103" i="1"/>
  <c r="AV103" i="1"/>
  <c r="AW103" i="1"/>
  <c r="AX103" i="1"/>
  <c r="AU103" i="1"/>
  <c r="AT103" i="1"/>
  <c r="AS103" i="1"/>
  <c r="CA74" i="1"/>
  <c r="CB74" i="1"/>
  <c r="CC74" i="1"/>
  <c r="CD74" i="1"/>
  <c r="CE74" i="1"/>
  <c r="CF74" i="1"/>
  <c r="CH74" i="1"/>
  <c r="BC74" i="1"/>
  <c r="BD74" i="1"/>
  <c r="BE74" i="1"/>
  <c r="BF74" i="1"/>
  <c r="BG74" i="1"/>
  <c r="BH74" i="1"/>
  <c r="BI74" i="1"/>
  <c r="BJ74" i="1"/>
  <c r="CI74" i="1"/>
  <c r="BK74" i="1"/>
  <c r="BL74" i="1"/>
  <c r="BM74" i="1"/>
  <c r="BN74" i="1"/>
  <c r="BO74" i="1"/>
  <c r="BP74" i="1"/>
  <c r="BQ74" i="1"/>
  <c r="BR74" i="1"/>
  <c r="CJ74" i="1"/>
  <c r="BS74" i="1"/>
  <c r="BT74" i="1"/>
  <c r="BU74" i="1"/>
  <c r="BV74" i="1"/>
  <c r="BW74" i="1"/>
  <c r="BX74" i="1"/>
  <c r="BY74" i="1"/>
  <c r="BZ74" i="1"/>
  <c r="CK74" i="1"/>
  <c r="CL74" i="1"/>
  <c r="AZ74" i="1"/>
  <c r="BA74" i="1"/>
  <c r="BB74" i="1"/>
  <c r="AY74" i="1"/>
  <c r="AV74" i="1"/>
  <c r="AW74" i="1"/>
  <c r="AX74" i="1"/>
  <c r="AU74" i="1"/>
  <c r="AT74" i="1"/>
  <c r="AS74" i="1"/>
  <c r="CA82" i="1"/>
  <c r="CB82" i="1"/>
  <c r="CC82" i="1"/>
  <c r="CD82" i="1"/>
  <c r="CE82" i="1"/>
  <c r="CF82" i="1"/>
  <c r="CH82" i="1"/>
  <c r="BC82" i="1"/>
  <c r="BD82" i="1"/>
  <c r="BE82" i="1"/>
  <c r="BF82" i="1"/>
  <c r="BG82" i="1"/>
  <c r="BH82" i="1"/>
  <c r="BI82" i="1"/>
  <c r="BJ82" i="1"/>
  <c r="CI82" i="1"/>
  <c r="BK82" i="1"/>
  <c r="BL82" i="1"/>
  <c r="BM82" i="1"/>
  <c r="BN82" i="1"/>
  <c r="BO82" i="1"/>
  <c r="BP82" i="1"/>
  <c r="BQ82" i="1"/>
  <c r="BR82" i="1"/>
  <c r="CJ82" i="1"/>
  <c r="BS82" i="1"/>
  <c r="BT82" i="1"/>
  <c r="BU82" i="1"/>
  <c r="BV82" i="1"/>
  <c r="BW82" i="1"/>
  <c r="BX82" i="1"/>
  <c r="BY82" i="1"/>
  <c r="BZ82" i="1"/>
  <c r="CK82" i="1"/>
  <c r="CL82" i="1"/>
  <c r="AZ82" i="1"/>
  <c r="BA82" i="1"/>
  <c r="BB82" i="1"/>
  <c r="AY82" i="1"/>
  <c r="AV82" i="1"/>
  <c r="AW82" i="1"/>
  <c r="AX82" i="1"/>
  <c r="AU82" i="1"/>
  <c r="AT82" i="1"/>
  <c r="AS82" i="1"/>
  <c r="CA102" i="1"/>
  <c r="CB102" i="1"/>
  <c r="CC102" i="1"/>
  <c r="CD102" i="1"/>
  <c r="CE102" i="1"/>
  <c r="CF102" i="1"/>
  <c r="CH102" i="1"/>
  <c r="BC102" i="1"/>
  <c r="BD102" i="1"/>
  <c r="BE102" i="1"/>
  <c r="BF102" i="1"/>
  <c r="BG102" i="1"/>
  <c r="BH102" i="1"/>
  <c r="BI102" i="1"/>
  <c r="BJ102" i="1"/>
  <c r="CI102" i="1"/>
  <c r="BK102" i="1"/>
  <c r="BL102" i="1"/>
  <c r="BM102" i="1"/>
  <c r="BN102" i="1"/>
  <c r="BO102" i="1"/>
  <c r="BP102" i="1"/>
  <c r="BQ102" i="1"/>
  <c r="BR102" i="1"/>
  <c r="CJ102" i="1"/>
  <c r="BS102" i="1"/>
  <c r="BT102" i="1"/>
  <c r="BU102" i="1"/>
  <c r="BV102" i="1"/>
  <c r="BW102" i="1"/>
  <c r="BX102" i="1"/>
  <c r="BY102" i="1"/>
  <c r="BZ102" i="1"/>
  <c r="CK102" i="1"/>
  <c r="CL102" i="1"/>
  <c r="AZ102" i="1"/>
  <c r="BA102" i="1"/>
  <c r="BB102" i="1"/>
  <c r="AY102" i="1"/>
  <c r="AV102" i="1"/>
  <c r="AW102" i="1"/>
  <c r="AX102" i="1"/>
  <c r="AU102" i="1"/>
  <c r="AT102" i="1"/>
  <c r="AS102" i="1"/>
  <c r="CA86" i="1"/>
  <c r="CB86" i="1"/>
  <c r="CC86" i="1"/>
  <c r="CD86" i="1"/>
  <c r="CE86" i="1"/>
  <c r="CF86" i="1"/>
  <c r="CH86" i="1"/>
  <c r="BC86" i="1"/>
  <c r="BD86" i="1"/>
  <c r="BE86" i="1"/>
  <c r="BF86" i="1"/>
  <c r="BG86" i="1"/>
  <c r="BH86" i="1"/>
  <c r="BI86" i="1"/>
  <c r="BJ86" i="1"/>
  <c r="CI86" i="1"/>
  <c r="BK86" i="1"/>
  <c r="BL86" i="1"/>
  <c r="BM86" i="1"/>
  <c r="BN86" i="1"/>
  <c r="BO86" i="1"/>
  <c r="BP86" i="1"/>
  <c r="BQ86" i="1"/>
  <c r="BR86" i="1"/>
  <c r="CJ86" i="1"/>
  <c r="BS86" i="1"/>
  <c r="BT86" i="1"/>
  <c r="BU86" i="1"/>
  <c r="BV86" i="1"/>
  <c r="BW86" i="1"/>
  <c r="BX86" i="1"/>
  <c r="BY86" i="1"/>
  <c r="BZ86" i="1"/>
  <c r="CK86" i="1"/>
  <c r="CL86" i="1"/>
  <c r="AZ86" i="1"/>
  <c r="BA86" i="1"/>
  <c r="BB86" i="1"/>
  <c r="AY86" i="1"/>
  <c r="AV86" i="1"/>
  <c r="AW86" i="1"/>
  <c r="AX86" i="1"/>
  <c r="AU86" i="1"/>
  <c r="AT86" i="1"/>
  <c r="AS86" i="1"/>
  <c r="CA106" i="1"/>
  <c r="CB106" i="1"/>
  <c r="CC106" i="1"/>
  <c r="CD106" i="1"/>
  <c r="CE106" i="1"/>
  <c r="CF106" i="1"/>
  <c r="CH106" i="1"/>
  <c r="BC106" i="1"/>
  <c r="BD106" i="1"/>
  <c r="BE106" i="1"/>
  <c r="BF106" i="1"/>
  <c r="BG106" i="1"/>
  <c r="BH106" i="1"/>
  <c r="BI106" i="1"/>
  <c r="BJ106" i="1"/>
  <c r="CI106" i="1"/>
  <c r="BK106" i="1"/>
  <c r="BL106" i="1"/>
  <c r="BM106" i="1"/>
  <c r="BN106" i="1"/>
  <c r="BO106" i="1"/>
  <c r="BP106" i="1"/>
  <c r="BQ106" i="1"/>
  <c r="BR106" i="1"/>
  <c r="CJ106" i="1"/>
  <c r="BS106" i="1"/>
  <c r="BT106" i="1"/>
  <c r="BU106" i="1"/>
  <c r="BV106" i="1"/>
  <c r="BW106" i="1"/>
  <c r="BX106" i="1"/>
  <c r="BY106" i="1"/>
  <c r="BZ106" i="1"/>
  <c r="CK106" i="1"/>
  <c r="CL106" i="1"/>
  <c r="AZ106" i="1"/>
  <c r="BA106" i="1"/>
  <c r="BB106" i="1"/>
  <c r="AY106" i="1"/>
  <c r="AV106" i="1"/>
  <c r="AW106" i="1"/>
  <c r="AX106" i="1"/>
  <c r="AU106" i="1"/>
  <c r="AT106" i="1"/>
  <c r="AS106" i="1"/>
  <c r="CA98" i="1"/>
  <c r="CB98" i="1"/>
  <c r="CC98" i="1"/>
  <c r="CD98" i="1"/>
  <c r="CE98" i="1"/>
  <c r="CF98" i="1"/>
  <c r="CH98" i="1"/>
  <c r="BC98" i="1"/>
  <c r="BD98" i="1"/>
  <c r="BE98" i="1"/>
  <c r="BF98" i="1"/>
  <c r="BG98" i="1"/>
  <c r="BH98" i="1"/>
  <c r="BI98" i="1"/>
  <c r="BJ98" i="1"/>
  <c r="CI98" i="1"/>
  <c r="BK98" i="1"/>
  <c r="BL98" i="1"/>
  <c r="BM98" i="1"/>
  <c r="BN98" i="1"/>
  <c r="BO98" i="1"/>
  <c r="BP98" i="1"/>
  <c r="BQ98" i="1"/>
  <c r="BR98" i="1"/>
  <c r="CJ98" i="1"/>
  <c r="BS98" i="1"/>
  <c r="BT98" i="1"/>
  <c r="BU98" i="1"/>
  <c r="BV98" i="1"/>
  <c r="BW98" i="1"/>
  <c r="BX98" i="1"/>
  <c r="BY98" i="1"/>
  <c r="BZ98" i="1"/>
  <c r="CK98" i="1"/>
  <c r="CL98" i="1"/>
  <c r="AZ98" i="1"/>
  <c r="BA98" i="1"/>
  <c r="BB98" i="1"/>
  <c r="AY98" i="1"/>
  <c r="AV98" i="1"/>
  <c r="AW98" i="1"/>
  <c r="AX98" i="1"/>
  <c r="AU98" i="1"/>
  <c r="AT98" i="1"/>
  <c r="AS98" i="1"/>
  <c r="CA10" i="1"/>
  <c r="CB10" i="1"/>
  <c r="CC10" i="1"/>
  <c r="CD10" i="1"/>
  <c r="CE10" i="1"/>
  <c r="CF10" i="1"/>
  <c r="CH10" i="1"/>
  <c r="BC10" i="1"/>
  <c r="BD10" i="1"/>
  <c r="BE10" i="1"/>
  <c r="BF10" i="1"/>
  <c r="BG10" i="1"/>
  <c r="BH10" i="1"/>
  <c r="BI10" i="1"/>
  <c r="BJ10" i="1"/>
  <c r="CI10" i="1"/>
  <c r="BK10" i="1"/>
  <c r="BL10" i="1"/>
  <c r="BM10" i="1"/>
  <c r="BN10" i="1"/>
  <c r="BO10" i="1"/>
  <c r="BP10" i="1"/>
  <c r="BQ10" i="1"/>
  <c r="BR10" i="1"/>
  <c r="CJ10" i="1"/>
  <c r="BS10" i="1"/>
  <c r="BT10" i="1"/>
  <c r="BU10" i="1"/>
  <c r="BV10" i="1"/>
  <c r="BW10" i="1"/>
  <c r="BX10" i="1"/>
  <c r="BY10" i="1"/>
  <c r="BZ10" i="1"/>
  <c r="CK10" i="1"/>
  <c r="CL10" i="1"/>
  <c r="AZ10" i="1"/>
  <c r="BA10" i="1"/>
  <c r="BB10" i="1"/>
  <c r="AY10" i="1"/>
  <c r="AV10" i="1"/>
  <c r="AW10" i="1"/>
  <c r="AX10" i="1"/>
  <c r="AU10" i="1"/>
  <c r="AT10" i="1"/>
  <c r="AS10" i="1"/>
  <c r="CA34" i="1"/>
  <c r="CB34" i="1"/>
  <c r="CC34" i="1"/>
  <c r="CD34" i="1"/>
  <c r="CE34" i="1"/>
  <c r="CF34" i="1"/>
  <c r="CH34" i="1"/>
  <c r="BC34" i="1"/>
  <c r="BD34" i="1"/>
  <c r="BE34" i="1"/>
  <c r="BF34" i="1"/>
  <c r="BG34" i="1"/>
  <c r="BH34" i="1"/>
  <c r="BI34" i="1"/>
  <c r="BJ34" i="1"/>
  <c r="CI34" i="1"/>
  <c r="BK34" i="1"/>
  <c r="BL34" i="1"/>
  <c r="BM34" i="1"/>
  <c r="BN34" i="1"/>
  <c r="BO34" i="1"/>
  <c r="BP34" i="1"/>
  <c r="BQ34" i="1"/>
  <c r="BR34" i="1"/>
  <c r="CJ34" i="1"/>
  <c r="BS34" i="1"/>
  <c r="BT34" i="1"/>
  <c r="BU34" i="1"/>
  <c r="BV34" i="1"/>
  <c r="BW34" i="1"/>
  <c r="BX34" i="1"/>
  <c r="BY34" i="1"/>
  <c r="BZ34" i="1"/>
  <c r="CK34" i="1"/>
  <c r="CL34" i="1"/>
  <c r="AZ34" i="1"/>
  <c r="BA34" i="1"/>
  <c r="BB34" i="1"/>
  <c r="AY34" i="1"/>
  <c r="AV34" i="1"/>
  <c r="AW34" i="1"/>
  <c r="AX34" i="1"/>
  <c r="AU34" i="1"/>
  <c r="AT34" i="1"/>
  <c r="AS34" i="1"/>
  <c r="CA6" i="1"/>
  <c r="CB6" i="1"/>
  <c r="CC6" i="1"/>
  <c r="CD6" i="1"/>
  <c r="CE6" i="1"/>
  <c r="CF6" i="1"/>
  <c r="CH6" i="1"/>
  <c r="BC6" i="1"/>
  <c r="BD6" i="1"/>
  <c r="BE6" i="1"/>
  <c r="BF6" i="1"/>
  <c r="BG6" i="1"/>
  <c r="BH6" i="1"/>
  <c r="BI6" i="1"/>
  <c r="BJ6" i="1"/>
  <c r="CI6" i="1"/>
  <c r="BK6" i="1"/>
  <c r="BL6" i="1"/>
  <c r="BM6" i="1"/>
  <c r="BN6" i="1"/>
  <c r="BO6" i="1"/>
  <c r="BP6" i="1"/>
  <c r="BQ6" i="1"/>
  <c r="BR6" i="1"/>
  <c r="CJ6" i="1"/>
  <c r="BS6" i="1"/>
  <c r="BT6" i="1"/>
  <c r="BU6" i="1"/>
  <c r="BV6" i="1"/>
  <c r="BW6" i="1"/>
  <c r="BX6" i="1"/>
  <c r="BY6" i="1"/>
  <c r="BZ6" i="1"/>
  <c r="CK6" i="1"/>
  <c r="CL6" i="1"/>
  <c r="AZ6" i="1"/>
  <c r="BA6" i="1"/>
  <c r="BB6" i="1"/>
  <c r="AY6" i="1"/>
  <c r="AV6" i="1"/>
  <c r="AW6" i="1"/>
  <c r="AX6" i="1"/>
  <c r="AU6" i="1"/>
  <c r="AT6" i="1"/>
  <c r="AS6" i="1"/>
  <c r="CA54" i="1"/>
  <c r="CB54" i="1"/>
  <c r="CC54" i="1"/>
  <c r="CD54" i="1"/>
  <c r="CE54" i="1"/>
  <c r="CF54" i="1"/>
  <c r="CH54" i="1"/>
  <c r="BC54" i="1"/>
  <c r="BD54" i="1"/>
  <c r="BE54" i="1"/>
  <c r="BF54" i="1"/>
  <c r="BG54" i="1"/>
  <c r="BH54" i="1"/>
  <c r="BI54" i="1"/>
  <c r="BJ54" i="1"/>
  <c r="CI54" i="1"/>
  <c r="BK54" i="1"/>
  <c r="BL54" i="1"/>
  <c r="BM54" i="1"/>
  <c r="BN54" i="1"/>
  <c r="BO54" i="1"/>
  <c r="BP54" i="1"/>
  <c r="BQ54" i="1"/>
  <c r="BR54" i="1"/>
  <c r="CJ54" i="1"/>
  <c r="BS54" i="1"/>
  <c r="BT54" i="1"/>
  <c r="BU54" i="1"/>
  <c r="BV54" i="1"/>
  <c r="BW54" i="1"/>
  <c r="BX54" i="1"/>
  <c r="BY54" i="1"/>
  <c r="BZ54" i="1"/>
  <c r="CK54" i="1"/>
  <c r="CL54" i="1"/>
  <c r="AZ54" i="1"/>
  <c r="BA54" i="1"/>
  <c r="BB54" i="1"/>
  <c r="AY54" i="1"/>
  <c r="AV54" i="1"/>
  <c r="AW54" i="1"/>
  <c r="AX54" i="1"/>
  <c r="AU54" i="1"/>
  <c r="AT54" i="1"/>
  <c r="AS54" i="1"/>
  <c r="CA62" i="1"/>
  <c r="CB62" i="1"/>
  <c r="CC62" i="1"/>
  <c r="CD62" i="1"/>
  <c r="CE62" i="1"/>
  <c r="CF62" i="1"/>
  <c r="CH62" i="1"/>
  <c r="BC62" i="1"/>
  <c r="BD62" i="1"/>
  <c r="BE62" i="1"/>
  <c r="BF62" i="1"/>
  <c r="BG62" i="1"/>
  <c r="BH62" i="1"/>
  <c r="BI62" i="1"/>
  <c r="BJ62" i="1"/>
  <c r="CI62" i="1"/>
  <c r="BK62" i="1"/>
  <c r="BL62" i="1"/>
  <c r="BM62" i="1"/>
  <c r="BN62" i="1"/>
  <c r="BO62" i="1"/>
  <c r="BP62" i="1"/>
  <c r="BQ62" i="1"/>
  <c r="BR62" i="1"/>
  <c r="CJ62" i="1"/>
  <c r="BS62" i="1"/>
  <c r="BT62" i="1"/>
  <c r="BU62" i="1"/>
  <c r="BV62" i="1"/>
  <c r="BW62" i="1"/>
  <c r="BX62" i="1"/>
  <c r="BY62" i="1"/>
  <c r="BZ62" i="1"/>
  <c r="CK62" i="1"/>
  <c r="CL62" i="1"/>
  <c r="AZ62" i="1"/>
  <c r="BA62" i="1"/>
  <c r="BB62" i="1"/>
  <c r="AY62" i="1"/>
  <c r="AV62" i="1"/>
  <c r="AW62" i="1"/>
  <c r="AX62" i="1"/>
  <c r="AU62" i="1"/>
  <c r="AT62" i="1"/>
  <c r="AS62" i="1"/>
  <c r="CA58" i="1"/>
  <c r="CB58" i="1"/>
  <c r="CC58" i="1"/>
  <c r="CD58" i="1"/>
  <c r="CE58" i="1"/>
  <c r="CF58" i="1"/>
  <c r="CH58" i="1"/>
  <c r="BC58" i="1"/>
  <c r="BD58" i="1"/>
  <c r="BE58" i="1"/>
  <c r="BF58" i="1"/>
  <c r="BG58" i="1"/>
  <c r="BH58" i="1"/>
  <c r="BI58" i="1"/>
  <c r="BJ58" i="1"/>
  <c r="CI58" i="1"/>
  <c r="BK58" i="1"/>
  <c r="BL58" i="1"/>
  <c r="BM58" i="1"/>
  <c r="BN58" i="1"/>
  <c r="BO58" i="1"/>
  <c r="BP58" i="1"/>
  <c r="BQ58" i="1"/>
  <c r="BR58" i="1"/>
  <c r="CJ58" i="1"/>
  <c r="BS58" i="1"/>
  <c r="BT58" i="1"/>
  <c r="BU58" i="1"/>
  <c r="BV58" i="1"/>
  <c r="BW58" i="1"/>
  <c r="BX58" i="1"/>
  <c r="BY58" i="1"/>
  <c r="BZ58" i="1"/>
  <c r="CK58" i="1"/>
  <c r="CL58" i="1"/>
  <c r="AZ58" i="1"/>
  <c r="BA58" i="1"/>
  <c r="BB58" i="1"/>
  <c r="AY58" i="1"/>
  <c r="AV58" i="1"/>
  <c r="AW58" i="1"/>
  <c r="AX58" i="1"/>
  <c r="AU58" i="1"/>
  <c r="AT58" i="1"/>
  <c r="AS58" i="1"/>
</calcChain>
</file>

<file path=xl/comments1.xml><?xml version="1.0" encoding="utf-8"?>
<comments xmlns="http://schemas.openxmlformats.org/spreadsheetml/2006/main">
  <authors>
    <author>Amy L. Downing</author>
  </authors>
  <commentList>
    <comment ref="A1" authorId="0">
      <text>
        <r>
          <rPr>
            <b/>
            <sz val="8"/>
            <color indexed="81"/>
            <rFont val="Tahoma"/>
          </rPr>
          <t>Amy L. Downing:</t>
        </r>
        <r>
          <rPr>
            <sz val="8"/>
            <color indexed="81"/>
            <rFont val="Tahoma"/>
          </rPr>
          <t xml:space="preserve">
These data have been corrected as of 3/14/01 for obvious errors made while entering.</t>
        </r>
      </text>
    </comment>
    <comment ref="AG1" authorId="0">
      <text>
        <r>
          <rPr>
            <b/>
            <sz val="8"/>
            <color indexed="81"/>
            <rFont val="Tahoma"/>
          </rPr>
          <t>Amy L. Downing:</t>
        </r>
        <r>
          <rPr>
            <sz val="8"/>
            <color indexed="81"/>
            <rFont val="Tahoma"/>
          </rPr>
          <t xml:space="preserve">
I didn't actually weigh these guys, so I am using the weight of the small helisoma, which is probably an overestimate.</t>
        </r>
      </text>
    </comment>
    <comment ref="AH1" authorId="0">
      <text>
        <r>
          <rPr>
            <b/>
            <sz val="8"/>
            <color indexed="81"/>
            <rFont val="Tahoma"/>
          </rPr>
          <t>Amy L. Downing:</t>
        </r>
        <r>
          <rPr>
            <sz val="8"/>
            <color indexed="81"/>
            <rFont val="Tahoma"/>
          </rPr>
          <t xml:space="preserve">
I am using the weight of the gammarus because I don't have the weight of the damselfy.</t>
        </r>
      </text>
    </comment>
  </commentList>
</comments>
</file>

<file path=xl/comments2.xml><?xml version="1.0" encoding="utf-8"?>
<comments xmlns="http://schemas.openxmlformats.org/spreadsheetml/2006/main">
  <authors>
    <author>Amy L. Downing</author>
  </authors>
  <commentList>
    <comment ref="R62" authorId="0">
      <text>
        <r>
          <rPr>
            <b/>
            <sz val="8"/>
            <color indexed="81"/>
            <rFont val="Tahoma"/>
          </rPr>
          <t>Amy L. Downing:</t>
        </r>
        <r>
          <rPr>
            <sz val="8"/>
            <color indexed="81"/>
            <rFont val="Tahoma"/>
          </rPr>
          <t xml:space="preserve">
This missing value was estimated by averaging dec6_9 and subtracting dec10 for all tanks to find the average difference between the two values. This value is then the average of tank 61's dec6_9, minus 0.00522 which is the average difference between dec6_9 and dec10 for the whole experiment.</t>
        </r>
      </text>
    </comment>
    <comment ref="N103" authorId="0">
      <text>
        <r>
          <rPr>
            <b/>
            <sz val="8"/>
            <color indexed="81"/>
            <rFont val="Tahoma"/>
          </rPr>
          <t>Amy L. Downing:</t>
        </r>
        <r>
          <rPr>
            <sz val="8"/>
            <color indexed="81"/>
            <rFont val="Tahoma"/>
          </rPr>
          <t xml:space="preserve">
This missing value was estimated by averaging dec1_4 and subtracting dec5_6 for all tanks to find the average difference between the two values. This value is then the average of tank 102's dec1_4, minus 0.0015609 which is the average difference between dec1_4 and dec5_6 for the whole experiment.</t>
        </r>
      </text>
    </comment>
  </commentList>
</comments>
</file>

<file path=xl/comments3.xml><?xml version="1.0" encoding="utf-8"?>
<comments xmlns="http://schemas.openxmlformats.org/spreadsheetml/2006/main">
  <authors>
    <author>Amy L. Downing</author>
    <author>matt bruns</author>
  </authors>
  <commentList>
    <comment ref="AA1" authorId="0">
      <text>
        <r>
          <rPr>
            <b/>
            <sz val="8"/>
            <color indexed="81"/>
            <rFont val="Tahoma"/>
          </rPr>
          <t>Amy L. Downing:</t>
        </r>
        <r>
          <rPr>
            <sz val="8"/>
            <color indexed="81"/>
            <rFont val="Tahoma"/>
          </rPr>
          <t xml:space="preserve">
these values are using the correct conversion forumla (0.01957 ugchla/ml)(read/gain)(10ml/0.001m2).</t>
        </r>
      </text>
    </comment>
    <comment ref="AE1" authorId="0">
      <text>
        <r>
          <rPr>
            <b/>
            <sz val="8"/>
            <color indexed="81"/>
            <rFont val="Tahoma"/>
          </rPr>
          <t>Amy L. Downing:</t>
        </r>
        <r>
          <rPr>
            <sz val="8"/>
            <color indexed="81"/>
            <rFont val="Tahoma"/>
          </rPr>
          <t xml:space="preserve">
these values are using the correct conversion forumla (0.01957 ugchla/ml)(read/gain)(10ml/0.001m2).</t>
        </r>
      </text>
    </comment>
    <comment ref="X28" authorId="1">
      <text>
        <r>
          <rPr>
            <b/>
            <sz val="8"/>
            <color indexed="81"/>
            <rFont val="Tahoma"/>
          </rPr>
          <t>matt bruns:</t>
        </r>
        <r>
          <rPr>
            <sz val="8"/>
            <color indexed="81"/>
            <rFont val="Tahoma"/>
          </rPr>
          <t xml:space="preserve">
These numbers may be uncertain. See previous comments.</t>
        </r>
      </text>
    </comment>
    <comment ref="AN28" authorId="1">
      <text>
        <r>
          <rPr>
            <b/>
            <sz val="8"/>
            <color indexed="81"/>
            <rFont val="Tahoma"/>
          </rPr>
          <t>matt bruns:</t>
        </r>
        <r>
          <rPr>
            <sz val="8"/>
            <color indexed="81"/>
            <rFont val="Tahoma"/>
          </rPr>
          <t xml:space="preserve">
These numbers may be uncertain. See previous comments.</t>
        </r>
      </text>
    </comment>
    <comment ref="X31" authorId="1">
      <text>
        <r>
          <rPr>
            <b/>
            <sz val="8"/>
            <color indexed="81"/>
            <rFont val="Tahoma"/>
          </rPr>
          <t>matt bruns:</t>
        </r>
        <r>
          <rPr>
            <sz val="8"/>
            <color indexed="81"/>
            <rFont val="Tahoma"/>
          </rPr>
          <t xml:space="preserve">
This value may be uncertain. See previous comments.</t>
        </r>
      </text>
    </comment>
    <comment ref="AN31" authorId="1">
      <text>
        <r>
          <rPr>
            <b/>
            <sz val="8"/>
            <color indexed="81"/>
            <rFont val="Tahoma"/>
          </rPr>
          <t>matt bruns:</t>
        </r>
        <r>
          <rPr>
            <sz val="8"/>
            <color indexed="81"/>
            <rFont val="Tahoma"/>
          </rPr>
          <t xml:space="preserve">
This value may be uncertain. See previous comments.</t>
        </r>
      </text>
    </comment>
  </commentList>
</comments>
</file>

<file path=xl/comments4.xml><?xml version="1.0" encoding="utf-8"?>
<comments xmlns="http://schemas.openxmlformats.org/spreadsheetml/2006/main">
  <authors>
    <author>Amy L. Downing</author>
    <author>matt bruns</author>
  </authors>
  <commentList>
    <comment ref="A1" authorId="0">
      <text>
        <r>
          <rPr>
            <b/>
            <sz val="8"/>
            <color indexed="81"/>
            <rFont val="Tahoma"/>
          </rPr>
          <t>Amy L. Downing:</t>
        </r>
        <r>
          <rPr>
            <sz val="8"/>
            <color indexed="81"/>
            <rFont val="Tahoma"/>
          </rPr>
          <t xml:space="preserve">
I replaced 0's, and negative numbers with 0.1 in order to take the log of the original data.</t>
        </r>
      </text>
    </comment>
    <comment ref="U1" authorId="1">
      <text>
        <r>
          <rPr>
            <b/>
            <sz val="8"/>
            <color indexed="81"/>
            <rFont val="Tahoma"/>
          </rPr>
          <t>matt bruns:</t>
        </r>
        <r>
          <rPr>
            <sz val="8"/>
            <color indexed="81"/>
            <rFont val="Tahoma"/>
          </rPr>
          <t xml:space="preserve">
values are zooplankton afdw filters minus the filter weight, in units of ug/l. Divide by 4.5 because of the total 5 liters filtered, .5 liters were used for the chlorophyll subsample.</t>
        </r>
      </text>
    </comment>
    <comment ref="AB1" authorId="1">
      <text>
        <r>
          <rPr>
            <b/>
            <sz val="8"/>
            <color indexed="81"/>
            <rFont val="Tahoma"/>
          </rPr>
          <t>matt bruns:</t>
        </r>
        <r>
          <rPr>
            <sz val="8"/>
            <color indexed="81"/>
            <rFont val="Tahoma"/>
          </rPr>
          <t xml:space="preserve">
values are zooplankton afdw filters minus the filter weight, in units of ug/l. Divide by 4.5 because of the total 5 liters filtered, .5 liters were used for the chlorophyll subsample.</t>
        </r>
      </text>
    </comment>
    <comment ref="T136" authorId="1">
      <text>
        <r>
          <rPr>
            <b/>
            <sz val="8"/>
            <color indexed="81"/>
            <rFont val="Tahoma"/>
          </rPr>
          <t>matt bruns:</t>
        </r>
        <r>
          <rPr>
            <sz val="8"/>
            <color indexed="81"/>
            <rFont val="Tahoma"/>
          </rPr>
          <t xml:space="preserve">
These numbers may be uncertain. See previous comments.</t>
        </r>
      </text>
    </comment>
    <comment ref="T139" authorId="1">
      <text>
        <r>
          <rPr>
            <b/>
            <sz val="8"/>
            <color indexed="81"/>
            <rFont val="Tahoma"/>
          </rPr>
          <t>matt bruns:</t>
        </r>
        <r>
          <rPr>
            <sz val="8"/>
            <color indexed="81"/>
            <rFont val="Tahoma"/>
          </rPr>
          <t xml:space="preserve">
This value may be uncertain. See previous comments.</t>
        </r>
      </text>
    </comment>
  </commentList>
</comments>
</file>

<file path=xl/comments5.xml><?xml version="1.0" encoding="utf-8"?>
<comments xmlns="http://schemas.openxmlformats.org/spreadsheetml/2006/main">
  <authors>
    <author>Amy L. Downing</author>
  </authors>
  <commentList>
    <comment ref="A53" authorId="0">
      <text>
        <r>
          <rPr>
            <b/>
            <sz val="8"/>
            <color indexed="81"/>
            <rFont val="Tahoma"/>
          </rPr>
          <t>Amy L. Downing:</t>
        </r>
        <r>
          <rPr>
            <sz val="8"/>
            <color indexed="81"/>
            <rFont val="Tahoma"/>
          </rPr>
          <t xml:space="preserve">
I didn't actually weigh these guys, so I am using the weight of the small helisoma, which is probably an overestimate.</t>
        </r>
      </text>
    </comment>
    <comment ref="A54" authorId="0">
      <text>
        <r>
          <rPr>
            <b/>
            <sz val="8"/>
            <color indexed="81"/>
            <rFont val="Tahoma"/>
          </rPr>
          <t>Amy L. Downing:</t>
        </r>
        <r>
          <rPr>
            <sz val="8"/>
            <color indexed="81"/>
            <rFont val="Tahoma"/>
          </rPr>
          <t xml:space="preserve">
I am using the weight of the gammarus because I don't have the weight of the damselfy.</t>
        </r>
      </text>
    </comment>
  </commentList>
</comments>
</file>

<file path=xl/sharedStrings.xml><?xml version="1.0" encoding="utf-8"?>
<sst xmlns="http://schemas.openxmlformats.org/spreadsheetml/2006/main" count="1379" uniqueCount="271">
  <si>
    <t>tank</t>
  </si>
  <si>
    <t>mcr</t>
  </si>
  <si>
    <t>grz</t>
  </si>
  <si>
    <t>prd</t>
  </si>
  <si>
    <t>dist</t>
  </si>
  <si>
    <t>comp</t>
  </si>
  <si>
    <t>spdv</t>
  </si>
  <si>
    <t>fgdv</t>
  </si>
  <si>
    <t>pocriso_g</t>
  </si>
  <si>
    <t>elo_g</t>
  </si>
  <si>
    <t>ponat_g</t>
  </si>
  <si>
    <t>cer_g</t>
  </si>
  <si>
    <t>val_g</t>
  </si>
  <si>
    <t>mir_g</t>
  </si>
  <si>
    <t>utr_g</t>
  </si>
  <si>
    <t>sag_g</t>
  </si>
  <si>
    <t>bul_g</t>
  </si>
  <si>
    <t>gre_g</t>
  </si>
  <si>
    <t>gam_g</t>
  </si>
  <si>
    <t>hya_g</t>
  </si>
  <si>
    <t>cobhesp_g</t>
  </si>
  <si>
    <t>cosmtri_g</t>
  </si>
  <si>
    <t>hel_g</t>
  </si>
  <si>
    <t>phy_g</t>
  </si>
  <si>
    <t>amb_nau_g</t>
  </si>
  <si>
    <t>buen_g</t>
  </si>
  <si>
    <t>nund_g</t>
  </si>
  <si>
    <t>whb_gyr_g</t>
  </si>
  <si>
    <t>whs_din_g</t>
  </si>
  <si>
    <t>ple_g</t>
  </si>
  <si>
    <t>dit_g</t>
  </si>
  <si>
    <t>bel_g</t>
  </si>
  <si>
    <t>gyr_g</t>
  </si>
  <si>
    <t>dam_g</t>
  </si>
  <si>
    <t>lib_g</t>
  </si>
  <si>
    <t>leech_g</t>
  </si>
  <si>
    <t>corsm_g</t>
  </si>
  <si>
    <t>mites_g</t>
  </si>
  <si>
    <t>salamander</t>
  </si>
  <si>
    <t>inva_sp</t>
  </si>
  <si>
    <t>mac_fsp</t>
  </si>
  <si>
    <t>graz_fsp</t>
  </si>
  <si>
    <t>pred_fsp</t>
  </si>
  <si>
    <t>tot_fsp</t>
  </si>
  <si>
    <t>tot_macbms</t>
  </si>
  <si>
    <t>tot_grazbms</t>
  </si>
  <si>
    <t>tot_predbms</t>
  </si>
  <si>
    <t>TOT_BMS</t>
  </si>
  <si>
    <t>sumpi^2's</t>
  </si>
  <si>
    <t>simpsons</t>
  </si>
  <si>
    <t>TOT_FSP_ORIG</t>
  </si>
  <si>
    <t>TOT_BMS_ORIG</t>
  </si>
  <si>
    <t>sumpi^2's_orig</t>
  </si>
  <si>
    <t>simpsons_orig</t>
  </si>
  <si>
    <t>cris</t>
  </si>
  <si>
    <t>elo</t>
  </si>
  <si>
    <t>nata</t>
  </si>
  <si>
    <t>cer</t>
  </si>
  <si>
    <t>val</t>
  </si>
  <si>
    <t>mir</t>
  </si>
  <si>
    <t>utr</t>
  </si>
  <si>
    <t>sag</t>
  </si>
  <si>
    <t>bul</t>
  </si>
  <si>
    <t>gre</t>
  </si>
  <si>
    <t>gam</t>
  </si>
  <si>
    <t>hya</t>
  </si>
  <si>
    <t>colg</t>
  </si>
  <si>
    <t>cosm</t>
  </si>
  <si>
    <t>hel</t>
  </si>
  <si>
    <t>phy</t>
  </si>
  <si>
    <t>nau</t>
  </si>
  <si>
    <t>bue</t>
  </si>
  <si>
    <t>und</t>
  </si>
  <si>
    <t>whb_gyr</t>
  </si>
  <si>
    <t>whs_din</t>
  </si>
  <si>
    <t>ple</t>
  </si>
  <si>
    <t>dit</t>
  </si>
  <si>
    <t>bel</t>
  </si>
  <si>
    <t>gyr</t>
  </si>
  <si>
    <t>dam</t>
  </si>
  <si>
    <t>lib</t>
  </si>
  <si>
    <t>leech</t>
  </si>
  <si>
    <t>corsm</t>
  </si>
  <si>
    <t>mites</t>
  </si>
  <si>
    <t>salamand</t>
  </si>
  <si>
    <t>mac</t>
  </si>
  <si>
    <t>graz</t>
  </si>
  <si>
    <t>pred</t>
  </si>
  <si>
    <t xml:space="preserve"> </t>
  </si>
  <si>
    <t>po2</t>
  </si>
  <si>
    <t>po1</t>
  </si>
  <si>
    <t>co2</t>
  </si>
  <si>
    <t>cor</t>
  </si>
  <si>
    <t>bull</t>
  </si>
  <si>
    <t>whi</t>
  </si>
  <si>
    <t>hyd</t>
  </si>
  <si>
    <t>no1</t>
  </si>
  <si>
    <t>no2</t>
  </si>
  <si>
    <t>buenoa</t>
  </si>
  <si>
    <t>spcmp</t>
  </si>
  <si>
    <t>blck</t>
  </si>
  <si>
    <t>fgcmp</t>
  </si>
  <si>
    <t>fgcomp2</t>
  </si>
  <si>
    <t>dec_1</t>
  </si>
  <si>
    <t>dec_2</t>
  </si>
  <si>
    <t>dec_3_4</t>
  </si>
  <si>
    <t>dec_5_6</t>
  </si>
  <si>
    <t>dec_7</t>
  </si>
  <si>
    <t>dec_8</t>
  </si>
  <si>
    <t>dec_9</t>
  </si>
  <si>
    <t>dec_10</t>
  </si>
  <si>
    <t>dec_6_9</t>
  </si>
  <si>
    <t>dec_6_9_m10</t>
  </si>
  <si>
    <t>dec_11</t>
  </si>
  <si>
    <t>dec_12</t>
  </si>
  <si>
    <t>prd1_corr</t>
  </si>
  <si>
    <t>prd2_corr</t>
  </si>
  <si>
    <t>prd3_corr</t>
  </si>
  <si>
    <t>prd4_corr</t>
  </si>
  <si>
    <t>prd5_corr</t>
  </si>
  <si>
    <t>prd6_corr</t>
  </si>
  <si>
    <t>prd7_corr</t>
  </si>
  <si>
    <t>prd8_corr</t>
  </si>
  <si>
    <t>prd9_corr</t>
  </si>
  <si>
    <t>prd10_corr</t>
  </si>
  <si>
    <t>prd11_corr</t>
  </si>
  <si>
    <t>prd12_corr</t>
  </si>
  <si>
    <t>prd13_corr</t>
  </si>
  <si>
    <t>rsp1_corr</t>
  </si>
  <si>
    <t>rsp2_corr</t>
  </si>
  <si>
    <t>rsp3_corr</t>
  </si>
  <si>
    <t>rsp4_corr</t>
  </si>
  <si>
    <t>rsp5_corr</t>
  </si>
  <si>
    <t>rsp6_corr</t>
  </si>
  <si>
    <t>rsp7_cor2</t>
  </si>
  <si>
    <t>rsp8_corr</t>
  </si>
  <si>
    <t>rsp9_corr</t>
  </si>
  <si>
    <t>rsp10_corr</t>
  </si>
  <si>
    <t>rsp11_corr</t>
  </si>
  <si>
    <t>rsp12_corr</t>
  </si>
  <si>
    <t>rsp13_corr</t>
  </si>
  <si>
    <t>time</t>
  </si>
  <si>
    <t>days</t>
  </si>
  <si>
    <t>day-dc</t>
  </si>
  <si>
    <t>days_entire</t>
  </si>
  <si>
    <t>dec_A1</t>
  </si>
  <si>
    <t>lg_TP_1</t>
  </si>
  <si>
    <t>lg_TP_2</t>
  </si>
  <si>
    <t>lg_TP_3</t>
  </si>
  <si>
    <t>lg_TP_4</t>
  </si>
  <si>
    <t>lg_TN1_cor</t>
  </si>
  <si>
    <t>lg_TN2_cor</t>
  </si>
  <si>
    <t>lg_TN3_cor</t>
  </si>
  <si>
    <t>lg_TN4_cor</t>
  </si>
  <si>
    <t>lg_TN1_2</t>
  </si>
  <si>
    <t>lg_ph1_ugchl/l</t>
  </si>
  <si>
    <t>lg_ph6_ugchl/l</t>
  </si>
  <si>
    <t>lg_ph10_ugchl/l</t>
  </si>
  <si>
    <t>lg_ph13_ugchl/l</t>
  </si>
  <si>
    <t>lg_z1_dw_ug/l</t>
  </si>
  <si>
    <t>lg_z6_dw_ug/l</t>
  </si>
  <si>
    <t>lg_z10_dw_ug/l</t>
  </si>
  <si>
    <t>lg_z13_dw_ug/l</t>
  </si>
  <si>
    <t>TP_1</t>
  </si>
  <si>
    <t>TN_1</t>
  </si>
  <si>
    <t>TN1_2</t>
  </si>
  <si>
    <t>lpr1_ugchlm2</t>
  </si>
  <si>
    <t>lpr6_ugchlm2</t>
  </si>
  <si>
    <t>lpr10_ugchlm2</t>
  </si>
  <si>
    <t>lpr13_ugchlm2</t>
  </si>
  <si>
    <t>pr1_ugchlm2</t>
  </si>
  <si>
    <t>pr6_ugchlm2</t>
  </si>
  <si>
    <t>pr10_ugchlm2</t>
  </si>
  <si>
    <t>pr13_ugchlm2</t>
  </si>
  <si>
    <t>ph1_ugchl/l</t>
  </si>
  <si>
    <t>ph6_ugchl/l</t>
  </si>
  <si>
    <t>ph10_ugchl/l</t>
  </si>
  <si>
    <t>ph13_ugchl/l</t>
  </si>
  <si>
    <t>lph1_ugchl/l</t>
  </si>
  <si>
    <t>z1_dw_ug/l</t>
  </si>
  <si>
    <t>z6_dw_ug/l</t>
  </si>
  <si>
    <t>z10_dw_ug/l</t>
  </si>
  <si>
    <t>z13_dw_ug/l</t>
  </si>
  <si>
    <t>lz1_dw_ug/l</t>
  </si>
  <si>
    <t>z1ph_afdw_ug/l</t>
  </si>
  <si>
    <t>TP_sq</t>
  </si>
  <si>
    <t>pr1_ug/m2</t>
  </si>
  <si>
    <t>lg_TP</t>
  </si>
  <si>
    <t>lg_TN</t>
  </si>
  <si>
    <t>lg_ph_ugchl/l</t>
  </si>
  <si>
    <t>lg_pr_ug/m2</t>
  </si>
  <si>
    <t>lg_z_dw_ug/l</t>
  </si>
  <si>
    <t>lg_zph_afdw_ug/l</t>
  </si>
  <si>
    <t>macrophyte</t>
  </si>
  <si>
    <t>grazer</t>
  </si>
  <si>
    <t>predator</t>
  </si>
  <si>
    <t>disturbance (acid pulse)</t>
  </si>
  <si>
    <t>composition</t>
  </si>
  <si>
    <t>species diversity</t>
  </si>
  <si>
    <t>functional group diversity</t>
  </si>
  <si>
    <t>elodea</t>
  </si>
  <si>
    <t>potomategon natans</t>
  </si>
  <si>
    <t>ceratophyllum</t>
  </si>
  <si>
    <t>valisneria</t>
  </si>
  <si>
    <t>miriophyllum</t>
  </si>
  <si>
    <t>utricularia</t>
  </si>
  <si>
    <t>sagitaria</t>
  </si>
  <si>
    <t>bullfrog</t>
  </si>
  <si>
    <t>green frog</t>
  </si>
  <si>
    <t>gammarus</t>
  </si>
  <si>
    <t>hyallela</t>
  </si>
  <si>
    <t>corinxid - hesperocorixa</t>
  </si>
  <si>
    <t>corixicd -trichocorixa</t>
  </si>
  <si>
    <t>helisoma</t>
  </si>
  <si>
    <t>physella</t>
  </si>
  <si>
    <t>naucorid</t>
  </si>
  <si>
    <t>notonecta undulata</t>
  </si>
  <si>
    <t>whirligig gyrinidea</t>
  </si>
  <si>
    <t>whirligig din??</t>
  </si>
  <si>
    <t>pleid</t>
  </si>
  <si>
    <t>ditiscid</t>
  </si>
  <si>
    <t>belostomatid</t>
  </si>
  <si>
    <t>gyrinidae snail</t>
  </si>
  <si>
    <t>damsefly</t>
  </si>
  <si>
    <t>libilululid</t>
  </si>
  <si>
    <t>leeche</t>
  </si>
  <si>
    <t>invasive species number</t>
  </si>
  <si>
    <t>macrophyte final species</t>
  </si>
  <si>
    <t>grazers</t>
  </si>
  <si>
    <t>predators</t>
  </si>
  <si>
    <t xml:space="preserve">total final species </t>
  </si>
  <si>
    <t>totaml macrophyte biomass</t>
  </si>
  <si>
    <t>total grazer biomass</t>
  </si>
  <si>
    <t>total predator biomass</t>
  </si>
  <si>
    <t>total biomass, all species.</t>
  </si>
  <si>
    <t>simpsons index of biodiversity</t>
  </si>
  <si>
    <t>total final species originally stocked - part of experimental design</t>
  </si>
  <si>
    <t>total biomass of originally stocked species only - at the end of the experiments</t>
  </si>
  <si>
    <t>simpsons index of biodiversity using only the originallys stocked species.</t>
  </si>
  <si>
    <t>gyr_g*</t>
  </si>
  <si>
    <t>*The italicized species are 'invasives' meaning they got into the experiment and were not intended to be there.</t>
  </si>
  <si>
    <t>potomageton crispus - grams dry weight at the end of experiment</t>
  </si>
  <si>
    <t>prd_corr</t>
  </si>
  <si>
    <t>rsp_corr</t>
  </si>
  <si>
    <t>dec1</t>
  </si>
  <si>
    <t>decomposition samping period 1. There were 12 sampling periods (or time periods) for this experiment</t>
  </si>
  <si>
    <t>productivitity (diurnal oxygen) which has been corrected for the position in the array because oxygen levels change over the course of the 1 hour it took to take the oxygen measurements</t>
  </si>
  <si>
    <t>respiration corrected</t>
  </si>
  <si>
    <t>total phosphorus</t>
  </si>
  <si>
    <t>total nitrogen 2</t>
  </si>
  <si>
    <t>log phytoplankton</t>
  </si>
  <si>
    <t>log periphyton</t>
  </si>
  <si>
    <t>log zooplankton</t>
  </si>
  <si>
    <t>LTP_1</t>
  </si>
  <si>
    <t>LTN1_2</t>
  </si>
  <si>
    <t>phytoplankton ug chla / l sampling period 1</t>
  </si>
  <si>
    <t>periphyton ug / m2 sampling period 1</t>
  </si>
  <si>
    <t>zooplankton dry weight ug / l sampling period 1</t>
  </si>
  <si>
    <t>log phytoplankton ug chla / l sampling period 1</t>
  </si>
  <si>
    <t>lpr1_ug/m2</t>
  </si>
  <si>
    <t>log periphyton ug / m2 sampling period 1</t>
  </si>
  <si>
    <t>log zooplankton dry weight ug / l sampling period 1</t>
  </si>
  <si>
    <t>macrophytes</t>
  </si>
  <si>
    <t>disturbance</t>
  </si>
  <si>
    <t>species composition</t>
  </si>
  <si>
    <t>block (the experiment was blocked in two blocks to make sure position in array was not a factor)</t>
  </si>
  <si>
    <t>functional group composition</t>
  </si>
  <si>
    <t>time refers to sampling event 1-12</t>
  </si>
  <si>
    <t>days refers to days into the experiment</t>
  </si>
  <si>
    <t>days for decomposition because decomposition happened at a different time scale than the other measurements</t>
  </si>
  <si>
    <t>days-entire - counting days starting at the beginning of the expeirmentwith day 0 being the day all the species were finally stocked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</si>
</sst>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</font>
    <font>
      <sz val="8"/>
      <color indexed="81"/>
      <name val="Tahom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Fill="1" applyBorder="1"/>
    <xf numFmtId="0" fontId="4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applyBorder="1"/>
    <xf numFmtId="0" fontId="4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1" fillId="0" borderId="0" xfId="0" applyFont="1"/>
    <xf numFmtId="0" fontId="9" fillId="0" borderId="0" xfId="0" applyFont="1"/>
    <xf numFmtId="49" fontId="1" fillId="0" borderId="0" xfId="0" applyNumberFormat="1" applyFont="1" applyBorder="1"/>
    <xf numFmtId="164" fontId="1" fillId="0" borderId="0" xfId="0" applyNumberFormat="1" applyFont="1"/>
    <xf numFmtId="2" fontId="1" fillId="0" borderId="0" xfId="0" applyNumberFormat="1" applyFont="1"/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L109"/>
  <sheetViews>
    <sheetView workbookViewId="0">
      <selection activeCell="F2" sqref="F2"/>
    </sheetView>
  </sheetViews>
  <sheetFormatPr baseColWidth="10" defaultColWidth="8.83203125" defaultRowHeight="15" x14ac:dyDescent="0"/>
  <cols>
    <col min="1" max="1" width="5.83203125" customWidth="1"/>
    <col min="2" max="2" width="4.1640625" bestFit="1" customWidth="1"/>
    <col min="3" max="4" width="3.5" bestFit="1" customWidth="1"/>
    <col min="5" max="5" width="4" bestFit="1" customWidth="1"/>
    <col min="6" max="6" width="5.83203125" style="1" customWidth="1"/>
    <col min="7" max="7" width="6.1640625" customWidth="1"/>
    <col min="8" max="8" width="4.83203125" customWidth="1"/>
    <col min="9" max="9" width="5.5" customWidth="1"/>
    <col min="10" max="10" width="5" customWidth="1"/>
    <col min="11" max="11" width="5.6640625" customWidth="1"/>
    <col min="12" max="13" width="5" customWidth="1"/>
    <col min="14" max="14" width="7" customWidth="1"/>
    <col min="15" max="15" width="5.1640625" bestFit="1" customWidth="1"/>
    <col min="16" max="16" width="4.1640625" customWidth="1"/>
    <col min="17" max="17" width="4.6640625" customWidth="1"/>
    <col min="18" max="18" width="5.33203125" customWidth="1"/>
    <col min="19" max="19" width="4" customWidth="1"/>
    <col min="20" max="21" width="5" customWidth="1"/>
    <col min="22" max="22" width="5.6640625" customWidth="1"/>
    <col min="23" max="23" width="4.6640625" customWidth="1"/>
    <col min="24" max="24" width="5.6640625" customWidth="1"/>
    <col min="25" max="25" width="7" bestFit="1" customWidth="1"/>
    <col min="26" max="26" width="10" bestFit="1" customWidth="1"/>
    <col min="27" max="28" width="9" bestFit="1" customWidth="1"/>
    <col min="29" max="29" width="8" bestFit="1" customWidth="1"/>
    <col min="30" max="30" width="9" bestFit="1" customWidth="1"/>
    <col min="31" max="31" width="6" bestFit="1" customWidth="1"/>
    <col min="32" max="32" width="7" bestFit="1" customWidth="1"/>
    <col min="33" max="33" width="9" style="2" bestFit="1" customWidth="1"/>
    <col min="34" max="34" width="7" style="2" bestFit="1" customWidth="1"/>
    <col min="35" max="37" width="9" style="2" bestFit="1" customWidth="1"/>
    <col min="38" max="38" width="8" style="2" bestFit="1" customWidth="1"/>
    <col min="39" max="39" width="10.5" style="2" bestFit="1" customWidth="1"/>
    <col min="41" max="41" width="6.1640625" customWidth="1"/>
    <col min="42" max="42" width="6.5" customWidth="1"/>
    <col min="43" max="43" width="7" customWidth="1"/>
    <col min="44" max="44" width="6" customWidth="1"/>
    <col min="45" max="47" width="14.33203125" customWidth="1"/>
    <col min="51" max="51" width="13.33203125" customWidth="1"/>
    <col min="52" max="52" width="12.5" customWidth="1"/>
    <col min="53" max="53" width="13.5" customWidth="1"/>
    <col min="55" max="55" width="4" bestFit="1" customWidth="1"/>
    <col min="56" max="56" width="3.5" bestFit="1" customWidth="1"/>
    <col min="57" max="57" width="4" bestFit="1" customWidth="1"/>
    <col min="58" max="58" width="3.5" bestFit="1" customWidth="1"/>
    <col min="59" max="59" width="3.1640625" bestFit="1" customWidth="1"/>
    <col min="60" max="60" width="3.5" bestFit="1" customWidth="1"/>
    <col min="61" max="61" width="3.1640625" bestFit="1" customWidth="1"/>
    <col min="62" max="62" width="4" bestFit="1" customWidth="1"/>
    <col min="63" max="64" width="3.5" bestFit="1" customWidth="1"/>
    <col min="65" max="65" width="4.5" bestFit="1" customWidth="1"/>
    <col min="66" max="68" width="4" bestFit="1" customWidth="1"/>
    <col min="69" max="69" width="3.5" bestFit="1" customWidth="1"/>
    <col min="70" max="73" width="4" bestFit="1" customWidth="1"/>
    <col min="74" max="75" width="4.33203125" bestFit="1" customWidth="1"/>
    <col min="76" max="76" width="3.5" bestFit="1" customWidth="1"/>
    <col min="77" max="77" width="3" bestFit="1" customWidth="1"/>
    <col min="78" max="78" width="3.5" bestFit="1" customWidth="1"/>
    <col min="79" max="79" width="4" bestFit="1" customWidth="1"/>
    <col min="80" max="80" width="5.1640625" bestFit="1" customWidth="1"/>
    <col min="81" max="81" width="3.5" bestFit="1" customWidth="1"/>
    <col min="82" max="82" width="6" bestFit="1" customWidth="1"/>
    <col min="83" max="83" width="6.6640625" bestFit="1" customWidth="1"/>
    <col min="84" max="84" width="6.1640625" bestFit="1" customWidth="1"/>
    <col min="85" max="85" width="11.1640625" bestFit="1" customWidth="1"/>
    <col min="86" max="86" width="7" customWidth="1"/>
  </cols>
  <sheetData>
    <row r="1" spans="1:9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3" t="s">
        <v>39</v>
      </c>
      <c r="CI1" s="3" t="s">
        <v>40</v>
      </c>
      <c r="CJ1" s="3" t="s">
        <v>41</v>
      </c>
      <c r="CK1" s="3" t="s">
        <v>42</v>
      </c>
      <c r="CL1" s="3" t="s">
        <v>43</v>
      </c>
    </row>
    <row r="2" spans="1:90">
      <c r="A2">
        <v>40</v>
      </c>
      <c r="B2">
        <v>0</v>
      </c>
      <c r="C2">
        <v>0</v>
      </c>
      <c r="D2">
        <v>0</v>
      </c>
      <c r="E2">
        <v>0</v>
      </c>
      <c r="F2" s="1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1.341269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>
        <v>0</v>
      </c>
      <c r="AO2">
        <v>0</v>
      </c>
      <c r="AP2">
        <v>1</v>
      </c>
      <c r="AQ2">
        <v>0</v>
      </c>
      <c r="AR2">
        <v>1</v>
      </c>
      <c r="AS2">
        <f t="shared" ref="AS2:AS33" si="0">SUM(I2:P2)</f>
        <v>0</v>
      </c>
      <c r="AT2">
        <f t="shared" ref="AT2:AT30" si="1">SUM(Q2:X2)</f>
        <v>1.341269</v>
      </c>
      <c r="AU2">
        <f t="shared" ref="AU2:AU33" si="2">SUM(Y2:AF2)</f>
        <v>0</v>
      </c>
      <c r="AV2">
        <f t="shared" ref="AV2:AV33" si="3">SUM(I2:AL2)</f>
        <v>1.341269</v>
      </c>
      <c r="AW2">
        <f>(I2/AV2)^2+(J2/AV2)^2+(K2/AV2)^2+(L2/AV2)^2+(M2/AV2)^2+(N2/AV2)^2+(O2/AV2)^2+(P2/AV2)^2+(Q2/AV2)^2+(R2/AV2)^2+(S2/AV2)^2+(T2/AV2)^2+(U2/AV2)^2+(V2/AV2)^2+(W2/AV2)^2+(X2/AV2)^2+(Y2/AV2)^2+(Z2/AV2)^2+(AA2/AV2)^2+(AB2/AV2)^2+(AC2/AV2)^2+(AD2/AV2)^2+(AE2/AV2)^2+(AF2/AV2)^2+(AG2/AV2)^2+(AH2/AV2)^2+(AI2/AV2)^2+(AJ2/AV2)^2+(AK2/AV2)^2+(AL2/AV2)^2</f>
        <v>1</v>
      </c>
      <c r="AX2">
        <f>1/AW2</f>
        <v>1</v>
      </c>
      <c r="AY2">
        <f t="shared" ref="AY2:AY33" si="4">AO2+AP2+AQ2</f>
        <v>1</v>
      </c>
      <c r="AZ2">
        <f t="shared" ref="AZ2:AZ33" si="5">SUM(I2:AF2)</f>
        <v>1.341269</v>
      </c>
      <c r="BA2">
        <f>(M2/AZ2)^2+(N2/AZ2)^2+(O2/AZ2)^2+(P2/AZ2)^2+(Q2/AZ2)^2+(R2/AZ2)^2+(S2/AZ2)^2+(T2/AZ2)^2+(U2/AZ2)^2+(V2/AZ2)^2+(W2/AZ2)^2+(X2/AZ2)^2+(Y2/AZ2)^2+(Z2/AZ2)^2+(AA2/AZ2)^2+(AB2/AZ2)^2+(AC2/AZ2)^2+(AD2/AZ2)^2+(AE2/AZ2)^2+(AF2/AZ2)^2+(I2/AZ2)^2+(J2/AZ2)^2+(K2/AZ2)^2+(L2/AZ2)^2</f>
        <v>1</v>
      </c>
      <c r="BB2">
        <f>1/BA2</f>
        <v>1</v>
      </c>
      <c r="BC2">
        <f t="shared" ref="BC2:BC33" si="6">IF(I2=0,0,1)</f>
        <v>0</v>
      </c>
      <c r="BD2">
        <f t="shared" ref="BD2:BD33" si="7">IF(J2=0,0,1)</f>
        <v>0</v>
      </c>
      <c r="BE2">
        <f t="shared" ref="BE2:BE33" si="8">IF(K2=0,0,1)</f>
        <v>0</v>
      </c>
      <c r="BF2">
        <f t="shared" ref="BF2:BF33" si="9">IF(L2=0,0,1)</f>
        <v>0</v>
      </c>
      <c r="BG2">
        <f t="shared" ref="BG2:BG33" si="10">IF(M2=0,0,1)</f>
        <v>0</v>
      </c>
      <c r="BH2">
        <f t="shared" ref="BH2:BH33" si="11">IF(N2=0,0,1)</f>
        <v>0</v>
      </c>
      <c r="BI2">
        <f t="shared" ref="BI2:BI33" si="12">IF(O2=0,0,1)</f>
        <v>0</v>
      </c>
      <c r="BJ2">
        <f t="shared" ref="BJ2:BJ33" si="13">IF(P2=0,0,1)</f>
        <v>0</v>
      </c>
      <c r="BK2">
        <f t="shared" ref="BK2:BK33" si="14">IF(Q2=0,0,1)</f>
        <v>0</v>
      </c>
      <c r="BL2">
        <f t="shared" ref="BL2:BL33" si="15">IF(R2=0,0,1)</f>
        <v>0</v>
      </c>
      <c r="BM2">
        <f t="shared" ref="BM2:BM33" si="16">IF(S2=0,0,1)</f>
        <v>0</v>
      </c>
      <c r="BN2">
        <f t="shared" ref="BN2:BN33" si="17">IF(T2=0,0,1)</f>
        <v>0</v>
      </c>
      <c r="BO2">
        <f t="shared" ref="BO2:BO33" si="18">IF(U2=0,0,1)</f>
        <v>0</v>
      </c>
      <c r="BP2">
        <f t="shared" ref="BP2:BP33" si="19">IF(V2=0,0,1)</f>
        <v>0</v>
      </c>
      <c r="BQ2">
        <f t="shared" ref="BQ2:BQ33" si="20">IF(W2=0,0,1)</f>
        <v>0</v>
      </c>
      <c r="BR2">
        <f t="shared" ref="BR2:BR33" si="21">IF(X2=0,0,1)</f>
        <v>1</v>
      </c>
      <c r="BS2">
        <f t="shared" ref="BS2:BS33" si="22">IF(Y2=0,0,1)</f>
        <v>0</v>
      </c>
      <c r="BT2">
        <f t="shared" ref="BT2:BT33" si="23">IF(Z2=0,0,1)</f>
        <v>0</v>
      </c>
      <c r="BU2">
        <f t="shared" ref="BU2:BU33" si="24">IF(AA2=0,0,1)</f>
        <v>0</v>
      </c>
      <c r="BV2">
        <f t="shared" ref="BV2:BV33" si="25">IF(AB2=0,0,1)</f>
        <v>0</v>
      </c>
      <c r="BW2">
        <f t="shared" ref="BW2:BW33" si="26">IF(AC2=0,0,1)</f>
        <v>0</v>
      </c>
      <c r="BX2">
        <f t="shared" ref="BX2:BX33" si="27">IF(AD2=0,0,1)</f>
        <v>0</v>
      </c>
      <c r="BY2">
        <f t="shared" ref="BY2:BY33" si="28">IF(AE2=0,0,1)</f>
        <v>0</v>
      </c>
      <c r="BZ2">
        <f t="shared" ref="BZ2:BZ33" si="29">IF(AF2=0,0,1)</f>
        <v>0</v>
      </c>
      <c r="CA2">
        <f t="shared" ref="CA2:CA33" si="30">IF(AG2=0,0,1)</f>
        <v>0</v>
      </c>
      <c r="CB2">
        <f t="shared" ref="CB2:CB33" si="31">IF(AH2=0,0,1)</f>
        <v>0</v>
      </c>
      <c r="CC2">
        <f t="shared" ref="CC2:CC33" si="32">IF(AI2=0,0,1)</f>
        <v>0</v>
      </c>
      <c r="CD2">
        <f t="shared" ref="CD2:CD33" si="33">IF(AJ2=0,0,1)</f>
        <v>0</v>
      </c>
      <c r="CE2">
        <f t="shared" ref="CE2:CE33" si="34">IF(AK2=0,0,1)</f>
        <v>0</v>
      </c>
      <c r="CF2">
        <f t="shared" ref="CF2:CF33" si="35">IF(AL2=0,0,1)</f>
        <v>0</v>
      </c>
      <c r="CG2">
        <f t="shared" ref="CG2:CG33" si="36">IF(AM2=0,0,1)</f>
        <v>0</v>
      </c>
      <c r="CH2">
        <f t="shared" ref="CH2:CH33" si="37">CA2+CB2+CC2+CD2+CE2+CF2+CG2</f>
        <v>0</v>
      </c>
      <c r="CI2">
        <f t="shared" ref="CI2:CI33" si="38">SUM(BC2:BJ2)</f>
        <v>0</v>
      </c>
      <c r="CJ2">
        <f t="shared" ref="CJ2:CJ33" si="39">SUM(BK2:BR2)</f>
        <v>1</v>
      </c>
      <c r="CK2">
        <f t="shared" ref="CK2:CK33" si="40">SUM(BS2:BZ2)</f>
        <v>0</v>
      </c>
      <c r="CL2">
        <f t="shared" ref="CL2:CL33" si="41">SUM(CH2:CK2)</f>
        <v>1</v>
      </c>
    </row>
    <row r="3" spans="1:90">
      <c r="A3">
        <v>42</v>
      </c>
      <c r="B3">
        <v>0</v>
      </c>
      <c r="C3">
        <v>0</v>
      </c>
      <c r="D3">
        <v>0</v>
      </c>
      <c r="E3">
        <v>1</v>
      </c>
      <c r="F3" s="1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f t="shared" si="0"/>
        <v>0</v>
      </c>
      <c r="AT3">
        <f t="shared" si="1"/>
        <v>0</v>
      </c>
      <c r="AU3">
        <f t="shared" si="2"/>
        <v>0</v>
      </c>
      <c r="AV3">
        <f t="shared" si="3"/>
        <v>0</v>
      </c>
      <c r="AW3">
        <v>0</v>
      </c>
      <c r="AX3">
        <v>0</v>
      </c>
      <c r="AY3">
        <f t="shared" si="4"/>
        <v>0</v>
      </c>
      <c r="AZ3">
        <f t="shared" si="5"/>
        <v>0</v>
      </c>
      <c r="BA3">
        <v>0</v>
      </c>
      <c r="BB3">
        <v>0</v>
      </c>
      <c r="BC3">
        <f t="shared" si="6"/>
        <v>0</v>
      </c>
      <c r="BD3">
        <f t="shared" si="7"/>
        <v>0</v>
      </c>
      <c r="BE3">
        <f t="shared" si="8"/>
        <v>0</v>
      </c>
      <c r="BF3">
        <f t="shared" si="9"/>
        <v>0</v>
      </c>
      <c r="BG3">
        <f t="shared" si="10"/>
        <v>0</v>
      </c>
      <c r="BH3">
        <f t="shared" si="11"/>
        <v>0</v>
      </c>
      <c r="BI3">
        <f t="shared" si="12"/>
        <v>0</v>
      </c>
      <c r="BJ3">
        <f t="shared" si="13"/>
        <v>0</v>
      </c>
      <c r="BK3">
        <f t="shared" si="14"/>
        <v>0</v>
      </c>
      <c r="BL3">
        <f t="shared" si="15"/>
        <v>0</v>
      </c>
      <c r="BM3">
        <f t="shared" si="16"/>
        <v>0</v>
      </c>
      <c r="BN3">
        <f t="shared" si="17"/>
        <v>0</v>
      </c>
      <c r="BO3">
        <f t="shared" si="18"/>
        <v>0</v>
      </c>
      <c r="BP3">
        <f t="shared" si="19"/>
        <v>0</v>
      </c>
      <c r="BQ3">
        <f t="shared" si="20"/>
        <v>0</v>
      </c>
      <c r="BR3">
        <f t="shared" si="21"/>
        <v>0</v>
      </c>
      <c r="BS3">
        <f t="shared" si="22"/>
        <v>0</v>
      </c>
      <c r="BT3">
        <f t="shared" si="23"/>
        <v>0</v>
      </c>
      <c r="BU3">
        <f t="shared" si="24"/>
        <v>0</v>
      </c>
      <c r="BV3">
        <f t="shared" si="25"/>
        <v>0</v>
      </c>
      <c r="BW3">
        <f t="shared" si="26"/>
        <v>0</v>
      </c>
      <c r="BX3">
        <f t="shared" si="27"/>
        <v>0</v>
      </c>
      <c r="BY3">
        <f t="shared" si="28"/>
        <v>0</v>
      </c>
      <c r="BZ3">
        <f t="shared" si="29"/>
        <v>0</v>
      </c>
      <c r="CA3">
        <f t="shared" si="30"/>
        <v>0</v>
      </c>
      <c r="CB3">
        <f t="shared" si="31"/>
        <v>0</v>
      </c>
      <c r="CC3">
        <f t="shared" si="32"/>
        <v>0</v>
      </c>
      <c r="CD3">
        <f t="shared" si="33"/>
        <v>0</v>
      </c>
      <c r="CE3">
        <f t="shared" si="34"/>
        <v>0</v>
      </c>
      <c r="CF3">
        <f t="shared" si="35"/>
        <v>0</v>
      </c>
      <c r="CG3">
        <f t="shared" si="36"/>
        <v>0</v>
      </c>
      <c r="CH3">
        <f t="shared" si="37"/>
        <v>0</v>
      </c>
      <c r="CI3">
        <f t="shared" si="38"/>
        <v>0</v>
      </c>
      <c r="CJ3">
        <f t="shared" si="39"/>
        <v>0</v>
      </c>
      <c r="CK3">
        <f t="shared" si="40"/>
        <v>0</v>
      </c>
      <c r="CL3">
        <f t="shared" si="41"/>
        <v>0</v>
      </c>
    </row>
    <row r="4" spans="1:90">
      <c r="A4">
        <v>66</v>
      </c>
      <c r="B4">
        <v>0</v>
      </c>
      <c r="C4">
        <v>0</v>
      </c>
      <c r="D4">
        <v>0</v>
      </c>
      <c r="E4">
        <v>0</v>
      </c>
      <c r="F4" s="1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2.4824809999999999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>
        <v>0</v>
      </c>
      <c r="AO4">
        <v>0</v>
      </c>
      <c r="AP4">
        <v>1</v>
      </c>
      <c r="AQ4">
        <v>0</v>
      </c>
      <c r="AR4">
        <v>1</v>
      </c>
      <c r="AS4">
        <f t="shared" si="0"/>
        <v>0</v>
      </c>
      <c r="AT4">
        <f t="shared" si="1"/>
        <v>2.4824809999999999</v>
      </c>
      <c r="AU4">
        <f t="shared" si="2"/>
        <v>0</v>
      </c>
      <c r="AV4">
        <f t="shared" si="3"/>
        <v>2.4824809999999999</v>
      </c>
      <c r="AW4">
        <f t="shared" ref="AW4:AW30" si="42">(I4/AV4)^2+(J4/AV4)^2+(K4/AV4)^2+(L4/AV4)^2+(M4/AV4)^2+(N4/AV4)^2+(O4/AV4)^2+(P4/AV4)^2+(Q4/AV4)^2+(R4/AV4)^2+(S4/AV4)^2+(T4/AV4)^2+(U4/AV4)^2+(V4/AV4)^2+(W4/AV4)^2+(X4/AV4)^2+(Y4/AV4)^2+(Z4/AV4)^2+(AA4/AV4)^2+(AB4/AV4)^2+(AC4/AV4)^2+(AD4/AV4)^2+(AE4/AV4)^2+(AF4/AV4)^2+(AG4/AV4)^2+(AH4/AV4)^2+(AI4/AV4)^2+(AJ4/AV4)^2+(AK4/AV4)^2+(AL4/AV4)^2</f>
        <v>1</v>
      </c>
      <c r="AX4">
        <f t="shared" ref="AX4:AX35" si="43">1/AW4</f>
        <v>1</v>
      </c>
      <c r="AY4">
        <f t="shared" si="4"/>
        <v>1</v>
      </c>
      <c r="AZ4">
        <f t="shared" si="5"/>
        <v>2.4824809999999999</v>
      </c>
      <c r="BA4">
        <f t="shared" ref="BA4:BA30" si="44">(M4/AZ4)^2+(N4/AZ4)^2+(O4/AZ4)^2+(P4/AZ4)^2+(Q4/AZ4)^2+(R4/AZ4)^2+(S4/AZ4)^2+(T4/AZ4)^2+(U4/AZ4)^2+(V4/AZ4)^2+(W4/AZ4)^2+(X4/AZ4)^2+(Y4/AZ4)^2+(Z4/AZ4)^2+(AA4/AZ4)^2+(AB4/AZ4)^2+(AC4/AZ4)^2+(AD4/AZ4)^2+(AE4/AZ4)^2+(AF4/AZ4)^2+(I4/AZ4)^2+(J4/AZ4)^2+(K4/AZ4)^2+(L4/AZ4)^2</f>
        <v>1</v>
      </c>
      <c r="BB4">
        <f t="shared" ref="BB4:BB35" si="45">1/BA4</f>
        <v>1</v>
      </c>
      <c r="BC4">
        <f t="shared" si="6"/>
        <v>0</v>
      </c>
      <c r="BD4">
        <f t="shared" si="7"/>
        <v>0</v>
      </c>
      <c r="BE4">
        <f t="shared" si="8"/>
        <v>0</v>
      </c>
      <c r="BF4">
        <f t="shared" si="9"/>
        <v>0</v>
      </c>
      <c r="BG4">
        <f t="shared" si="10"/>
        <v>0</v>
      </c>
      <c r="BH4">
        <f t="shared" si="11"/>
        <v>0</v>
      </c>
      <c r="BI4">
        <f t="shared" si="12"/>
        <v>0</v>
      </c>
      <c r="BJ4">
        <f t="shared" si="13"/>
        <v>0</v>
      </c>
      <c r="BK4">
        <f t="shared" si="14"/>
        <v>0</v>
      </c>
      <c r="BL4">
        <f t="shared" si="15"/>
        <v>0</v>
      </c>
      <c r="BM4">
        <f t="shared" si="16"/>
        <v>0</v>
      </c>
      <c r="BN4">
        <f t="shared" si="17"/>
        <v>0</v>
      </c>
      <c r="BO4">
        <f t="shared" si="18"/>
        <v>0</v>
      </c>
      <c r="BP4">
        <f t="shared" si="19"/>
        <v>0</v>
      </c>
      <c r="BQ4">
        <f t="shared" si="20"/>
        <v>0</v>
      </c>
      <c r="BR4">
        <f t="shared" si="21"/>
        <v>1</v>
      </c>
      <c r="BS4">
        <f t="shared" si="22"/>
        <v>0</v>
      </c>
      <c r="BT4">
        <f t="shared" si="23"/>
        <v>0</v>
      </c>
      <c r="BU4">
        <f t="shared" si="24"/>
        <v>0</v>
      </c>
      <c r="BV4">
        <f t="shared" si="25"/>
        <v>0</v>
      </c>
      <c r="BW4">
        <f t="shared" si="26"/>
        <v>0</v>
      </c>
      <c r="BX4">
        <f t="shared" si="27"/>
        <v>0</v>
      </c>
      <c r="BY4">
        <f t="shared" si="28"/>
        <v>0</v>
      </c>
      <c r="BZ4">
        <f t="shared" si="29"/>
        <v>0</v>
      </c>
      <c r="CA4">
        <f t="shared" si="30"/>
        <v>0</v>
      </c>
      <c r="CB4">
        <f t="shared" si="31"/>
        <v>0</v>
      </c>
      <c r="CC4">
        <f t="shared" si="32"/>
        <v>0</v>
      </c>
      <c r="CD4">
        <f t="shared" si="33"/>
        <v>0</v>
      </c>
      <c r="CE4">
        <f t="shared" si="34"/>
        <v>0</v>
      </c>
      <c r="CF4">
        <f t="shared" si="35"/>
        <v>0</v>
      </c>
      <c r="CG4">
        <f t="shared" si="36"/>
        <v>0</v>
      </c>
      <c r="CH4">
        <f t="shared" si="37"/>
        <v>0</v>
      </c>
      <c r="CI4">
        <f t="shared" si="38"/>
        <v>0</v>
      </c>
      <c r="CJ4">
        <f t="shared" si="39"/>
        <v>1</v>
      </c>
      <c r="CK4">
        <f t="shared" si="40"/>
        <v>0</v>
      </c>
      <c r="CL4">
        <f t="shared" si="41"/>
        <v>1</v>
      </c>
    </row>
    <row r="5" spans="1:90">
      <c r="A5">
        <v>77</v>
      </c>
      <c r="B5">
        <v>0</v>
      </c>
      <c r="C5">
        <v>0</v>
      </c>
      <c r="D5">
        <v>0</v>
      </c>
      <c r="E5">
        <v>1</v>
      </c>
      <c r="F5" s="1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0.214337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>
        <v>0</v>
      </c>
      <c r="AO5">
        <v>0</v>
      </c>
      <c r="AP5">
        <v>1</v>
      </c>
      <c r="AQ5">
        <v>0</v>
      </c>
      <c r="AR5">
        <v>1</v>
      </c>
      <c r="AS5">
        <f t="shared" si="0"/>
        <v>0</v>
      </c>
      <c r="AT5">
        <f t="shared" si="1"/>
        <v>0.214337</v>
      </c>
      <c r="AU5">
        <f t="shared" si="2"/>
        <v>0</v>
      </c>
      <c r="AV5">
        <f t="shared" si="3"/>
        <v>0.214337</v>
      </c>
      <c r="AW5">
        <f t="shared" si="42"/>
        <v>1</v>
      </c>
      <c r="AX5">
        <f t="shared" si="43"/>
        <v>1</v>
      </c>
      <c r="AY5">
        <f t="shared" si="4"/>
        <v>1</v>
      </c>
      <c r="AZ5">
        <f t="shared" si="5"/>
        <v>0.214337</v>
      </c>
      <c r="BA5">
        <f t="shared" si="44"/>
        <v>1</v>
      </c>
      <c r="BB5">
        <f t="shared" si="45"/>
        <v>1</v>
      </c>
      <c r="BC5">
        <f t="shared" si="6"/>
        <v>0</v>
      </c>
      <c r="BD5">
        <f t="shared" si="7"/>
        <v>0</v>
      </c>
      <c r="BE5">
        <f t="shared" si="8"/>
        <v>0</v>
      </c>
      <c r="BF5">
        <f t="shared" si="9"/>
        <v>0</v>
      </c>
      <c r="BG5">
        <f t="shared" si="10"/>
        <v>0</v>
      </c>
      <c r="BH5">
        <f t="shared" si="11"/>
        <v>0</v>
      </c>
      <c r="BI5">
        <f t="shared" si="12"/>
        <v>0</v>
      </c>
      <c r="BJ5">
        <f t="shared" si="13"/>
        <v>0</v>
      </c>
      <c r="BK5">
        <f t="shared" si="14"/>
        <v>0</v>
      </c>
      <c r="BL5">
        <f t="shared" si="15"/>
        <v>0</v>
      </c>
      <c r="BM5">
        <f t="shared" si="16"/>
        <v>0</v>
      </c>
      <c r="BN5">
        <f t="shared" si="17"/>
        <v>0</v>
      </c>
      <c r="BO5">
        <f t="shared" si="18"/>
        <v>0</v>
      </c>
      <c r="BP5">
        <f t="shared" si="19"/>
        <v>0</v>
      </c>
      <c r="BQ5">
        <f t="shared" si="20"/>
        <v>0</v>
      </c>
      <c r="BR5">
        <f t="shared" si="21"/>
        <v>1</v>
      </c>
      <c r="BS5">
        <f t="shared" si="22"/>
        <v>0</v>
      </c>
      <c r="BT5">
        <f t="shared" si="23"/>
        <v>0</v>
      </c>
      <c r="BU5">
        <f t="shared" si="24"/>
        <v>0</v>
      </c>
      <c r="BV5">
        <f t="shared" si="25"/>
        <v>0</v>
      </c>
      <c r="BW5">
        <f t="shared" si="26"/>
        <v>0</v>
      </c>
      <c r="BX5">
        <f t="shared" si="27"/>
        <v>0</v>
      </c>
      <c r="BY5">
        <f t="shared" si="28"/>
        <v>0</v>
      </c>
      <c r="BZ5">
        <f t="shared" si="29"/>
        <v>0</v>
      </c>
      <c r="CA5">
        <f t="shared" si="30"/>
        <v>0</v>
      </c>
      <c r="CB5">
        <f t="shared" si="31"/>
        <v>0</v>
      </c>
      <c r="CC5">
        <f t="shared" si="32"/>
        <v>0</v>
      </c>
      <c r="CD5">
        <f t="shared" si="33"/>
        <v>0</v>
      </c>
      <c r="CE5">
        <f t="shared" si="34"/>
        <v>0</v>
      </c>
      <c r="CF5">
        <f t="shared" si="35"/>
        <v>0</v>
      </c>
      <c r="CG5">
        <f t="shared" si="36"/>
        <v>0</v>
      </c>
      <c r="CH5">
        <f t="shared" si="37"/>
        <v>0</v>
      </c>
      <c r="CI5">
        <f t="shared" si="38"/>
        <v>0</v>
      </c>
      <c r="CJ5">
        <f t="shared" si="39"/>
        <v>1</v>
      </c>
      <c r="CK5">
        <f t="shared" si="40"/>
        <v>0</v>
      </c>
      <c r="CL5">
        <f t="shared" si="41"/>
        <v>1</v>
      </c>
    </row>
    <row r="6" spans="1:90">
      <c r="A6">
        <v>4</v>
      </c>
      <c r="B6">
        <v>1</v>
      </c>
      <c r="C6">
        <v>0</v>
      </c>
      <c r="D6">
        <v>0</v>
      </c>
      <c r="E6">
        <v>0</v>
      </c>
      <c r="F6" s="1">
        <v>1</v>
      </c>
      <c r="G6">
        <v>6</v>
      </c>
      <c r="H6">
        <v>1</v>
      </c>
      <c r="I6">
        <v>0.14055421499999998</v>
      </c>
      <c r="J6">
        <v>0</v>
      </c>
      <c r="K6">
        <v>1.5429035640000002</v>
      </c>
      <c r="L6">
        <v>0</v>
      </c>
      <c r="M6">
        <v>0</v>
      </c>
      <c r="N6">
        <v>0.69290674200000002</v>
      </c>
      <c r="O6">
        <v>0</v>
      </c>
      <c r="P6">
        <v>1.0831029119999998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s="1">
        <v>0.4335</v>
      </c>
      <c r="X6" s="1">
        <v>2.52E-2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1">
        <v>4.7739999999999998E-2</v>
      </c>
      <c r="AE6" s="4">
        <v>0</v>
      </c>
      <c r="AF6" s="4">
        <v>0</v>
      </c>
      <c r="AG6" s="2">
        <v>0.13584000000000002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>
        <v>1</v>
      </c>
      <c r="AO6">
        <v>4</v>
      </c>
      <c r="AP6">
        <v>2</v>
      </c>
      <c r="AQ6">
        <v>1</v>
      </c>
      <c r="AR6">
        <v>8</v>
      </c>
      <c r="AS6">
        <f t="shared" si="0"/>
        <v>3.4594674329999999</v>
      </c>
      <c r="AT6">
        <f t="shared" si="1"/>
        <v>0.4587</v>
      </c>
      <c r="AU6">
        <f t="shared" si="2"/>
        <v>4.7739999999999998E-2</v>
      </c>
      <c r="AV6">
        <f t="shared" si="3"/>
        <v>4.1017474329999999</v>
      </c>
      <c r="AW6">
        <f t="shared" si="42"/>
        <v>0.25337276204521386</v>
      </c>
      <c r="AX6">
        <f t="shared" si="43"/>
        <v>3.9467541496096255</v>
      </c>
      <c r="AY6">
        <f t="shared" si="4"/>
        <v>7</v>
      </c>
      <c r="AZ6">
        <f t="shared" si="5"/>
        <v>3.9659074329999999</v>
      </c>
      <c r="BA6">
        <f t="shared" si="44"/>
        <v>0.26985383700236487</v>
      </c>
      <c r="BB6">
        <f t="shared" si="45"/>
        <v>3.7057097690674543</v>
      </c>
      <c r="BC6">
        <f t="shared" si="6"/>
        <v>1</v>
      </c>
      <c r="BD6">
        <f t="shared" si="7"/>
        <v>0</v>
      </c>
      <c r="BE6">
        <f t="shared" si="8"/>
        <v>1</v>
      </c>
      <c r="BF6">
        <f t="shared" si="9"/>
        <v>0</v>
      </c>
      <c r="BG6">
        <f t="shared" si="10"/>
        <v>0</v>
      </c>
      <c r="BH6">
        <f t="shared" si="11"/>
        <v>1</v>
      </c>
      <c r="BI6">
        <f t="shared" si="12"/>
        <v>0</v>
      </c>
      <c r="BJ6">
        <f t="shared" si="13"/>
        <v>1</v>
      </c>
      <c r="BK6">
        <f t="shared" si="14"/>
        <v>0</v>
      </c>
      <c r="BL6">
        <f t="shared" si="15"/>
        <v>0</v>
      </c>
      <c r="BM6">
        <f t="shared" si="16"/>
        <v>0</v>
      </c>
      <c r="BN6">
        <f t="shared" si="17"/>
        <v>0</v>
      </c>
      <c r="BO6">
        <f t="shared" si="18"/>
        <v>0</v>
      </c>
      <c r="BP6">
        <f t="shared" si="19"/>
        <v>0</v>
      </c>
      <c r="BQ6">
        <f t="shared" si="20"/>
        <v>1</v>
      </c>
      <c r="BR6">
        <f t="shared" si="21"/>
        <v>1</v>
      </c>
      <c r="BS6">
        <f t="shared" si="22"/>
        <v>0</v>
      </c>
      <c r="BT6">
        <f t="shared" si="23"/>
        <v>0</v>
      </c>
      <c r="BU6">
        <f t="shared" si="24"/>
        <v>0</v>
      </c>
      <c r="BV6">
        <f t="shared" si="25"/>
        <v>0</v>
      </c>
      <c r="BW6">
        <f t="shared" si="26"/>
        <v>0</v>
      </c>
      <c r="BX6">
        <f t="shared" si="27"/>
        <v>1</v>
      </c>
      <c r="BY6">
        <f t="shared" si="28"/>
        <v>0</v>
      </c>
      <c r="BZ6">
        <f t="shared" si="29"/>
        <v>0</v>
      </c>
      <c r="CA6">
        <f t="shared" si="30"/>
        <v>1</v>
      </c>
      <c r="CB6">
        <f t="shared" si="31"/>
        <v>0</v>
      </c>
      <c r="CC6">
        <f t="shared" si="32"/>
        <v>0</v>
      </c>
      <c r="CD6">
        <f t="shared" si="33"/>
        <v>0</v>
      </c>
      <c r="CE6">
        <f t="shared" si="34"/>
        <v>0</v>
      </c>
      <c r="CF6">
        <f t="shared" si="35"/>
        <v>0</v>
      </c>
      <c r="CG6">
        <f t="shared" si="36"/>
        <v>0</v>
      </c>
      <c r="CH6">
        <f t="shared" si="37"/>
        <v>1</v>
      </c>
      <c r="CI6">
        <f t="shared" si="38"/>
        <v>4</v>
      </c>
      <c r="CJ6">
        <f t="shared" si="39"/>
        <v>2</v>
      </c>
      <c r="CK6">
        <f t="shared" si="40"/>
        <v>1</v>
      </c>
      <c r="CL6">
        <f t="shared" si="41"/>
        <v>8</v>
      </c>
    </row>
    <row r="7" spans="1:90">
      <c r="A7">
        <v>17</v>
      </c>
      <c r="B7">
        <v>1</v>
      </c>
      <c r="C7">
        <v>0</v>
      </c>
      <c r="D7">
        <v>0</v>
      </c>
      <c r="E7">
        <v>1</v>
      </c>
      <c r="F7" s="1">
        <v>1</v>
      </c>
      <c r="G7">
        <v>6</v>
      </c>
      <c r="H7">
        <v>1</v>
      </c>
      <c r="I7">
        <v>0.6305385</v>
      </c>
      <c r="J7">
        <v>0</v>
      </c>
      <c r="K7">
        <v>4.3389220000000002</v>
      </c>
      <c r="L7">
        <v>0</v>
      </c>
      <c r="M7">
        <v>0</v>
      </c>
      <c r="N7">
        <v>0.32887139999999998</v>
      </c>
      <c r="O7">
        <v>0</v>
      </c>
      <c r="P7">
        <v>2.5402963999999995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1">
        <v>3.388E-2</v>
      </c>
      <c r="AE7">
        <v>0</v>
      </c>
      <c r="AF7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>
        <v>0</v>
      </c>
      <c r="AO7">
        <v>4</v>
      </c>
      <c r="AP7">
        <v>0</v>
      </c>
      <c r="AQ7">
        <v>1</v>
      </c>
      <c r="AR7">
        <v>5</v>
      </c>
      <c r="AS7">
        <f t="shared" si="0"/>
        <v>7.8386282999999999</v>
      </c>
      <c r="AT7">
        <f t="shared" si="1"/>
        <v>0</v>
      </c>
      <c r="AU7">
        <f t="shared" si="2"/>
        <v>3.388E-2</v>
      </c>
      <c r="AV7">
        <f t="shared" si="3"/>
        <v>7.8725082999999998</v>
      </c>
      <c r="AW7">
        <f t="shared" si="42"/>
        <v>0.4160654444360698</v>
      </c>
      <c r="AX7">
        <f t="shared" si="43"/>
        <v>2.4034680442048924</v>
      </c>
      <c r="AY7">
        <f t="shared" si="4"/>
        <v>5</v>
      </c>
      <c r="AZ7">
        <f t="shared" si="5"/>
        <v>7.8725082999999998</v>
      </c>
      <c r="BA7">
        <f t="shared" si="44"/>
        <v>0.41606544443606985</v>
      </c>
      <c r="BB7">
        <f t="shared" si="45"/>
        <v>2.4034680442048919</v>
      </c>
      <c r="BC7">
        <f t="shared" si="6"/>
        <v>1</v>
      </c>
      <c r="BD7">
        <f t="shared" si="7"/>
        <v>0</v>
      </c>
      <c r="BE7">
        <f t="shared" si="8"/>
        <v>1</v>
      </c>
      <c r="BF7">
        <f t="shared" si="9"/>
        <v>0</v>
      </c>
      <c r="BG7">
        <f t="shared" si="10"/>
        <v>0</v>
      </c>
      <c r="BH7">
        <f t="shared" si="11"/>
        <v>1</v>
      </c>
      <c r="BI7">
        <f t="shared" si="12"/>
        <v>0</v>
      </c>
      <c r="BJ7">
        <f t="shared" si="13"/>
        <v>1</v>
      </c>
      <c r="BK7">
        <f t="shared" si="14"/>
        <v>0</v>
      </c>
      <c r="BL7">
        <f t="shared" si="15"/>
        <v>0</v>
      </c>
      <c r="BM7">
        <f t="shared" si="16"/>
        <v>0</v>
      </c>
      <c r="BN7">
        <f t="shared" si="17"/>
        <v>0</v>
      </c>
      <c r="BO7">
        <f t="shared" si="18"/>
        <v>0</v>
      </c>
      <c r="BP7">
        <f t="shared" si="19"/>
        <v>0</v>
      </c>
      <c r="BQ7">
        <f t="shared" si="20"/>
        <v>0</v>
      </c>
      <c r="BR7">
        <f t="shared" si="21"/>
        <v>0</v>
      </c>
      <c r="BS7">
        <f t="shared" si="22"/>
        <v>0</v>
      </c>
      <c r="BT7">
        <f t="shared" si="23"/>
        <v>0</v>
      </c>
      <c r="BU7">
        <f t="shared" si="24"/>
        <v>0</v>
      </c>
      <c r="BV7">
        <f t="shared" si="25"/>
        <v>0</v>
      </c>
      <c r="BW7">
        <f t="shared" si="26"/>
        <v>0</v>
      </c>
      <c r="BX7">
        <f t="shared" si="27"/>
        <v>1</v>
      </c>
      <c r="BY7">
        <f t="shared" si="28"/>
        <v>0</v>
      </c>
      <c r="BZ7">
        <f t="shared" si="29"/>
        <v>0</v>
      </c>
      <c r="CA7">
        <f t="shared" si="30"/>
        <v>0</v>
      </c>
      <c r="CB7">
        <f t="shared" si="31"/>
        <v>0</v>
      </c>
      <c r="CC7">
        <f t="shared" si="32"/>
        <v>0</v>
      </c>
      <c r="CD7">
        <f t="shared" si="33"/>
        <v>0</v>
      </c>
      <c r="CE7">
        <f t="shared" si="34"/>
        <v>0</v>
      </c>
      <c r="CF7">
        <f t="shared" si="35"/>
        <v>0</v>
      </c>
      <c r="CG7">
        <f t="shared" si="36"/>
        <v>0</v>
      </c>
      <c r="CH7">
        <f t="shared" si="37"/>
        <v>0</v>
      </c>
      <c r="CI7">
        <f t="shared" si="38"/>
        <v>4</v>
      </c>
      <c r="CJ7">
        <f t="shared" si="39"/>
        <v>0</v>
      </c>
      <c r="CK7">
        <f t="shared" si="40"/>
        <v>1</v>
      </c>
      <c r="CL7">
        <f t="shared" si="41"/>
        <v>5</v>
      </c>
    </row>
    <row r="8" spans="1:90">
      <c r="A8">
        <v>76</v>
      </c>
      <c r="B8">
        <v>1</v>
      </c>
      <c r="C8">
        <v>0</v>
      </c>
      <c r="D8">
        <v>0</v>
      </c>
      <c r="E8">
        <v>0</v>
      </c>
      <c r="F8" s="1">
        <v>1</v>
      </c>
      <c r="G8">
        <v>6</v>
      </c>
      <c r="H8">
        <v>1</v>
      </c>
      <c r="I8">
        <v>1.2530954999999999</v>
      </c>
      <c r="J8">
        <v>0</v>
      </c>
      <c r="K8">
        <v>0.96183000000000007</v>
      </c>
      <c r="L8">
        <v>0</v>
      </c>
      <c r="M8">
        <v>0</v>
      </c>
      <c r="N8">
        <v>0.73363619999999996</v>
      </c>
      <c r="O8">
        <v>0</v>
      </c>
      <c r="P8">
        <v>1.1495195999999999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1">
        <v>9.9736000000000005E-2</v>
      </c>
      <c r="Y8">
        <v>0</v>
      </c>
      <c r="Z8">
        <v>0</v>
      </c>
      <c r="AA8">
        <v>0</v>
      </c>
      <c r="AB8">
        <v>0</v>
      </c>
      <c r="AC8">
        <v>0</v>
      </c>
      <c r="AD8" s="1">
        <v>2.002E-2</v>
      </c>
      <c r="AE8">
        <v>0</v>
      </c>
      <c r="AF8">
        <v>0</v>
      </c>
      <c r="AG8" s="2">
        <v>0</v>
      </c>
      <c r="AH8" s="2">
        <v>0</v>
      </c>
      <c r="AI8" s="2">
        <v>0</v>
      </c>
      <c r="AJ8" s="2">
        <v>5.2449999999999997E-2</v>
      </c>
      <c r="AK8" s="2">
        <v>0</v>
      </c>
      <c r="AL8" s="2">
        <v>0</v>
      </c>
      <c r="AM8" s="2">
        <v>0</v>
      </c>
      <c r="AN8">
        <v>1</v>
      </c>
      <c r="AO8">
        <v>4</v>
      </c>
      <c r="AP8">
        <v>1</v>
      </c>
      <c r="AQ8">
        <v>1</v>
      </c>
      <c r="AR8">
        <v>7</v>
      </c>
      <c r="AS8">
        <f t="shared" si="0"/>
        <v>4.0980812999999996</v>
      </c>
      <c r="AT8">
        <f t="shared" si="1"/>
        <v>9.9736000000000005E-2</v>
      </c>
      <c r="AU8">
        <f t="shared" si="2"/>
        <v>2.002E-2</v>
      </c>
      <c r="AV8">
        <f t="shared" si="3"/>
        <v>4.2702872999999997</v>
      </c>
      <c r="AW8">
        <f t="shared" si="42"/>
        <v>0.23953918461291857</v>
      </c>
      <c r="AX8">
        <f t="shared" si="43"/>
        <v>4.174682324380214</v>
      </c>
      <c r="AY8">
        <f t="shared" si="4"/>
        <v>6</v>
      </c>
      <c r="AZ8">
        <f t="shared" si="5"/>
        <v>4.2178372999999993</v>
      </c>
      <c r="BA8">
        <f t="shared" si="44"/>
        <v>0.24537906484289645</v>
      </c>
      <c r="BB8">
        <f t="shared" si="45"/>
        <v>4.0753272926533013</v>
      </c>
      <c r="BC8">
        <f t="shared" si="6"/>
        <v>1</v>
      </c>
      <c r="BD8">
        <f t="shared" si="7"/>
        <v>0</v>
      </c>
      <c r="BE8">
        <f t="shared" si="8"/>
        <v>1</v>
      </c>
      <c r="BF8">
        <f t="shared" si="9"/>
        <v>0</v>
      </c>
      <c r="BG8">
        <f t="shared" si="10"/>
        <v>0</v>
      </c>
      <c r="BH8">
        <f t="shared" si="11"/>
        <v>1</v>
      </c>
      <c r="BI8">
        <f t="shared" si="12"/>
        <v>0</v>
      </c>
      <c r="BJ8">
        <f t="shared" si="13"/>
        <v>1</v>
      </c>
      <c r="BK8">
        <f t="shared" si="14"/>
        <v>0</v>
      </c>
      <c r="BL8">
        <f t="shared" si="15"/>
        <v>0</v>
      </c>
      <c r="BM8">
        <f t="shared" si="16"/>
        <v>0</v>
      </c>
      <c r="BN8">
        <f t="shared" si="17"/>
        <v>0</v>
      </c>
      <c r="BO8">
        <f t="shared" si="18"/>
        <v>0</v>
      </c>
      <c r="BP8">
        <f t="shared" si="19"/>
        <v>0</v>
      </c>
      <c r="BQ8">
        <f t="shared" si="20"/>
        <v>0</v>
      </c>
      <c r="BR8">
        <f t="shared" si="21"/>
        <v>1</v>
      </c>
      <c r="BS8">
        <f t="shared" si="22"/>
        <v>0</v>
      </c>
      <c r="BT8">
        <f t="shared" si="23"/>
        <v>0</v>
      </c>
      <c r="BU8">
        <f t="shared" si="24"/>
        <v>0</v>
      </c>
      <c r="BV8">
        <f t="shared" si="25"/>
        <v>0</v>
      </c>
      <c r="BW8">
        <f t="shared" si="26"/>
        <v>0</v>
      </c>
      <c r="BX8">
        <f t="shared" si="27"/>
        <v>1</v>
      </c>
      <c r="BY8">
        <f t="shared" si="28"/>
        <v>0</v>
      </c>
      <c r="BZ8">
        <f t="shared" si="29"/>
        <v>0</v>
      </c>
      <c r="CA8">
        <f t="shared" si="30"/>
        <v>0</v>
      </c>
      <c r="CB8">
        <f t="shared" si="31"/>
        <v>0</v>
      </c>
      <c r="CC8">
        <f t="shared" si="32"/>
        <v>0</v>
      </c>
      <c r="CD8">
        <f t="shared" si="33"/>
        <v>1</v>
      </c>
      <c r="CE8">
        <f t="shared" si="34"/>
        <v>0</v>
      </c>
      <c r="CF8">
        <f t="shared" si="35"/>
        <v>0</v>
      </c>
      <c r="CG8">
        <f t="shared" si="36"/>
        <v>0</v>
      </c>
      <c r="CH8">
        <f t="shared" si="37"/>
        <v>1</v>
      </c>
      <c r="CI8">
        <f t="shared" si="38"/>
        <v>4</v>
      </c>
      <c r="CJ8">
        <f t="shared" si="39"/>
        <v>1</v>
      </c>
      <c r="CK8">
        <f t="shared" si="40"/>
        <v>1</v>
      </c>
      <c r="CL8">
        <f t="shared" si="41"/>
        <v>7</v>
      </c>
    </row>
    <row r="9" spans="1:90">
      <c r="A9">
        <v>78</v>
      </c>
      <c r="B9">
        <v>1</v>
      </c>
      <c r="C9">
        <v>0</v>
      </c>
      <c r="D9">
        <v>0</v>
      </c>
      <c r="E9">
        <v>1</v>
      </c>
      <c r="F9" s="1">
        <v>1</v>
      </c>
      <c r="G9">
        <v>6</v>
      </c>
      <c r="H9">
        <v>1</v>
      </c>
      <c r="I9">
        <v>1.3728179999999999</v>
      </c>
      <c r="J9">
        <v>0</v>
      </c>
      <c r="K9">
        <v>1.218318</v>
      </c>
      <c r="L9">
        <v>0</v>
      </c>
      <c r="M9">
        <v>0</v>
      </c>
      <c r="N9">
        <v>3.2381183999999998</v>
      </c>
      <c r="O9">
        <v>0</v>
      </c>
      <c r="P9">
        <v>2.4835299999999996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1">
        <v>3.8499999999999997E-3</v>
      </c>
      <c r="AE9">
        <v>0</v>
      </c>
      <c r="AF9">
        <v>0</v>
      </c>
      <c r="AG9" s="2">
        <v>0</v>
      </c>
      <c r="AH9" s="2">
        <v>0</v>
      </c>
      <c r="AI9" s="2">
        <v>0</v>
      </c>
      <c r="AJ9" s="2">
        <v>7.8674999999999995E-2</v>
      </c>
      <c r="AK9" s="2">
        <v>0</v>
      </c>
      <c r="AL9" s="2">
        <v>0</v>
      </c>
      <c r="AM9" s="2">
        <v>0</v>
      </c>
      <c r="AN9">
        <v>1</v>
      </c>
      <c r="AO9">
        <v>4</v>
      </c>
      <c r="AP9">
        <v>0</v>
      </c>
      <c r="AQ9">
        <v>1</v>
      </c>
      <c r="AR9">
        <v>6</v>
      </c>
      <c r="AS9">
        <f t="shared" si="0"/>
        <v>8.3127844</v>
      </c>
      <c r="AT9">
        <f t="shared" si="1"/>
        <v>0</v>
      </c>
      <c r="AU9">
        <f t="shared" si="2"/>
        <v>3.8499999999999997E-3</v>
      </c>
      <c r="AV9">
        <f t="shared" si="3"/>
        <v>8.3953094000000004</v>
      </c>
      <c r="AW9">
        <f t="shared" si="42"/>
        <v>0.28416739443406064</v>
      </c>
      <c r="AX9">
        <f t="shared" si="43"/>
        <v>3.5190525710789951</v>
      </c>
      <c r="AY9">
        <f t="shared" si="4"/>
        <v>5</v>
      </c>
      <c r="AZ9">
        <f t="shared" si="5"/>
        <v>8.3166343999999999</v>
      </c>
      <c r="BA9">
        <f t="shared" si="44"/>
        <v>0.28947975642144985</v>
      </c>
      <c r="BB9">
        <f t="shared" si="45"/>
        <v>3.4544729910029108</v>
      </c>
      <c r="BC9">
        <f t="shared" si="6"/>
        <v>1</v>
      </c>
      <c r="BD9">
        <f t="shared" si="7"/>
        <v>0</v>
      </c>
      <c r="BE9">
        <f t="shared" si="8"/>
        <v>1</v>
      </c>
      <c r="BF9">
        <f t="shared" si="9"/>
        <v>0</v>
      </c>
      <c r="BG9">
        <f t="shared" si="10"/>
        <v>0</v>
      </c>
      <c r="BH9">
        <f t="shared" si="11"/>
        <v>1</v>
      </c>
      <c r="BI9">
        <f t="shared" si="12"/>
        <v>0</v>
      </c>
      <c r="BJ9">
        <f t="shared" si="13"/>
        <v>1</v>
      </c>
      <c r="BK9">
        <f t="shared" si="14"/>
        <v>0</v>
      </c>
      <c r="BL9">
        <f t="shared" si="15"/>
        <v>0</v>
      </c>
      <c r="BM9">
        <f t="shared" si="16"/>
        <v>0</v>
      </c>
      <c r="BN9">
        <f t="shared" si="17"/>
        <v>0</v>
      </c>
      <c r="BO9">
        <f t="shared" si="18"/>
        <v>0</v>
      </c>
      <c r="BP9">
        <f t="shared" si="19"/>
        <v>0</v>
      </c>
      <c r="BQ9">
        <f t="shared" si="20"/>
        <v>0</v>
      </c>
      <c r="BR9">
        <f t="shared" si="21"/>
        <v>0</v>
      </c>
      <c r="BS9">
        <f t="shared" si="22"/>
        <v>0</v>
      </c>
      <c r="BT9">
        <f t="shared" si="23"/>
        <v>0</v>
      </c>
      <c r="BU9">
        <f t="shared" si="24"/>
        <v>0</v>
      </c>
      <c r="BV9">
        <f t="shared" si="25"/>
        <v>0</v>
      </c>
      <c r="BW9">
        <f t="shared" si="26"/>
        <v>0</v>
      </c>
      <c r="BX9">
        <f t="shared" si="27"/>
        <v>1</v>
      </c>
      <c r="BY9">
        <f t="shared" si="28"/>
        <v>0</v>
      </c>
      <c r="BZ9">
        <f t="shared" si="29"/>
        <v>0</v>
      </c>
      <c r="CA9">
        <f t="shared" si="30"/>
        <v>0</v>
      </c>
      <c r="CB9">
        <f t="shared" si="31"/>
        <v>0</v>
      </c>
      <c r="CC9">
        <f t="shared" si="32"/>
        <v>0</v>
      </c>
      <c r="CD9">
        <f t="shared" si="33"/>
        <v>1</v>
      </c>
      <c r="CE9">
        <f t="shared" si="34"/>
        <v>0</v>
      </c>
      <c r="CF9">
        <f t="shared" si="35"/>
        <v>0</v>
      </c>
      <c r="CG9">
        <f t="shared" si="36"/>
        <v>0</v>
      </c>
      <c r="CH9">
        <f t="shared" si="37"/>
        <v>1</v>
      </c>
      <c r="CI9">
        <f t="shared" si="38"/>
        <v>4</v>
      </c>
      <c r="CJ9">
        <f t="shared" si="39"/>
        <v>0</v>
      </c>
      <c r="CK9">
        <f t="shared" si="40"/>
        <v>1</v>
      </c>
      <c r="CL9">
        <f t="shared" si="41"/>
        <v>6</v>
      </c>
    </row>
    <row r="10" spans="1:90">
      <c r="A10">
        <v>6</v>
      </c>
      <c r="B10">
        <v>1</v>
      </c>
      <c r="C10">
        <v>0</v>
      </c>
      <c r="D10">
        <v>0</v>
      </c>
      <c r="E10">
        <v>0</v>
      </c>
      <c r="F10" s="1">
        <v>2</v>
      </c>
      <c r="G10">
        <v>6</v>
      </c>
      <c r="H10">
        <v>1</v>
      </c>
      <c r="I10">
        <v>3.0329699999999997</v>
      </c>
      <c r="J10">
        <v>0</v>
      </c>
      <c r="K10">
        <v>2.5334602200000003</v>
      </c>
      <c r="L10">
        <v>0</v>
      </c>
      <c r="M10">
        <v>0</v>
      </c>
      <c r="N10">
        <v>1.5431657999999999</v>
      </c>
      <c r="O10">
        <v>0</v>
      </c>
      <c r="P10">
        <v>2.547534116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2">
        <v>6.7920000000000003E-3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>
        <v>1</v>
      </c>
      <c r="AO10">
        <v>4</v>
      </c>
      <c r="AP10">
        <v>0</v>
      </c>
      <c r="AQ10">
        <v>0</v>
      </c>
      <c r="AR10">
        <v>5</v>
      </c>
      <c r="AS10">
        <f t="shared" si="0"/>
        <v>9.6571301359999993</v>
      </c>
      <c r="AT10">
        <f t="shared" si="1"/>
        <v>0</v>
      </c>
      <c r="AU10">
        <f t="shared" si="2"/>
        <v>0</v>
      </c>
      <c r="AV10">
        <f t="shared" si="3"/>
        <v>9.6639221360000001</v>
      </c>
      <c r="AW10">
        <f t="shared" si="42"/>
        <v>0.2622154389334807</v>
      </c>
      <c r="AX10">
        <f t="shared" si="43"/>
        <v>3.8136579755461382</v>
      </c>
      <c r="AY10">
        <f t="shared" si="4"/>
        <v>4</v>
      </c>
      <c r="AZ10">
        <f t="shared" si="5"/>
        <v>9.6571301359999993</v>
      </c>
      <c r="BA10">
        <f t="shared" si="44"/>
        <v>0.26258391384685514</v>
      </c>
      <c r="BB10">
        <f t="shared" si="45"/>
        <v>3.8083064013708872</v>
      </c>
      <c r="BC10">
        <f t="shared" si="6"/>
        <v>1</v>
      </c>
      <c r="BD10">
        <f t="shared" si="7"/>
        <v>0</v>
      </c>
      <c r="BE10">
        <f t="shared" si="8"/>
        <v>1</v>
      </c>
      <c r="BF10">
        <f t="shared" si="9"/>
        <v>0</v>
      </c>
      <c r="BG10">
        <f t="shared" si="10"/>
        <v>0</v>
      </c>
      <c r="BH10">
        <f t="shared" si="11"/>
        <v>1</v>
      </c>
      <c r="BI10">
        <f t="shared" si="12"/>
        <v>0</v>
      </c>
      <c r="BJ10">
        <f t="shared" si="13"/>
        <v>1</v>
      </c>
      <c r="BK10">
        <f t="shared" si="14"/>
        <v>0</v>
      </c>
      <c r="BL10">
        <f t="shared" si="15"/>
        <v>0</v>
      </c>
      <c r="BM10">
        <f t="shared" si="16"/>
        <v>0</v>
      </c>
      <c r="BN10">
        <f t="shared" si="17"/>
        <v>0</v>
      </c>
      <c r="BO10">
        <f t="shared" si="18"/>
        <v>0</v>
      </c>
      <c r="BP10">
        <f t="shared" si="19"/>
        <v>0</v>
      </c>
      <c r="BQ10">
        <f t="shared" si="20"/>
        <v>0</v>
      </c>
      <c r="BR10">
        <f t="shared" si="21"/>
        <v>0</v>
      </c>
      <c r="BS10">
        <f t="shared" si="22"/>
        <v>0</v>
      </c>
      <c r="BT10">
        <f t="shared" si="23"/>
        <v>0</v>
      </c>
      <c r="BU10">
        <f t="shared" si="24"/>
        <v>0</v>
      </c>
      <c r="BV10">
        <f t="shared" si="25"/>
        <v>0</v>
      </c>
      <c r="BW10">
        <f t="shared" si="26"/>
        <v>0</v>
      </c>
      <c r="BX10">
        <f t="shared" si="27"/>
        <v>0</v>
      </c>
      <c r="BY10">
        <f t="shared" si="28"/>
        <v>0</v>
      </c>
      <c r="BZ10">
        <f t="shared" si="29"/>
        <v>0</v>
      </c>
      <c r="CA10">
        <f t="shared" si="30"/>
        <v>1</v>
      </c>
      <c r="CB10">
        <f t="shared" si="31"/>
        <v>0</v>
      </c>
      <c r="CC10">
        <f t="shared" si="32"/>
        <v>0</v>
      </c>
      <c r="CD10">
        <f t="shared" si="33"/>
        <v>0</v>
      </c>
      <c r="CE10">
        <f t="shared" si="34"/>
        <v>0</v>
      </c>
      <c r="CF10">
        <f t="shared" si="35"/>
        <v>0</v>
      </c>
      <c r="CG10">
        <f t="shared" si="36"/>
        <v>0</v>
      </c>
      <c r="CH10">
        <f t="shared" si="37"/>
        <v>1</v>
      </c>
      <c r="CI10">
        <f t="shared" si="38"/>
        <v>4</v>
      </c>
      <c r="CJ10">
        <f t="shared" si="39"/>
        <v>0</v>
      </c>
      <c r="CK10">
        <f t="shared" si="40"/>
        <v>0</v>
      </c>
      <c r="CL10">
        <f t="shared" si="41"/>
        <v>5</v>
      </c>
    </row>
    <row r="11" spans="1:90">
      <c r="A11">
        <v>49</v>
      </c>
      <c r="B11">
        <v>1</v>
      </c>
      <c r="C11">
        <v>0</v>
      </c>
      <c r="D11">
        <v>0</v>
      </c>
      <c r="E11">
        <v>1</v>
      </c>
      <c r="F11" s="1">
        <v>2</v>
      </c>
      <c r="G11">
        <v>6</v>
      </c>
      <c r="H11">
        <v>1</v>
      </c>
      <c r="I11">
        <v>1.4685959999999998</v>
      </c>
      <c r="J11">
        <v>0</v>
      </c>
      <c r="K11">
        <v>1.3679360000000003</v>
      </c>
      <c r="L11">
        <v>0</v>
      </c>
      <c r="M11">
        <v>0</v>
      </c>
      <c r="N11">
        <v>5.4221617999999996</v>
      </c>
      <c r="O11">
        <v>0</v>
      </c>
      <c r="P11">
        <v>1.8307163999999998</v>
      </c>
      <c r="Q11">
        <v>0</v>
      </c>
      <c r="R11">
        <v>0</v>
      </c>
      <c r="S11">
        <v>0</v>
      </c>
      <c r="T11" s="1">
        <v>4.7300000000000002E-2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s="1">
        <v>7.6999999999999996E-4</v>
      </c>
      <c r="AE11">
        <v>0</v>
      </c>
      <c r="AF11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0.3291</v>
      </c>
      <c r="AL11" s="2">
        <v>0</v>
      </c>
      <c r="AM11" s="2">
        <v>0</v>
      </c>
      <c r="AN11">
        <v>1</v>
      </c>
      <c r="AO11">
        <v>4</v>
      </c>
      <c r="AP11">
        <v>1</v>
      </c>
      <c r="AQ11">
        <v>1</v>
      </c>
      <c r="AR11">
        <v>7</v>
      </c>
      <c r="AS11">
        <f t="shared" si="0"/>
        <v>10.0894102</v>
      </c>
      <c r="AT11">
        <f t="shared" si="1"/>
        <v>4.7300000000000002E-2</v>
      </c>
      <c r="AU11">
        <f t="shared" si="2"/>
        <v>7.6999999999999996E-4</v>
      </c>
      <c r="AV11">
        <f t="shared" si="3"/>
        <v>10.466580199999999</v>
      </c>
      <c r="AW11">
        <f t="shared" si="42"/>
        <v>0.33674271366514491</v>
      </c>
      <c r="AX11">
        <f t="shared" si="43"/>
        <v>2.9696262440718892</v>
      </c>
      <c r="AY11">
        <f t="shared" si="4"/>
        <v>6</v>
      </c>
      <c r="AZ11">
        <f t="shared" si="5"/>
        <v>10.137480199999999</v>
      </c>
      <c r="BA11">
        <f t="shared" si="44"/>
        <v>0.35790753389350027</v>
      </c>
      <c r="BB11">
        <f t="shared" si="45"/>
        <v>2.7940177428552317</v>
      </c>
      <c r="BC11">
        <f t="shared" si="6"/>
        <v>1</v>
      </c>
      <c r="BD11">
        <f t="shared" si="7"/>
        <v>0</v>
      </c>
      <c r="BE11">
        <f t="shared" si="8"/>
        <v>1</v>
      </c>
      <c r="BF11">
        <f t="shared" si="9"/>
        <v>0</v>
      </c>
      <c r="BG11">
        <f t="shared" si="10"/>
        <v>0</v>
      </c>
      <c r="BH11">
        <f t="shared" si="11"/>
        <v>1</v>
      </c>
      <c r="BI11">
        <f t="shared" si="12"/>
        <v>0</v>
      </c>
      <c r="BJ11">
        <f t="shared" si="13"/>
        <v>1</v>
      </c>
      <c r="BK11">
        <f t="shared" si="14"/>
        <v>0</v>
      </c>
      <c r="BL11">
        <f t="shared" si="15"/>
        <v>0</v>
      </c>
      <c r="BM11">
        <f t="shared" si="16"/>
        <v>0</v>
      </c>
      <c r="BN11">
        <f t="shared" si="17"/>
        <v>1</v>
      </c>
      <c r="BO11">
        <f t="shared" si="18"/>
        <v>0</v>
      </c>
      <c r="BP11">
        <f t="shared" si="19"/>
        <v>0</v>
      </c>
      <c r="BQ11">
        <f t="shared" si="20"/>
        <v>0</v>
      </c>
      <c r="BR11">
        <f t="shared" si="21"/>
        <v>0</v>
      </c>
      <c r="BS11">
        <f t="shared" si="22"/>
        <v>0</v>
      </c>
      <c r="BT11">
        <f t="shared" si="23"/>
        <v>0</v>
      </c>
      <c r="BU11">
        <f t="shared" si="24"/>
        <v>0</v>
      </c>
      <c r="BV11">
        <f t="shared" si="25"/>
        <v>0</v>
      </c>
      <c r="BW11">
        <f t="shared" si="26"/>
        <v>0</v>
      </c>
      <c r="BX11">
        <f t="shared" si="27"/>
        <v>1</v>
      </c>
      <c r="BY11">
        <f t="shared" si="28"/>
        <v>0</v>
      </c>
      <c r="BZ11">
        <f t="shared" si="29"/>
        <v>0</v>
      </c>
      <c r="CA11">
        <f t="shared" si="30"/>
        <v>0</v>
      </c>
      <c r="CB11">
        <f t="shared" si="31"/>
        <v>0</v>
      </c>
      <c r="CC11">
        <f t="shared" si="32"/>
        <v>0</v>
      </c>
      <c r="CD11">
        <f t="shared" si="33"/>
        <v>0</v>
      </c>
      <c r="CE11">
        <f t="shared" si="34"/>
        <v>1</v>
      </c>
      <c r="CF11">
        <f t="shared" si="35"/>
        <v>0</v>
      </c>
      <c r="CG11">
        <f t="shared" si="36"/>
        <v>0</v>
      </c>
      <c r="CH11">
        <f t="shared" si="37"/>
        <v>1</v>
      </c>
      <c r="CI11">
        <f t="shared" si="38"/>
        <v>4</v>
      </c>
      <c r="CJ11">
        <f t="shared" si="39"/>
        <v>1</v>
      </c>
      <c r="CK11">
        <f t="shared" si="40"/>
        <v>1</v>
      </c>
      <c r="CL11">
        <f t="shared" si="41"/>
        <v>7</v>
      </c>
    </row>
    <row r="12" spans="1:90">
      <c r="A12">
        <v>71</v>
      </c>
      <c r="B12">
        <v>1</v>
      </c>
      <c r="C12">
        <v>0</v>
      </c>
      <c r="D12">
        <v>0</v>
      </c>
      <c r="E12">
        <v>0</v>
      </c>
      <c r="F12" s="1">
        <v>2</v>
      </c>
      <c r="G12">
        <v>6</v>
      </c>
      <c r="H12">
        <v>1</v>
      </c>
      <c r="I12">
        <v>0.41503800000000002</v>
      </c>
      <c r="J12">
        <v>0</v>
      </c>
      <c r="K12">
        <v>1.0045780000000002</v>
      </c>
      <c r="L12">
        <v>0</v>
      </c>
      <c r="M12">
        <v>0</v>
      </c>
      <c r="N12">
        <v>0.80109699999999995</v>
      </c>
      <c r="O12">
        <v>0</v>
      </c>
      <c r="P12">
        <v>2.6254459999999997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2">
        <v>0</v>
      </c>
      <c r="AH12" s="2">
        <v>2.5000000000000001E-3</v>
      </c>
      <c r="AI12" s="2">
        <v>0</v>
      </c>
      <c r="AJ12" s="2">
        <v>2.6224999999999998E-2</v>
      </c>
      <c r="AK12" s="2">
        <v>0</v>
      </c>
      <c r="AL12" s="2">
        <v>0</v>
      </c>
      <c r="AM12" s="2">
        <v>0</v>
      </c>
      <c r="AN12">
        <v>2</v>
      </c>
      <c r="AO12">
        <v>4</v>
      </c>
      <c r="AP12">
        <v>0</v>
      </c>
      <c r="AQ12">
        <v>0</v>
      </c>
      <c r="AR12">
        <v>6</v>
      </c>
      <c r="AS12">
        <f t="shared" si="0"/>
        <v>4.8461590000000001</v>
      </c>
      <c r="AT12">
        <f t="shared" si="1"/>
        <v>0</v>
      </c>
      <c r="AU12">
        <f t="shared" si="2"/>
        <v>0</v>
      </c>
      <c r="AV12">
        <f t="shared" si="3"/>
        <v>4.8748840000000007</v>
      </c>
      <c r="AW12">
        <f t="shared" si="42"/>
        <v>0.36680143905198725</v>
      </c>
      <c r="AX12">
        <f t="shared" si="43"/>
        <v>2.7262706563653056</v>
      </c>
      <c r="AY12">
        <f t="shared" si="4"/>
        <v>4</v>
      </c>
      <c r="AZ12">
        <f t="shared" si="5"/>
        <v>4.8461590000000001</v>
      </c>
      <c r="BA12">
        <f t="shared" si="44"/>
        <v>0.37113311479106464</v>
      </c>
      <c r="BB12">
        <f t="shared" si="45"/>
        <v>2.6944510207960453</v>
      </c>
      <c r="BC12">
        <f t="shared" si="6"/>
        <v>1</v>
      </c>
      <c r="BD12">
        <f t="shared" si="7"/>
        <v>0</v>
      </c>
      <c r="BE12">
        <f t="shared" si="8"/>
        <v>1</v>
      </c>
      <c r="BF12">
        <f t="shared" si="9"/>
        <v>0</v>
      </c>
      <c r="BG12">
        <f t="shared" si="10"/>
        <v>0</v>
      </c>
      <c r="BH12">
        <f t="shared" si="11"/>
        <v>1</v>
      </c>
      <c r="BI12">
        <f t="shared" si="12"/>
        <v>0</v>
      </c>
      <c r="BJ12">
        <f t="shared" si="13"/>
        <v>1</v>
      </c>
      <c r="BK12">
        <f t="shared" si="14"/>
        <v>0</v>
      </c>
      <c r="BL12">
        <f t="shared" si="15"/>
        <v>0</v>
      </c>
      <c r="BM12">
        <f t="shared" si="16"/>
        <v>0</v>
      </c>
      <c r="BN12">
        <f t="shared" si="17"/>
        <v>0</v>
      </c>
      <c r="BO12">
        <f t="shared" si="18"/>
        <v>0</v>
      </c>
      <c r="BP12">
        <f t="shared" si="19"/>
        <v>0</v>
      </c>
      <c r="BQ12">
        <f t="shared" si="20"/>
        <v>0</v>
      </c>
      <c r="BR12">
        <f t="shared" si="21"/>
        <v>0</v>
      </c>
      <c r="BS12">
        <f t="shared" si="22"/>
        <v>0</v>
      </c>
      <c r="BT12">
        <f t="shared" si="23"/>
        <v>0</v>
      </c>
      <c r="BU12">
        <f t="shared" si="24"/>
        <v>0</v>
      </c>
      <c r="BV12">
        <f t="shared" si="25"/>
        <v>0</v>
      </c>
      <c r="BW12">
        <f t="shared" si="26"/>
        <v>0</v>
      </c>
      <c r="BX12">
        <f t="shared" si="27"/>
        <v>0</v>
      </c>
      <c r="BY12">
        <f t="shared" si="28"/>
        <v>0</v>
      </c>
      <c r="BZ12">
        <f t="shared" si="29"/>
        <v>0</v>
      </c>
      <c r="CA12">
        <f t="shared" si="30"/>
        <v>0</v>
      </c>
      <c r="CB12">
        <f t="shared" si="31"/>
        <v>1</v>
      </c>
      <c r="CC12">
        <f t="shared" si="32"/>
        <v>0</v>
      </c>
      <c r="CD12">
        <f t="shared" si="33"/>
        <v>1</v>
      </c>
      <c r="CE12">
        <f t="shared" si="34"/>
        <v>0</v>
      </c>
      <c r="CF12">
        <f t="shared" si="35"/>
        <v>0</v>
      </c>
      <c r="CG12">
        <f t="shared" si="36"/>
        <v>0</v>
      </c>
      <c r="CH12">
        <f t="shared" si="37"/>
        <v>2</v>
      </c>
      <c r="CI12">
        <f t="shared" si="38"/>
        <v>4</v>
      </c>
      <c r="CJ12">
        <f t="shared" si="39"/>
        <v>0</v>
      </c>
      <c r="CK12">
        <f t="shared" si="40"/>
        <v>0</v>
      </c>
      <c r="CL12">
        <f t="shared" si="41"/>
        <v>6</v>
      </c>
    </row>
    <row r="13" spans="1:90">
      <c r="A13">
        <v>108</v>
      </c>
      <c r="B13">
        <v>1</v>
      </c>
      <c r="C13">
        <v>0</v>
      </c>
      <c r="D13">
        <v>0</v>
      </c>
      <c r="E13">
        <v>1</v>
      </c>
      <c r="F13" s="1">
        <v>2</v>
      </c>
      <c r="G13">
        <v>6</v>
      </c>
      <c r="H13">
        <v>1</v>
      </c>
      <c r="I13">
        <v>0.62255699999999992</v>
      </c>
      <c r="J13">
        <v>0</v>
      </c>
      <c r="K13">
        <v>0.51297599999999999</v>
      </c>
      <c r="L13">
        <v>0</v>
      </c>
      <c r="M13">
        <v>0</v>
      </c>
      <c r="N13">
        <v>0.61557980000000001</v>
      </c>
      <c r="O13">
        <v>0</v>
      </c>
      <c r="P13">
        <v>0.70957999999999988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1">
        <v>4.5677000000000002E-2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2">
        <v>0</v>
      </c>
      <c r="AH13" s="2">
        <v>2.5000000000000001E-3</v>
      </c>
      <c r="AI13" s="2">
        <v>0</v>
      </c>
      <c r="AJ13" s="2">
        <v>0</v>
      </c>
      <c r="AK13" s="2">
        <v>0.25669800000000004</v>
      </c>
      <c r="AL13" s="2">
        <v>0</v>
      </c>
      <c r="AM13" s="2">
        <v>0</v>
      </c>
      <c r="AN13">
        <v>2</v>
      </c>
      <c r="AO13">
        <v>4</v>
      </c>
      <c r="AP13">
        <v>1</v>
      </c>
      <c r="AQ13">
        <v>0</v>
      </c>
      <c r="AR13">
        <v>7</v>
      </c>
      <c r="AS13">
        <f t="shared" si="0"/>
        <v>2.4606927999999999</v>
      </c>
      <c r="AT13">
        <f t="shared" si="1"/>
        <v>4.5677000000000002E-2</v>
      </c>
      <c r="AU13">
        <f t="shared" si="2"/>
        <v>0</v>
      </c>
      <c r="AV13">
        <f t="shared" si="3"/>
        <v>2.7655677999999999</v>
      </c>
      <c r="AW13">
        <f t="shared" si="42"/>
        <v>0.20934543647570841</v>
      </c>
      <c r="AX13">
        <f t="shared" si="43"/>
        <v>4.776793881131657</v>
      </c>
      <c r="AY13">
        <f t="shared" si="4"/>
        <v>5</v>
      </c>
      <c r="AZ13">
        <f t="shared" si="5"/>
        <v>2.5063697999999999</v>
      </c>
      <c r="BA13">
        <f t="shared" si="44"/>
        <v>0.24439306542257977</v>
      </c>
      <c r="BB13">
        <f t="shared" si="45"/>
        <v>4.0917691272086678</v>
      </c>
      <c r="BC13">
        <f t="shared" si="6"/>
        <v>1</v>
      </c>
      <c r="BD13">
        <f t="shared" si="7"/>
        <v>0</v>
      </c>
      <c r="BE13">
        <f t="shared" si="8"/>
        <v>1</v>
      </c>
      <c r="BF13">
        <f t="shared" si="9"/>
        <v>0</v>
      </c>
      <c r="BG13">
        <f t="shared" si="10"/>
        <v>0</v>
      </c>
      <c r="BH13">
        <f t="shared" si="11"/>
        <v>1</v>
      </c>
      <c r="BI13">
        <f t="shared" si="12"/>
        <v>0</v>
      </c>
      <c r="BJ13">
        <f t="shared" si="13"/>
        <v>1</v>
      </c>
      <c r="BK13">
        <f t="shared" si="14"/>
        <v>0</v>
      </c>
      <c r="BL13">
        <f t="shared" si="15"/>
        <v>0</v>
      </c>
      <c r="BM13">
        <f t="shared" si="16"/>
        <v>0</v>
      </c>
      <c r="BN13">
        <f t="shared" si="17"/>
        <v>0</v>
      </c>
      <c r="BO13">
        <f t="shared" si="18"/>
        <v>0</v>
      </c>
      <c r="BP13">
        <f t="shared" si="19"/>
        <v>0</v>
      </c>
      <c r="BQ13">
        <f t="shared" si="20"/>
        <v>0</v>
      </c>
      <c r="BR13">
        <f t="shared" si="21"/>
        <v>1</v>
      </c>
      <c r="BS13">
        <f t="shared" si="22"/>
        <v>0</v>
      </c>
      <c r="BT13">
        <f t="shared" si="23"/>
        <v>0</v>
      </c>
      <c r="BU13">
        <f t="shared" si="24"/>
        <v>0</v>
      </c>
      <c r="BV13">
        <f t="shared" si="25"/>
        <v>0</v>
      </c>
      <c r="BW13">
        <f t="shared" si="26"/>
        <v>0</v>
      </c>
      <c r="BX13">
        <f t="shared" si="27"/>
        <v>0</v>
      </c>
      <c r="BY13">
        <f t="shared" si="28"/>
        <v>0</v>
      </c>
      <c r="BZ13">
        <f t="shared" si="29"/>
        <v>0</v>
      </c>
      <c r="CA13">
        <f t="shared" si="30"/>
        <v>0</v>
      </c>
      <c r="CB13">
        <f t="shared" si="31"/>
        <v>1</v>
      </c>
      <c r="CC13">
        <f t="shared" si="32"/>
        <v>0</v>
      </c>
      <c r="CD13">
        <f t="shared" si="33"/>
        <v>0</v>
      </c>
      <c r="CE13">
        <f t="shared" si="34"/>
        <v>1</v>
      </c>
      <c r="CF13">
        <f t="shared" si="35"/>
        <v>0</v>
      </c>
      <c r="CG13">
        <f t="shared" si="36"/>
        <v>0</v>
      </c>
      <c r="CH13">
        <f t="shared" si="37"/>
        <v>2</v>
      </c>
      <c r="CI13">
        <f t="shared" si="38"/>
        <v>4</v>
      </c>
      <c r="CJ13">
        <f t="shared" si="39"/>
        <v>1</v>
      </c>
      <c r="CK13">
        <f t="shared" si="40"/>
        <v>0</v>
      </c>
      <c r="CL13">
        <f t="shared" si="41"/>
        <v>7</v>
      </c>
    </row>
    <row r="14" spans="1:90">
      <c r="A14">
        <v>22</v>
      </c>
      <c r="B14">
        <v>1</v>
      </c>
      <c r="C14">
        <v>0</v>
      </c>
      <c r="D14">
        <v>0</v>
      </c>
      <c r="E14">
        <v>0</v>
      </c>
      <c r="F14" s="1">
        <v>3</v>
      </c>
      <c r="G14">
        <v>6</v>
      </c>
      <c r="H14">
        <v>1</v>
      </c>
      <c r="I14">
        <v>5.5870499999999997E-2</v>
      </c>
      <c r="J14">
        <v>0.80229949999999994</v>
      </c>
      <c r="K14">
        <v>0</v>
      </c>
      <c r="L14" s="1">
        <v>0</v>
      </c>
      <c r="M14">
        <v>0</v>
      </c>
      <c r="N14">
        <v>0.44692779999999999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s="1">
        <v>5.04E-2</v>
      </c>
      <c r="Y14">
        <v>0</v>
      </c>
      <c r="Z14">
        <v>0</v>
      </c>
      <c r="AA14">
        <v>0</v>
      </c>
      <c r="AB14">
        <v>0</v>
      </c>
      <c r="AC14">
        <v>0</v>
      </c>
      <c r="AD14" s="1">
        <v>1.1165E-2</v>
      </c>
      <c r="AE14">
        <v>0</v>
      </c>
      <c r="AF14">
        <v>0</v>
      </c>
      <c r="AG14" s="2">
        <v>0</v>
      </c>
      <c r="AH14" s="2">
        <v>0</v>
      </c>
      <c r="AI14" s="2">
        <v>0</v>
      </c>
      <c r="AJ14" s="2">
        <v>0.15734999999999999</v>
      </c>
      <c r="AK14" s="2">
        <v>0</v>
      </c>
      <c r="AL14" s="2">
        <v>4.2570000000000004E-2</v>
      </c>
      <c r="AM14" s="2">
        <v>0</v>
      </c>
      <c r="AN14">
        <v>2</v>
      </c>
      <c r="AO14">
        <v>3</v>
      </c>
      <c r="AP14">
        <v>1</v>
      </c>
      <c r="AQ14">
        <v>1</v>
      </c>
      <c r="AR14">
        <v>7</v>
      </c>
      <c r="AS14">
        <f t="shared" si="0"/>
        <v>1.3050978</v>
      </c>
      <c r="AT14">
        <f t="shared" si="1"/>
        <v>5.04E-2</v>
      </c>
      <c r="AU14">
        <f t="shared" si="2"/>
        <v>1.1165E-2</v>
      </c>
      <c r="AV14">
        <f t="shared" si="3"/>
        <v>1.5665827999999999</v>
      </c>
      <c r="AW14">
        <f t="shared" si="42"/>
        <v>0.35685479786583901</v>
      </c>
      <c r="AX14">
        <f t="shared" si="43"/>
        <v>2.8022602077384819</v>
      </c>
      <c r="AY14">
        <f t="shared" si="4"/>
        <v>5</v>
      </c>
      <c r="AZ14">
        <f t="shared" si="5"/>
        <v>1.3666628000000001</v>
      </c>
      <c r="BA14">
        <f t="shared" si="44"/>
        <v>0.4546686932183211</v>
      </c>
      <c r="BB14">
        <f t="shared" si="45"/>
        <v>2.1994036864988717</v>
      </c>
      <c r="BC14">
        <f t="shared" si="6"/>
        <v>1</v>
      </c>
      <c r="BD14">
        <f t="shared" si="7"/>
        <v>1</v>
      </c>
      <c r="BE14">
        <f t="shared" si="8"/>
        <v>0</v>
      </c>
      <c r="BF14">
        <f t="shared" si="9"/>
        <v>0</v>
      </c>
      <c r="BG14">
        <f t="shared" si="10"/>
        <v>0</v>
      </c>
      <c r="BH14">
        <f t="shared" si="11"/>
        <v>1</v>
      </c>
      <c r="BI14">
        <f t="shared" si="12"/>
        <v>0</v>
      </c>
      <c r="BJ14">
        <f t="shared" si="13"/>
        <v>0</v>
      </c>
      <c r="BK14">
        <f t="shared" si="14"/>
        <v>0</v>
      </c>
      <c r="BL14">
        <f t="shared" si="15"/>
        <v>0</v>
      </c>
      <c r="BM14">
        <f t="shared" si="16"/>
        <v>0</v>
      </c>
      <c r="BN14">
        <f t="shared" si="17"/>
        <v>0</v>
      </c>
      <c r="BO14">
        <f t="shared" si="18"/>
        <v>0</v>
      </c>
      <c r="BP14">
        <f t="shared" si="19"/>
        <v>0</v>
      </c>
      <c r="BQ14">
        <f t="shared" si="20"/>
        <v>0</v>
      </c>
      <c r="BR14">
        <f t="shared" si="21"/>
        <v>1</v>
      </c>
      <c r="BS14">
        <f t="shared" si="22"/>
        <v>0</v>
      </c>
      <c r="BT14">
        <f t="shared" si="23"/>
        <v>0</v>
      </c>
      <c r="BU14">
        <f t="shared" si="24"/>
        <v>0</v>
      </c>
      <c r="BV14">
        <f t="shared" si="25"/>
        <v>0</v>
      </c>
      <c r="BW14">
        <f t="shared" si="26"/>
        <v>0</v>
      </c>
      <c r="BX14">
        <f t="shared" si="27"/>
        <v>1</v>
      </c>
      <c r="BY14">
        <f t="shared" si="28"/>
        <v>0</v>
      </c>
      <c r="BZ14">
        <f t="shared" si="29"/>
        <v>0</v>
      </c>
      <c r="CA14">
        <f t="shared" si="30"/>
        <v>0</v>
      </c>
      <c r="CB14">
        <f t="shared" si="31"/>
        <v>0</v>
      </c>
      <c r="CC14">
        <f t="shared" si="32"/>
        <v>0</v>
      </c>
      <c r="CD14">
        <f t="shared" si="33"/>
        <v>1</v>
      </c>
      <c r="CE14">
        <f t="shared" si="34"/>
        <v>0</v>
      </c>
      <c r="CF14">
        <f t="shared" si="35"/>
        <v>1</v>
      </c>
      <c r="CG14">
        <f t="shared" si="36"/>
        <v>0</v>
      </c>
      <c r="CH14">
        <f t="shared" si="37"/>
        <v>2</v>
      </c>
      <c r="CI14">
        <f t="shared" si="38"/>
        <v>3</v>
      </c>
      <c r="CJ14">
        <f t="shared" si="39"/>
        <v>1</v>
      </c>
      <c r="CK14">
        <f t="shared" si="40"/>
        <v>1</v>
      </c>
      <c r="CL14">
        <f t="shared" si="41"/>
        <v>7</v>
      </c>
    </row>
    <row r="15" spans="1:90">
      <c r="A15">
        <v>31</v>
      </c>
      <c r="B15">
        <v>1</v>
      </c>
      <c r="C15">
        <v>0</v>
      </c>
      <c r="D15">
        <v>0</v>
      </c>
      <c r="E15">
        <v>1</v>
      </c>
      <c r="F15" s="1">
        <v>3</v>
      </c>
      <c r="G15">
        <v>6</v>
      </c>
      <c r="H15">
        <v>1</v>
      </c>
      <c r="I15">
        <v>0.59861249999999999</v>
      </c>
      <c r="J15">
        <v>1.1066199999999999</v>
      </c>
      <c r="K15">
        <v>0</v>
      </c>
      <c r="L15" s="1">
        <v>0</v>
      </c>
      <c r="M15">
        <v>0</v>
      </c>
      <c r="N15">
        <v>1.2648900000000001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1">
        <v>1.078E-2</v>
      </c>
      <c r="AE15">
        <v>0</v>
      </c>
      <c r="AF15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0.14480400000000002</v>
      </c>
      <c r="AL15" s="2">
        <v>0</v>
      </c>
      <c r="AM15" s="2">
        <v>0</v>
      </c>
      <c r="AN15">
        <v>1</v>
      </c>
      <c r="AO15">
        <v>3</v>
      </c>
      <c r="AP15">
        <v>0</v>
      </c>
      <c r="AQ15">
        <v>1</v>
      </c>
      <c r="AR15">
        <v>5</v>
      </c>
      <c r="AS15">
        <f t="shared" si="0"/>
        <v>2.9701225</v>
      </c>
      <c r="AT15">
        <f t="shared" si="1"/>
        <v>0</v>
      </c>
      <c r="AU15">
        <f t="shared" si="2"/>
        <v>1.078E-2</v>
      </c>
      <c r="AV15">
        <f t="shared" si="3"/>
        <v>3.1257065000000002</v>
      </c>
      <c r="AW15">
        <f t="shared" si="42"/>
        <v>0.32793883134791196</v>
      </c>
      <c r="AX15">
        <f t="shared" si="43"/>
        <v>3.0493491602984184</v>
      </c>
      <c r="AY15">
        <f t="shared" si="4"/>
        <v>4</v>
      </c>
      <c r="AZ15">
        <f t="shared" si="5"/>
        <v>2.9809025</v>
      </c>
      <c r="BA15">
        <f t="shared" si="44"/>
        <v>0.35821365961390117</v>
      </c>
      <c r="BB15">
        <f t="shared" si="45"/>
        <v>2.7916300039419073</v>
      </c>
      <c r="BC15">
        <f t="shared" si="6"/>
        <v>1</v>
      </c>
      <c r="BD15">
        <f t="shared" si="7"/>
        <v>1</v>
      </c>
      <c r="BE15">
        <f t="shared" si="8"/>
        <v>0</v>
      </c>
      <c r="BF15">
        <f t="shared" si="9"/>
        <v>0</v>
      </c>
      <c r="BG15">
        <f t="shared" si="10"/>
        <v>0</v>
      </c>
      <c r="BH15">
        <f t="shared" si="11"/>
        <v>1</v>
      </c>
      <c r="BI15">
        <f t="shared" si="12"/>
        <v>0</v>
      </c>
      <c r="BJ15">
        <f t="shared" si="13"/>
        <v>0</v>
      </c>
      <c r="BK15">
        <f t="shared" si="14"/>
        <v>0</v>
      </c>
      <c r="BL15">
        <f t="shared" si="15"/>
        <v>0</v>
      </c>
      <c r="BM15">
        <f t="shared" si="16"/>
        <v>0</v>
      </c>
      <c r="BN15">
        <f t="shared" si="17"/>
        <v>0</v>
      </c>
      <c r="BO15">
        <f t="shared" si="18"/>
        <v>0</v>
      </c>
      <c r="BP15">
        <f t="shared" si="19"/>
        <v>0</v>
      </c>
      <c r="BQ15">
        <f t="shared" si="20"/>
        <v>0</v>
      </c>
      <c r="BR15">
        <f t="shared" si="21"/>
        <v>0</v>
      </c>
      <c r="BS15">
        <f t="shared" si="22"/>
        <v>0</v>
      </c>
      <c r="BT15">
        <f t="shared" si="23"/>
        <v>0</v>
      </c>
      <c r="BU15">
        <f t="shared" si="24"/>
        <v>0</v>
      </c>
      <c r="BV15">
        <f t="shared" si="25"/>
        <v>0</v>
      </c>
      <c r="BW15">
        <f t="shared" si="26"/>
        <v>0</v>
      </c>
      <c r="BX15">
        <f t="shared" si="27"/>
        <v>1</v>
      </c>
      <c r="BY15">
        <f t="shared" si="28"/>
        <v>0</v>
      </c>
      <c r="BZ15">
        <f t="shared" si="29"/>
        <v>0</v>
      </c>
      <c r="CA15">
        <f t="shared" si="30"/>
        <v>0</v>
      </c>
      <c r="CB15">
        <f t="shared" si="31"/>
        <v>0</v>
      </c>
      <c r="CC15">
        <f t="shared" si="32"/>
        <v>0</v>
      </c>
      <c r="CD15">
        <f t="shared" si="33"/>
        <v>0</v>
      </c>
      <c r="CE15">
        <f t="shared" si="34"/>
        <v>1</v>
      </c>
      <c r="CF15">
        <f t="shared" si="35"/>
        <v>0</v>
      </c>
      <c r="CG15">
        <f t="shared" si="36"/>
        <v>0</v>
      </c>
      <c r="CH15">
        <f t="shared" si="37"/>
        <v>1</v>
      </c>
      <c r="CI15">
        <f t="shared" si="38"/>
        <v>3</v>
      </c>
      <c r="CJ15">
        <f t="shared" si="39"/>
        <v>0</v>
      </c>
      <c r="CK15">
        <f t="shared" si="40"/>
        <v>1</v>
      </c>
      <c r="CL15">
        <f t="shared" si="41"/>
        <v>5</v>
      </c>
    </row>
    <row r="16" spans="1:90">
      <c r="A16">
        <v>89</v>
      </c>
      <c r="B16">
        <v>1</v>
      </c>
      <c r="C16">
        <v>0</v>
      </c>
      <c r="D16">
        <v>0</v>
      </c>
      <c r="E16">
        <v>0</v>
      </c>
      <c r="F16" s="1">
        <v>3</v>
      </c>
      <c r="G16">
        <v>6</v>
      </c>
      <c r="H16">
        <v>1</v>
      </c>
      <c r="I16">
        <v>1.5404294999999999</v>
      </c>
      <c r="J16">
        <v>0.88529599999999997</v>
      </c>
      <c r="K16">
        <v>0</v>
      </c>
      <c r="L16" s="1">
        <v>0</v>
      </c>
      <c r="M16">
        <v>0</v>
      </c>
      <c r="N16">
        <v>3.1284946000000002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1">
        <v>1.9430000000000001E-4</v>
      </c>
      <c r="AA16">
        <v>0</v>
      </c>
      <c r="AB16">
        <v>0</v>
      </c>
      <c r="AC16">
        <v>0</v>
      </c>
      <c r="AD16" s="1">
        <v>0</v>
      </c>
      <c r="AE16">
        <v>0</v>
      </c>
      <c r="AF16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>
        <v>0</v>
      </c>
      <c r="AO16">
        <v>3</v>
      </c>
      <c r="AP16">
        <v>0</v>
      </c>
      <c r="AQ16">
        <v>1</v>
      </c>
      <c r="AR16">
        <v>4</v>
      </c>
      <c r="AS16">
        <f t="shared" si="0"/>
        <v>5.5542201000000002</v>
      </c>
      <c r="AT16">
        <f t="shared" si="1"/>
        <v>0</v>
      </c>
      <c r="AU16">
        <f t="shared" si="2"/>
        <v>1.9430000000000001E-4</v>
      </c>
      <c r="AV16">
        <f t="shared" si="3"/>
        <v>5.5544144000000006</v>
      </c>
      <c r="AW16">
        <f t="shared" si="42"/>
        <v>0.41956282330543693</v>
      </c>
      <c r="AX16">
        <f t="shared" si="43"/>
        <v>2.3834332892550192</v>
      </c>
      <c r="AY16">
        <f t="shared" si="4"/>
        <v>4</v>
      </c>
      <c r="AZ16">
        <f t="shared" si="5"/>
        <v>5.5544144000000006</v>
      </c>
      <c r="BA16">
        <f t="shared" si="44"/>
        <v>0.41956282330543698</v>
      </c>
      <c r="BB16">
        <f t="shared" si="45"/>
        <v>2.3834332892550192</v>
      </c>
      <c r="BC16">
        <f t="shared" si="6"/>
        <v>1</v>
      </c>
      <c r="BD16">
        <f t="shared" si="7"/>
        <v>1</v>
      </c>
      <c r="BE16">
        <f t="shared" si="8"/>
        <v>0</v>
      </c>
      <c r="BF16">
        <f t="shared" si="9"/>
        <v>0</v>
      </c>
      <c r="BG16">
        <f t="shared" si="10"/>
        <v>0</v>
      </c>
      <c r="BH16">
        <f t="shared" si="11"/>
        <v>1</v>
      </c>
      <c r="BI16">
        <f t="shared" si="12"/>
        <v>0</v>
      </c>
      <c r="BJ16">
        <f t="shared" si="13"/>
        <v>0</v>
      </c>
      <c r="BK16">
        <f t="shared" si="14"/>
        <v>0</v>
      </c>
      <c r="BL16">
        <f t="shared" si="15"/>
        <v>0</v>
      </c>
      <c r="BM16">
        <f t="shared" si="16"/>
        <v>0</v>
      </c>
      <c r="BN16">
        <f t="shared" si="17"/>
        <v>0</v>
      </c>
      <c r="BO16">
        <f t="shared" si="18"/>
        <v>0</v>
      </c>
      <c r="BP16">
        <f t="shared" si="19"/>
        <v>0</v>
      </c>
      <c r="BQ16">
        <f t="shared" si="20"/>
        <v>0</v>
      </c>
      <c r="BR16">
        <f t="shared" si="21"/>
        <v>0</v>
      </c>
      <c r="BS16">
        <f t="shared" si="22"/>
        <v>0</v>
      </c>
      <c r="BT16">
        <f t="shared" si="23"/>
        <v>1</v>
      </c>
      <c r="BU16">
        <f t="shared" si="24"/>
        <v>0</v>
      </c>
      <c r="BV16">
        <f t="shared" si="25"/>
        <v>0</v>
      </c>
      <c r="BW16">
        <f t="shared" si="26"/>
        <v>0</v>
      </c>
      <c r="BX16">
        <f t="shared" si="27"/>
        <v>0</v>
      </c>
      <c r="BY16">
        <f t="shared" si="28"/>
        <v>0</v>
      </c>
      <c r="BZ16">
        <f t="shared" si="29"/>
        <v>0</v>
      </c>
      <c r="CA16">
        <f t="shared" si="30"/>
        <v>0</v>
      </c>
      <c r="CB16">
        <f t="shared" si="31"/>
        <v>0</v>
      </c>
      <c r="CC16">
        <f t="shared" si="32"/>
        <v>0</v>
      </c>
      <c r="CD16">
        <f t="shared" si="33"/>
        <v>0</v>
      </c>
      <c r="CE16">
        <f t="shared" si="34"/>
        <v>0</v>
      </c>
      <c r="CF16">
        <f t="shared" si="35"/>
        <v>0</v>
      </c>
      <c r="CG16">
        <f t="shared" si="36"/>
        <v>0</v>
      </c>
      <c r="CH16">
        <f t="shared" si="37"/>
        <v>0</v>
      </c>
      <c r="CI16">
        <f t="shared" si="38"/>
        <v>3</v>
      </c>
      <c r="CJ16">
        <f t="shared" si="39"/>
        <v>0</v>
      </c>
      <c r="CK16">
        <f t="shared" si="40"/>
        <v>1</v>
      </c>
      <c r="CL16">
        <f t="shared" si="41"/>
        <v>4</v>
      </c>
    </row>
    <row r="17" spans="1:90">
      <c r="A17">
        <v>94</v>
      </c>
      <c r="B17">
        <v>1</v>
      </c>
      <c r="C17">
        <v>0</v>
      </c>
      <c r="D17">
        <v>0</v>
      </c>
      <c r="E17">
        <v>1</v>
      </c>
      <c r="F17" s="1">
        <v>3</v>
      </c>
      <c r="G17">
        <v>6</v>
      </c>
      <c r="H17">
        <v>1</v>
      </c>
      <c r="I17">
        <v>1.0615395000000001</v>
      </c>
      <c r="J17">
        <v>1.6875954999999998</v>
      </c>
      <c r="K17">
        <v>0</v>
      </c>
      <c r="L17" s="1">
        <v>0</v>
      </c>
      <c r="M17">
        <v>0</v>
      </c>
      <c r="N17">
        <v>0.78423180000000003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s="1">
        <v>3.2910000000000002E-2</v>
      </c>
      <c r="W17">
        <v>0</v>
      </c>
      <c r="X17" s="1">
        <v>0.19107099999999999</v>
      </c>
      <c r="Y17">
        <v>0</v>
      </c>
      <c r="Z17">
        <v>0</v>
      </c>
      <c r="AA17">
        <v>0</v>
      </c>
      <c r="AB17">
        <v>0</v>
      </c>
      <c r="AC17">
        <v>0</v>
      </c>
      <c r="AD17" s="1">
        <v>2.31E-3</v>
      </c>
      <c r="AE17">
        <v>0</v>
      </c>
      <c r="AF17">
        <v>0</v>
      </c>
      <c r="AG17" s="2">
        <v>0</v>
      </c>
      <c r="AH17" s="2">
        <v>0</v>
      </c>
      <c r="AI17" s="2">
        <v>0</v>
      </c>
      <c r="AJ17" s="2">
        <v>0.10489999999999999</v>
      </c>
      <c r="AK17" s="2">
        <v>0</v>
      </c>
      <c r="AL17" s="2">
        <v>0</v>
      </c>
      <c r="AM17" s="2">
        <v>0</v>
      </c>
      <c r="AN17">
        <v>1</v>
      </c>
      <c r="AO17">
        <v>3</v>
      </c>
      <c r="AP17">
        <v>2</v>
      </c>
      <c r="AQ17">
        <v>1</v>
      </c>
      <c r="AR17">
        <v>7</v>
      </c>
      <c r="AS17">
        <f t="shared" si="0"/>
        <v>3.5333668</v>
      </c>
      <c r="AT17">
        <f t="shared" si="1"/>
        <v>0.22398099999999999</v>
      </c>
      <c r="AU17">
        <f t="shared" si="2"/>
        <v>2.31E-3</v>
      </c>
      <c r="AV17">
        <f t="shared" si="3"/>
        <v>3.8645578</v>
      </c>
      <c r="AW17">
        <f t="shared" si="42"/>
        <v>0.31058082922003305</v>
      </c>
      <c r="AX17">
        <f t="shared" si="43"/>
        <v>3.2197737462138827</v>
      </c>
      <c r="AY17">
        <f t="shared" si="4"/>
        <v>6</v>
      </c>
      <c r="AZ17">
        <f t="shared" si="5"/>
        <v>3.7596578000000003</v>
      </c>
      <c r="BA17">
        <f t="shared" si="44"/>
        <v>0.3273754484751924</v>
      </c>
      <c r="BB17">
        <f t="shared" si="45"/>
        <v>3.0545968082141544</v>
      </c>
      <c r="BC17">
        <f t="shared" si="6"/>
        <v>1</v>
      </c>
      <c r="BD17">
        <f t="shared" si="7"/>
        <v>1</v>
      </c>
      <c r="BE17">
        <f t="shared" si="8"/>
        <v>0</v>
      </c>
      <c r="BF17">
        <f t="shared" si="9"/>
        <v>0</v>
      </c>
      <c r="BG17">
        <f t="shared" si="10"/>
        <v>0</v>
      </c>
      <c r="BH17">
        <f t="shared" si="11"/>
        <v>1</v>
      </c>
      <c r="BI17">
        <f t="shared" si="12"/>
        <v>0</v>
      </c>
      <c r="BJ17">
        <f t="shared" si="13"/>
        <v>0</v>
      </c>
      <c r="BK17">
        <f t="shared" si="14"/>
        <v>0</v>
      </c>
      <c r="BL17">
        <f t="shared" si="15"/>
        <v>0</v>
      </c>
      <c r="BM17">
        <f t="shared" si="16"/>
        <v>0</v>
      </c>
      <c r="BN17">
        <f t="shared" si="17"/>
        <v>0</v>
      </c>
      <c r="BO17">
        <f t="shared" si="18"/>
        <v>0</v>
      </c>
      <c r="BP17">
        <f t="shared" si="19"/>
        <v>1</v>
      </c>
      <c r="BQ17">
        <f t="shared" si="20"/>
        <v>0</v>
      </c>
      <c r="BR17">
        <f t="shared" si="21"/>
        <v>1</v>
      </c>
      <c r="BS17">
        <f t="shared" si="22"/>
        <v>0</v>
      </c>
      <c r="BT17">
        <f t="shared" si="23"/>
        <v>0</v>
      </c>
      <c r="BU17">
        <f t="shared" si="24"/>
        <v>0</v>
      </c>
      <c r="BV17">
        <f t="shared" si="25"/>
        <v>0</v>
      </c>
      <c r="BW17">
        <f t="shared" si="26"/>
        <v>0</v>
      </c>
      <c r="BX17">
        <f t="shared" si="27"/>
        <v>1</v>
      </c>
      <c r="BY17">
        <f t="shared" si="28"/>
        <v>0</v>
      </c>
      <c r="BZ17">
        <f t="shared" si="29"/>
        <v>0</v>
      </c>
      <c r="CA17">
        <f t="shared" si="30"/>
        <v>0</v>
      </c>
      <c r="CB17">
        <f t="shared" si="31"/>
        <v>0</v>
      </c>
      <c r="CC17">
        <f t="shared" si="32"/>
        <v>0</v>
      </c>
      <c r="CD17">
        <f t="shared" si="33"/>
        <v>1</v>
      </c>
      <c r="CE17">
        <f t="shared" si="34"/>
        <v>0</v>
      </c>
      <c r="CF17">
        <f t="shared" si="35"/>
        <v>0</v>
      </c>
      <c r="CG17">
        <f t="shared" si="36"/>
        <v>0</v>
      </c>
      <c r="CH17">
        <f t="shared" si="37"/>
        <v>1</v>
      </c>
      <c r="CI17">
        <f t="shared" si="38"/>
        <v>3</v>
      </c>
      <c r="CJ17">
        <f t="shared" si="39"/>
        <v>2</v>
      </c>
      <c r="CK17">
        <f t="shared" si="40"/>
        <v>1</v>
      </c>
      <c r="CL17">
        <f t="shared" si="41"/>
        <v>7</v>
      </c>
    </row>
    <row r="18" spans="1:90">
      <c r="A18">
        <v>30</v>
      </c>
      <c r="B18">
        <v>0</v>
      </c>
      <c r="C18">
        <v>1</v>
      </c>
      <c r="D18">
        <v>0</v>
      </c>
      <c r="E18">
        <v>0</v>
      </c>
      <c r="F18" s="1">
        <v>4</v>
      </c>
      <c r="G18">
        <v>6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2.0925000000000003E-2</v>
      </c>
      <c r="S18">
        <v>0</v>
      </c>
      <c r="T18">
        <v>0.40678000000000003</v>
      </c>
      <c r="U18">
        <v>4.8000000000000001E-2</v>
      </c>
      <c r="V18">
        <v>0</v>
      </c>
      <c r="W18">
        <v>3.8878380000000003</v>
      </c>
      <c r="X18">
        <v>1.1485799999999999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>
        <v>0</v>
      </c>
      <c r="AO18">
        <v>0</v>
      </c>
      <c r="AP18">
        <v>5</v>
      </c>
      <c r="AQ18">
        <v>0</v>
      </c>
      <c r="AR18">
        <v>5</v>
      </c>
      <c r="AS18">
        <f t="shared" si="0"/>
        <v>0</v>
      </c>
      <c r="AT18">
        <f t="shared" si="1"/>
        <v>5.5121229999999999</v>
      </c>
      <c r="AU18">
        <f t="shared" si="2"/>
        <v>0</v>
      </c>
      <c r="AV18">
        <f t="shared" si="3"/>
        <v>5.5121229999999999</v>
      </c>
      <c r="AW18">
        <f t="shared" si="42"/>
        <v>0.54643909268619484</v>
      </c>
      <c r="AX18">
        <f t="shared" si="43"/>
        <v>1.8300301229990383</v>
      </c>
      <c r="AY18">
        <f t="shared" si="4"/>
        <v>5</v>
      </c>
      <c r="AZ18">
        <f t="shared" si="5"/>
        <v>5.5121229999999999</v>
      </c>
      <c r="BA18">
        <f t="shared" si="44"/>
        <v>0.54643909268619484</v>
      </c>
      <c r="BB18">
        <f t="shared" si="45"/>
        <v>1.8300301229990383</v>
      </c>
      <c r="BC18">
        <f t="shared" si="6"/>
        <v>0</v>
      </c>
      <c r="BD18">
        <f t="shared" si="7"/>
        <v>0</v>
      </c>
      <c r="BE18">
        <f t="shared" si="8"/>
        <v>0</v>
      </c>
      <c r="BF18">
        <f t="shared" si="9"/>
        <v>0</v>
      </c>
      <c r="BG18">
        <f t="shared" si="10"/>
        <v>0</v>
      </c>
      <c r="BH18">
        <f t="shared" si="11"/>
        <v>0</v>
      </c>
      <c r="BI18">
        <f t="shared" si="12"/>
        <v>0</v>
      </c>
      <c r="BJ18">
        <f t="shared" si="13"/>
        <v>0</v>
      </c>
      <c r="BK18">
        <f t="shared" si="14"/>
        <v>0</v>
      </c>
      <c r="BL18">
        <f t="shared" si="15"/>
        <v>1</v>
      </c>
      <c r="BM18">
        <f t="shared" si="16"/>
        <v>0</v>
      </c>
      <c r="BN18">
        <f t="shared" si="17"/>
        <v>1</v>
      </c>
      <c r="BO18">
        <f t="shared" si="18"/>
        <v>1</v>
      </c>
      <c r="BP18">
        <f t="shared" si="19"/>
        <v>0</v>
      </c>
      <c r="BQ18">
        <f t="shared" si="20"/>
        <v>1</v>
      </c>
      <c r="BR18">
        <f t="shared" si="21"/>
        <v>1</v>
      </c>
      <c r="BS18">
        <f t="shared" si="22"/>
        <v>0</v>
      </c>
      <c r="BT18">
        <f t="shared" si="23"/>
        <v>0</v>
      </c>
      <c r="BU18">
        <f t="shared" si="24"/>
        <v>0</v>
      </c>
      <c r="BV18">
        <f t="shared" si="25"/>
        <v>0</v>
      </c>
      <c r="BW18">
        <f t="shared" si="26"/>
        <v>0</v>
      </c>
      <c r="BX18">
        <f t="shared" si="27"/>
        <v>0</v>
      </c>
      <c r="BY18">
        <f t="shared" si="28"/>
        <v>0</v>
      </c>
      <c r="BZ18">
        <f t="shared" si="29"/>
        <v>0</v>
      </c>
      <c r="CA18">
        <f t="shared" si="30"/>
        <v>0</v>
      </c>
      <c r="CB18">
        <f t="shared" si="31"/>
        <v>0</v>
      </c>
      <c r="CC18">
        <f t="shared" si="32"/>
        <v>0</v>
      </c>
      <c r="CD18">
        <f t="shared" si="33"/>
        <v>0</v>
      </c>
      <c r="CE18">
        <f t="shared" si="34"/>
        <v>0</v>
      </c>
      <c r="CF18">
        <f t="shared" si="35"/>
        <v>0</v>
      </c>
      <c r="CG18">
        <f t="shared" si="36"/>
        <v>0</v>
      </c>
      <c r="CH18">
        <f t="shared" si="37"/>
        <v>0</v>
      </c>
      <c r="CI18">
        <f t="shared" si="38"/>
        <v>0</v>
      </c>
      <c r="CJ18">
        <f t="shared" si="39"/>
        <v>5</v>
      </c>
      <c r="CK18">
        <f t="shared" si="40"/>
        <v>0</v>
      </c>
      <c r="CL18">
        <f t="shared" si="41"/>
        <v>5</v>
      </c>
    </row>
    <row r="19" spans="1:90">
      <c r="A19">
        <v>38</v>
      </c>
      <c r="B19">
        <v>0</v>
      </c>
      <c r="C19">
        <v>1</v>
      </c>
      <c r="D19">
        <v>0</v>
      </c>
      <c r="E19">
        <v>1</v>
      </c>
      <c r="F19" s="1">
        <v>4</v>
      </c>
      <c r="G19">
        <v>6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0.51300000000000001</v>
      </c>
      <c r="S19">
        <v>0</v>
      </c>
      <c r="T19">
        <v>0.58336666666666659</v>
      </c>
      <c r="U19">
        <v>0.128</v>
      </c>
      <c r="V19">
        <v>0</v>
      </c>
      <c r="W19">
        <v>5.0471279999999998</v>
      </c>
      <c r="X19">
        <v>0.36726200000000003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>
        <v>0</v>
      </c>
      <c r="AO19">
        <v>0</v>
      </c>
      <c r="AP19">
        <v>5</v>
      </c>
      <c r="AQ19">
        <v>0</v>
      </c>
      <c r="AR19">
        <v>5</v>
      </c>
      <c r="AS19">
        <f t="shared" si="0"/>
        <v>0</v>
      </c>
      <c r="AT19">
        <f t="shared" si="1"/>
        <v>6.6387566666666666</v>
      </c>
      <c r="AU19">
        <f t="shared" si="2"/>
        <v>0</v>
      </c>
      <c r="AV19">
        <f t="shared" si="3"/>
        <v>6.6387566666666666</v>
      </c>
      <c r="AW19">
        <f t="shared" si="42"/>
        <v>0.59510808172666374</v>
      </c>
      <c r="AX19">
        <f t="shared" si="43"/>
        <v>1.6803670303024136</v>
      </c>
      <c r="AY19">
        <f t="shared" si="4"/>
        <v>5</v>
      </c>
      <c r="AZ19">
        <f t="shared" si="5"/>
        <v>6.6387566666666666</v>
      </c>
      <c r="BA19">
        <f t="shared" si="44"/>
        <v>0.59510808172666374</v>
      </c>
      <c r="BB19">
        <f t="shared" si="45"/>
        <v>1.6803670303024136</v>
      </c>
      <c r="BC19">
        <f t="shared" si="6"/>
        <v>0</v>
      </c>
      <c r="BD19">
        <f t="shared" si="7"/>
        <v>0</v>
      </c>
      <c r="BE19">
        <f t="shared" si="8"/>
        <v>0</v>
      </c>
      <c r="BF19">
        <f t="shared" si="9"/>
        <v>0</v>
      </c>
      <c r="BG19">
        <f t="shared" si="10"/>
        <v>0</v>
      </c>
      <c r="BH19">
        <f t="shared" si="11"/>
        <v>0</v>
      </c>
      <c r="BI19">
        <f t="shared" si="12"/>
        <v>0</v>
      </c>
      <c r="BJ19">
        <f t="shared" si="13"/>
        <v>0</v>
      </c>
      <c r="BK19">
        <f t="shared" si="14"/>
        <v>0</v>
      </c>
      <c r="BL19">
        <f t="shared" si="15"/>
        <v>1</v>
      </c>
      <c r="BM19">
        <f t="shared" si="16"/>
        <v>0</v>
      </c>
      <c r="BN19">
        <f t="shared" si="17"/>
        <v>1</v>
      </c>
      <c r="BO19">
        <f t="shared" si="18"/>
        <v>1</v>
      </c>
      <c r="BP19">
        <f t="shared" si="19"/>
        <v>0</v>
      </c>
      <c r="BQ19">
        <f t="shared" si="20"/>
        <v>1</v>
      </c>
      <c r="BR19">
        <f t="shared" si="21"/>
        <v>1</v>
      </c>
      <c r="BS19">
        <f t="shared" si="22"/>
        <v>0</v>
      </c>
      <c r="BT19">
        <f t="shared" si="23"/>
        <v>0</v>
      </c>
      <c r="BU19">
        <f t="shared" si="24"/>
        <v>0</v>
      </c>
      <c r="BV19">
        <f t="shared" si="25"/>
        <v>0</v>
      </c>
      <c r="BW19">
        <f t="shared" si="26"/>
        <v>0</v>
      </c>
      <c r="BX19">
        <f t="shared" si="27"/>
        <v>0</v>
      </c>
      <c r="BY19">
        <f t="shared" si="28"/>
        <v>0</v>
      </c>
      <c r="BZ19">
        <f t="shared" si="29"/>
        <v>0</v>
      </c>
      <c r="CA19">
        <f t="shared" si="30"/>
        <v>0</v>
      </c>
      <c r="CB19">
        <f t="shared" si="31"/>
        <v>0</v>
      </c>
      <c r="CC19">
        <f t="shared" si="32"/>
        <v>0</v>
      </c>
      <c r="CD19">
        <f t="shared" si="33"/>
        <v>0</v>
      </c>
      <c r="CE19">
        <f t="shared" si="34"/>
        <v>0</v>
      </c>
      <c r="CF19">
        <f t="shared" si="35"/>
        <v>0</v>
      </c>
      <c r="CG19">
        <f t="shared" si="36"/>
        <v>0</v>
      </c>
      <c r="CH19">
        <f t="shared" si="37"/>
        <v>0</v>
      </c>
      <c r="CI19">
        <f t="shared" si="38"/>
        <v>0</v>
      </c>
      <c r="CJ19">
        <f t="shared" si="39"/>
        <v>5</v>
      </c>
      <c r="CK19">
        <f t="shared" si="40"/>
        <v>0</v>
      </c>
      <c r="CL19">
        <f t="shared" si="41"/>
        <v>5</v>
      </c>
    </row>
    <row r="20" spans="1:90">
      <c r="A20">
        <v>69</v>
      </c>
      <c r="B20">
        <v>0</v>
      </c>
      <c r="C20">
        <v>1</v>
      </c>
      <c r="D20">
        <v>0</v>
      </c>
      <c r="E20">
        <v>0</v>
      </c>
      <c r="F20" s="1">
        <v>4</v>
      </c>
      <c r="G20">
        <v>6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0.78974999999999995</v>
      </c>
      <c r="S20">
        <v>1.0076E-2</v>
      </c>
      <c r="T20">
        <v>0.67639000000000005</v>
      </c>
      <c r="U20">
        <v>0.112</v>
      </c>
      <c r="V20">
        <v>0</v>
      </c>
      <c r="W20">
        <v>5.0183820000000008</v>
      </c>
      <c r="X20">
        <v>1.7105519999999999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>
        <v>0</v>
      </c>
      <c r="AO20">
        <v>0</v>
      </c>
      <c r="AP20">
        <v>6</v>
      </c>
      <c r="AQ20">
        <v>0</v>
      </c>
      <c r="AR20">
        <v>6</v>
      </c>
      <c r="AS20">
        <f t="shared" si="0"/>
        <v>0</v>
      </c>
      <c r="AT20">
        <f t="shared" si="1"/>
        <v>8.3171500000000016</v>
      </c>
      <c r="AU20">
        <f t="shared" si="2"/>
        <v>0</v>
      </c>
      <c r="AV20">
        <f t="shared" si="3"/>
        <v>8.3171500000000016</v>
      </c>
      <c r="AW20">
        <f t="shared" si="42"/>
        <v>0.42217573930031516</v>
      </c>
      <c r="AX20">
        <f t="shared" si="43"/>
        <v>2.3686818234921097</v>
      </c>
      <c r="AY20">
        <f t="shared" si="4"/>
        <v>6</v>
      </c>
      <c r="AZ20">
        <f t="shared" si="5"/>
        <v>8.3171500000000016</v>
      </c>
      <c r="BA20">
        <f t="shared" si="44"/>
        <v>0.42217573930031516</v>
      </c>
      <c r="BB20">
        <f t="shared" si="45"/>
        <v>2.3686818234921097</v>
      </c>
      <c r="BC20">
        <f t="shared" si="6"/>
        <v>0</v>
      </c>
      <c r="BD20">
        <f t="shared" si="7"/>
        <v>0</v>
      </c>
      <c r="BE20">
        <f t="shared" si="8"/>
        <v>0</v>
      </c>
      <c r="BF20">
        <f t="shared" si="9"/>
        <v>0</v>
      </c>
      <c r="BG20">
        <f t="shared" si="10"/>
        <v>0</v>
      </c>
      <c r="BH20">
        <f t="shared" si="11"/>
        <v>0</v>
      </c>
      <c r="BI20">
        <f t="shared" si="12"/>
        <v>0</v>
      </c>
      <c r="BJ20">
        <f t="shared" si="13"/>
        <v>0</v>
      </c>
      <c r="BK20">
        <f t="shared" si="14"/>
        <v>0</v>
      </c>
      <c r="BL20">
        <f t="shared" si="15"/>
        <v>1</v>
      </c>
      <c r="BM20">
        <f t="shared" si="16"/>
        <v>1</v>
      </c>
      <c r="BN20">
        <f t="shared" si="17"/>
        <v>1</v>
      </c>
      <c r="BO20">
        <f t="shared" si="18"/>
        <v>1</v>
      </c>
      <c r="BP20">
        <f t="shared" si="19"/>
        <v>0</v>
      </c>
      <c r="BQ20">
        <f t="shared" si="20"/>
        <v>1</v>
      </c>
      <c r="BR20">
        <f t="shared" si="21"/>
        <v>1</v>
      </c>
      <c r="BS20">
        <f t="shared" si="22"/>
        <v>0</v>
      </c>
      <c r="BT20">
        <f t="shared" si="23"/>
        <v>0</v>
      </c>
      <c r="BU20">
        <f t="shared" si="24"/>
        <v>0</v>
      </c>
      <c r="BV20">
        <f t="shared" si="25"/>
        <v>0</v>
      </c>
      <c r="BW20">
        <f t="shared" si="26"/>
        <v>0</v>
      </c>
      <c r="BX20">
        <f t="shared" si="27"/>
        <v>0</v>
      </c>
      <c r="BY20">
        <f t="shared" si="28"/>
        <v>0</v>
      </c>
      <c r="BZ20">
        <f t="shared" si="29"/>
        <v>0</v>
      </c>
      <c r="CA20">
        <f t="shared" si="30"/>
        <v>0</v>
      </c>
      <c r="CB20">
        <f t="shared" si="31"/>
        <v>0</v>
      </c>
      <c r="CC20">
        <f t="shared" si="32"/>
        <v>0</v>
      </c>
      <c r="CD20">
        <f t="shared" si="33"/>
        <v>0</v>
      </c>
      <c r="CE20">
        <f t="shared" si="34"/>
        <v>0</v>
      </c>
      <c r="CF20">
        <f t="shared" si="35"/>
        <v>0</v>
      </c>
      <c r="CG20">
        <f t="shared" si="36"/>
        <v>0</v>
      </c>
      <c r="CH20">
        <f t="shared" si="37"/>
        <v>0</v>
      </c>
      <c r="CI20">
        <f t="shared" si="38"/>
        <v>0</v>
      </c>
      <c r="CJ20">
        <f t="shared" si="39"/>
        <v>6</v>
      </c>
      <c r="CK20">
        <f t="shared" si="40"/>
        <v>0</v>
      </c>
      <c r="CL20">
        <f t="shared" si="41"/>
        <v>6</v>
      </c>
    </row>
    <row r="21" spans="1:90">
      <c r="A21">
        <v>102</v>
      </c>
      <c r="B21">
        <v>0</v>
      </c>
      <c r="C21">
        <v>1</v>
      </c>
      <c r="D21">
        <v>0</v>
      </c>
      <c r="E21">
        <v>1</v>
      </c>
      <c r="F21" s="1">
        <v>4</v>
      </c>
      <c r="G21">
        <v>6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0.18225000000000002</v>
      </c>
      <c r="S21">
        <v>1.2595E-2</v>
      </c>
      <c r="T21">
        <v>0</v>
      </c>
      <c r="U21">
        <v>0.08</v>
      </c>
      <c r="V21">
        <v>0</v>
      </c>
      <c r="W21">
        <v>3.6513840000000002</v>
      </c>
      <c r="X21">
        <v>0.40002700000000002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>
        <v>0</v>
      </c>
      <c r="AO21">
        <v>0</v>
      </c>
      <c r="AP21">
        <v>5</v>
      </c>
      <c r="AQ21">
        <v>0</v>
      </c>
      <c r="AR21">
        <v>5</v>
      </c>
      <c r="AS21">
        <f t="shared" si="0"/>
        <v>0</v>
      </c>
      <c r="AT21">
        <f t="shared" si="1"/>
        <v>4.3262559999999999</v>
      </c>
      <c r="AU21">
        <f t="shared" si="2"/>
        <v>0</v>
      </c>
      <c r="AV21">
        <f t="shared" si="3"/>
        <v>4.3262559999999999</v>
      </c>
      <c r="AW21">
        <f t="shared" si="42"/>
        <v>0.72302016595695884</v>
      </c>
      <c r="AX21">
        <f t="shared" si="43"/>
        <v>1.3830872873046942</v>
      </c>
      <c r="AY21">
        <f t="shared" si="4"/>
        <v>5</v>
      </c>
      <c r="AZ21">
        <f t="shared" si="5"/>
        <v>4.3262559999999999</v>
      </c>
      <c r="BA21">
        <f t="shared" si="44"/>
        <v>0.72302016595695884</v>
      </c>
      <c r="BB21">
        <f t="shared" si="45"/>
        <v>1.3830872873046942</v>
      </c>
      <c r="BC21">
        <f t="shared" si="6"/>
        <v>0</v>
      </c>
      <c r="BD21">
        <f t="shared" si="7"/>
        <v>0</v>
      </c>
      <c r="BE21">
        <f t="shared" si="8"/>
        <v>0</v>
      </c>
      <c r="BF21">
        <f t="shared" si="9"/>
        <v>0</v>
      </c>
      <c r="BG21">
        <f t="shared" si="10"/>
        <v>0</v>
      </c>
      <c r="BH21">
        <f t="shared" si="11"/>
        <v>0</v>
      </c>
      <c r="BI21">
        <f t="shared" si="12"/>
        <v>0</v>
      </c>
      <c r="BJ21">
        <f t="shared" si="13"/>
        <v>0</v>
      </c>
      <c r="BK21">
        <f t="shared" si="14"/>
        <v>0</v>
      </c>
      <c r="BL21">
        <f t="shared" si="15"/>
        <v>1</v>
      </c>
      <c r="BM21">
        <f t="shared" si="16"/>
        <v>1</v>
      </c>
      <c r="BN21">
        <f t="shared" si="17"/>
        <v>0</v>
      </c>
      <c r="BO21">
        <f t="shared" si="18"/>
        <v>1</v>
      </c>
      <c r="BP21">
        <f t="shared" si="19"/>
        <v>0</v>
      </c>
      <c r="BQ21">
        <f t="shared" si="20"/>
        <v>1</v>
      </c>
      <c r="BR21">
        <f t="shared" si="21"/>
        <v>1</v>
      </c>
      <c r="BS21">
        <f t="shared" si="22"/>
        <v>0</v>
      </c>
      <c r="BT21">
        <f t="shared" si="23"/>
        <v>0</v>
      </c>
      <c r="BU21">
        <f t="shared" si="24"/>
        <v>0</v>
      </c>
      <c r="BV21">
        <f t="shared" si="25"/>
        <v>0</v>
      </c>
      <c r="BW21">
        <f t="shared" si="26"/>
        <v>0</v>
      </c>
      <c r="BX21">
        <f t="shared" si="27"/>
        <v>0</v>
      </c>
      <c r="BY21">
        <f t="shared" si="28"/>
        <v>0</v>
      </c>
      <c r="BZ21">
        <f t="shared" si="29"/>
        <v>0</v>
      </c>
      <c r="CA21">
        <f t="shared" si="30"/>
        <v>0</v>
      </c>
      <c r="CB21">
        <f t="shared" si="31"/>
        <v>0</v>
      </c>
      <c r="CC21">
        <f t="shared" si="32"/>
        <v>0</v>
      </c>
      <c r="CD21">
        <f t="shared" si="33"/>
        <v>0</v>
      </c>
      <c r="CE21">
        <f t="shared" si="34"/>
        <v>0</v>
      </c>
      <c r="CF21">
        <f t="shared" si="35"/>
        <v>0</v>
      </c>
      <c r="CG21">
        <f t="shared" si="36"/>
        <v>0</v>
      </c>
      <c r="CH21">
        <f t="shared" si="37"/>
        <v>0</v>
      </c>
      <c r="CI21">
        <f t="shared" si="38"/>
        <v>0</v>
      </c>
      <c r="CJ21">
        <f t="shared" si="39"/>
        <v>5</v>
      </c>
      <c r="CK21">
        <f t="shared" si="40"/>
        <v>0</v>
      </c>
      <c r="CL21">
        <f t="shared" si="41"/>
        <v>5</v>
      </c>
    </row>
    <row r="22" spans="1:90">
      <c r="A22">
        <v>44</v>
      </c>
      <c r="B22">
        <v>0</v>
      </c>
      <c r="C22">
        <v>1</v>
      </c>
      <c r="D22">
        <v>0</v>
      </c>
      <c r="E22">
        <v>0</v>
      </c>
      <c r="F22" s="1">
        <v>5</v>
      </c>
      <c r="G22">
        <v>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1">
        <v>0</v>
      </c>
      <c r="R22">
        <v>0</v>
      </c>
      <c r="S22">
        <v>0</v>
      </c>
      <c r="T22">
        <v>0.45407999999999998</v>
      </c>
      <c r="U22">
        <v>9.6000000000000002E-2</v>
      </c>
      <c r="V22">
        <v>0.14261000000000001</v>
      </c>
      <c r="W22">
        <v>0</v>
      </c>
      <c r="X22">
        <v>0.87987199999999999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>
        <v>0</v>
      </c>
      <c r="AO22">
        <v>0</v>
      </c>
      <c r="AP22">
        <v>4</v>
      </c>
      <c r="AQ22">
        <v>0</v>
      </c>
      <c r="AR22">
        <v>4</v>
      </c>
      <c r="AS22">
        <f t="shared" si="0"/>
        <v>0</v>
      </c>
      <c r="AT22">
        <f t="shared" si="1"/>
        <v>1.572562</v>
      </c>
      <c r="AU22">
        <f t="shared" si="2"/>
        <v>0</v>
      </c>
      <c r="AV22">
        <f t="shared" si="3"/>
        <v>1.572562</v>
      </c>
      <c r="AW22">
        <f t="shared" si="42"/>
        <v>0.40838532397192218</v>
      </c>
      <c r="AX22">
        <f t="shared" si="43"/>
        <v>2.4486678176240075</v>
      </c>
      <c r="AY22">
        <f t="shared" si="4"/>
        <v>4</v>
      </c>
      <c r="AZ22">
        <f t="shared" si="5"/>
        <v>1.572562</v>
      </c>
      <c r="BA22">
        <f t="shared" si="44"/>
        <v>0.40838532397192218</v>
      </c>
      <c r="BB22">
        <f t="shared" si="45"/>
        <v>2.4486678176240075</v>
      </c>
      <c r="BC22">
        <f t="shared" si="6"/>
        <v>0</v>
      </c>
      <c r="BD22">
        <f t="shared" si="7"/>
        <v>0</v>
      </c>
      <c r="BE22">
        <f t="shared" si="8"/>
        <v>0</v>
      </c>
      <c r="BF22">
        <f t="shared" si="9"/>
        <v>0</v>
      </c>
      <c r="BG22">
        <f t="shared" si="10"/>
        <v>0</v>
      </c>
      <c r="BH22">
        <f t="shared" si="11"/>
        <v>0</v>
      </c>
      <c r="BI22">
        <f t="shared" si="12"/>
        <v>0</v>
      </c>
      <c r="BJ22">
        <f t="shared" si="13"/>
        <v>0</v>
      </c>
      <c r="BK22">
        <f t="shared" si="14"/>
        <v>0</v>
      </c>
      <c r="BL22">
        <f t="shared" si="15"/>
        <v>0</v>
      </c>
      <c r="BM22">
        <f t="shared" si="16"/>
        <v>0</v>
      </c>
      <c r="BN22">
        <f t="shared" si="17"/>
        <v>1</v>
      </c>
      <c r="BO22">
        <f t="shared" si="18"/>
        <v>1</v>
      </c>
      <c r="BP22">
        <f t="shared" si="19"/>
        <v>1</v>
      </c>
      <c r="BQ22">
        <f t="shared" si="20"/>
        <v>0</v>
      </c>
      <c r="BR22">
        <f t="shared" si="21"/>
        <v>1</v>
      </c>
      <c r="BS22">
        <f t="shared" si="22"/>
        <v>0</v>
      </c>
      <c r="BT22">
        <f t="shared" si="23"/>
        <v>0</v>
      </c>
      <c r="BU22">
        <f t="shared" si="24"/>
        <v>0</v>
      </c>
      <c r="BV22">
        <f t="shared" si="25"/>
        <v>0</v>
      </c>
      <c r="BW22">
        <f t="shared" si="26"/>
        <v>0</v>
      </c>
      <c r="BX22">
        <f t="shared" si="27"/>
        <v>0</v>
      </c>
      <c r="BY22">
        <f t="shared" si="28"/>
        <v>0</v>
      </c>
      <c r="BZ22">
        <f t="shared" si="29"/>
        <v>0</v>
      </c>
      <c r="CA22">
        <f t="shared" si="30"/>
        <v>0</v>
      </c>
      <c r="CB22">
        <f t="shared" si="31"/>
        <v>0</v>
      </c>
      <c r="CC22">
        <f t="shared" si="32"/>
        <v>0</v>
      </c>
      <c r="CD22">
        <f t="shared" si="33"/>
        <v>0</v>
      </c>
      <c r="CE22">
        <f t="shared" si="34"/>
        <v>0</v>
      </c>
      <c r="CF22">
        <f t="shared" si="35"/>
        <v>0</v>
      </c>
      <c r="CG22">
        <f t="shared" si="36"/>
        <v>0</v>
      </c>
      <c r="CH22">
        <f t="shared" si="37"/>
        <v>0</v>
      </c>
      <c r="CI22">
        <f t="shared" si="38"/>
        <v>0</v>
      </c>
      <c r="CJ22">
        <f t="shared" si="39"/>
        <v>4</v>
      </c>
      <c r="CK22">
        <f t="shared" si="40"/>
        <v>0</v>
      </c>
      <c r="CL22">
        <f t="shared" si="41"/>
        <v>4</v>
      </c>
    </row>
    <row r="23" spans="1:90">
      <c r="A23">
        <v>45</v>
      </c>
      <c r="B23">
        <v>0</v>
      </c>
      <c r="C23">
        <v>1</v>
      </c>
      <c r="D23">
        <v>0</v>
      </c>
      <c r="E23">
        <v>1</v>
      </c>
      <c r="F23" s="1">
        <v>5</v>
      </c>
      <c r="G23">
        <v>6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1">
        <v>0</v>
      </c>
      <c r="R23">
        <v>0.18225000000000002</v>
      </c>
      <c r="S23">
        <v>5.0379999999999999E-3</v>
      </c>
      <c r="T23">
        <v>0.77256666666666673</v>
      </c>
      <c r="U23">
        <v>1.6E-2</v>
      </c>
      <c r="V23">
        <v>0.29180200000000001</v>
      </c>
      <c r="W23">
        <v>0</v>
      </c>
      <c r="X23">
        <v>3.2985699999999998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>
        <v>0</v>
      </c>
      <c r="AO23">
        <v>0</v>
      </c>
      <c r="AP23">
        <v>6</v>
      </c>
      <c r="AQ23">
        <v>0</v>
      </c>
      <c r="AR23">
        <v>6</v>
      </c>
      <c r="AS23">
        <f t="shared" si="0"/>
        <v>0</v>
      </c>
      <c r="AT23">
        <f t="shared" si="1"/>
        <v>4.5662266666666671</v>
      </c>
      <c r="AU23">
        <f t="shared" si="2"/>
        <v>0</v>
      </c>
      <c r="AV23">
        <f t="shared" si="3"/>
        <v>4.5662266666666671</v>
      </c>
      <c r="AW23">
        <f t="shared" si="42"/>
        <v>0.5561549757501757</v>
      </c>
      <c r="AX23">
        <f t="shared" si="43"/>
        <v>1.7980599717752037</v>
      </c>
      <c r="AY23">
        <f t="shared" si="4"/>
        <v>6</v>
      </c>
      <c r="AZ23">
        <f t="shared" si="5"/>
        <v>4.5662266666666671</v>
      </c>
      <c r="BA23">
        <f t="shared" si="44"/>
        <v>0.5561549757501757</v>
      </c>
      <c r="BB23">
        <f t="shared" si="45"/>
        <v>1.7980599717752037</v>
      </c>
      <c r="BC23">
        <f t="shared" si="6"/>
        <v>0</v>
      </c>
      <c r="BD23">
        <f t="shared" si="7"/>
        <v>0</v>
      </c>
      <c r="BE23">
        <f t="shared" si="8"/>
        <v>0</v>
      </c>
      <c r="BF23">
        <f t="shared" si="9"/>
        <v>0</v>
      </c>
      <c r="BG23">
        <f t="shared" si="10"/>
        <v>0</v>
      </c>
      <c r="BH23">
        <f t="shared" si="11"/>
        <v>0</v>
      </c>
      <c r="BI23">
        <f t="shared" si="12"/>
        <v>0</v>
      </c>
      <c r="BJ23">
        <f t="shared" si="13"/>
        <v>0</v>
      </c>
      <c r="BK23">
        <f t="shared" si="14"/>
        <v>0</v>
      </c>
      <c r="BL23">
        <f t="shared" si="15"/>
        <v>1</v>
      </c>
      <c r="BM23">
        <f t="shared" si="16"/>
        <v>1</v>
      </c>
      <c r="BN23">
        <f t="shared" si="17"/>
        <v>1</v>
      </c>
      <c r="BO23">
        <f t="shared" si="18"/>
        <v>1</v>
      </c>
      <c r="BP23">
        <f t="shared" si="19"/>
        <v>1</v>
      </c>
      <c r="BQ23">
        <f t="shared" si="20"/>
        <v>0</v>
      </c>
      <c r="BR23">
        <f t="shared" si="21"/>
        <v>1</v>
      </c>
      <c r="BS23">
        <f t="shared" si="22"/>
        <v>0</v>
      </c>
      <c r="BT23">
        <f t="shared" si="23"/>
        <v>0</v>
      </c>
      <c r="BU23">
        <f t="shared" si="24"/>
        <v>0</v>
      </c>
      <c r="BV23">
        <f t="shared" si="25"/>
        <v>0</v>
      </c>
      <c r="BW23">
        <f t="shared" si="26"/>
        <v>0</v>
      </c>
      <c r="BX23">
        <f t="shared" si="27"/>
        <v>0</v>
      </c>
      <c r="BY23">
        <f t="shared" si="28"/>
        <v>0</v>
      </c>
      <c r="BZ23">
        <f t="shared" si="29"/>
        <v>0</v>
      </c>
      <c r="CA23">
        <f t="shared" si="30"/>
        <v>0</v>
      </c>
      <c r="CB23">
        <f t="shared" si="31"/>
        <v>0</v>
      </c>
      <c r="CC23">
        <f t="shared" si="32"/>
        <v>0</v>
      </c>
      <c r="CD23">
        <f t="shared" si="33"/>
        <v>0</v>
      </c>
      <c r="CE23">
        <f t="shared" si="34"/>
        <v>0</v>
      </c>
      <c r="CF23">
        <f t="shared" si="35"/>
        <v>0</v>
      </c>
      <c r="CG23">
        <f t="shared" si="36"/>
        <v>0</v>
      </c>
      <c r="CH23">
        <f t="shared" si="37"/>
        <v>0</v>
      </c>
      <c r="CI23">
        <f t="shared" si="38"/>
        <v>0</v>
      </c>
      <c r="CJ23">
        <f t="shared" si="39"/>
        <v>6</v>
      </c>
      <c r="CK23">
        <f t="shared" si="40"/>
        <v>0</v>
      </c>
      <c r="CL23">
        <f t="shared" si="41"/>
        <v>6</v>
      </c>
    </row>
    <row r="24" spans="1:90">
      <c r="A24">
        <v>62</v>
      </c>
      <c r="B24">
        <v>0</v>
      </c>
      <c r="C24">
        <v>1</v>
      </c>
      <c r="D24">
        <v>0</v>
      </c>
      <c r="E24">
        <v>0</v>
      </c>
      <c r="F24" s="1">
        <v>5</v>
      </c>
      <c r="G24">
        <v>6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1">
        <v>0</v>
      </c>
      <c r="R24">
        <v>9.4500000000000001E-2</v>
      </c>
      <c r="S24">
        <v>0</v>
      </c>
      <c r="T24">
        <v>0.68742666666666674</v>
      </c>
      <c r="U24">
        <v>9.6000000000000002E-2</v>
      </c>
      <c r="V24">
        <v>1.7552000000000002E-2</v>
      </c>
      <c r="W24">
        <v>0</v>
      </c>
      <c r="X24">
        <v>0.287273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>
        <v>0</v>
      </c>
      <c r="AO24">
        <v>0</v>
      </c>
      <c r="AP24">
        <v>5</v>
      </c>
      <c r="AQ24">
        <v>0</v>
      </c>
      <c r="AR24">
        <v>5</v>
      </c>
      <c r="AS24">
        <f t="shared" si="0"/>
        <v>0</v>
      </c>
      <c r="AT24">
        <f t="shared" si="1"/>
        <v>1.1827516666666669</v>
      </c>
      <c r="AU24">
        <f t="shared" si="2"/>
        <v>0</v>
      </c>
      <c r="AV24">
        <f t="shared" si="3"/>
        <v>1.1827516666666669</v>
      </c>
      <c r="AW24">
        <f t="shared" si="42"/>
        <v>0.40998992368394471</v>
      </c>
      <c r="AX24">
        <f t="shared" si="43"/>
        <v>2.4390843341088684</v>
      </c>
      <c r="AY24">
        <f t="shared" si="4"/>
        <v>5</v>
      </c>
      <c r="AZ24">
        <f t="shared" si="5"/>
        <v>1.1827516666666669</v>
      </c>
      <c r="BA24">
        <f t="shared" si="44"/>
        <v>0.40998992368394471</v>
      </c>
      <c r="BB24">
        <f t="shared" si="45"/>
        <v>2.4390843341088684</v>
      </c>
      <c r="BC24">
        <f t="shared" si="6"/>
        <v>0</v>
      </c>
      <c r="BD24">
        <f t="shared" si="7"/>
        <v>0</v>
      </c>
      <c r="BE24">
        <f t="shared" si="8"/>
        <v>0</v>
      </c>
      <c r="BF24">
        <f t="shared" si="9"/>
        <v>0</v>
      </c>
      <c r="BG24">
        <f t="shared" si="10"/>
        <v>0</v>
      </c>
      <c r="BH24">
        <f t="shared" si="11"/>
        <v>0</v>
      </c>
      <c r="BI24">
        <f t="shared" si="12"/>
        <v>0</v>
      </c>
      <c r="BJ24">
        <f t="shared" si="13"/>
        <v>0</v>
      </c>
      <c r="BK24">
        <f t="shared" si="14"/>
        <v>0</v>
      </c>
      <c r="BL24">
        <f t="shared" si="15"/>
        <v>1</v>
      </c>
      <c r="BM24">
        <f t="shared" si="16"/>
        <v>0</v>
      </c>
      <c r="BN24">
        <f t="shared" si="17"/>
        <v>1</v>
      </c>
      <c r="BO24">
        <f t="shared" si="18"/>
        <v>1</v>
      </c>
      <c r="BP24">
        <f t="shared" si="19"/>
        <v>1</v>
      </c>
      <c r="BQ24">
        <f t="shared" si="20"/>
        <v>0</v>
      </c>
      <c r="BR24">
        <f t="shared" si="21"/>
        <v>1</v>
      </c>
      <c r="BS24">
        <f t="shared" si="22"/>
        <v>0</v>
      </c>
      <c r="BT24">
        <f t="shared" si="23"/>
        <v>0</v>
      </c>
      <c r="BU24">
        <f t="shared" si="24"/>
        <v>0</v>
      </c>
      <c r="BV24">
        <f t="shared" si="25"/>
        <v>0</v>
      </c>
      <c r="BW24">
        <f t="shared" si="26"/>
        <v>0</v>
      </c>
      <c r="BX24">
        <f t="shared" si="27"/>
        <v>0</v>
      </c>
      <c r="BY24">
        <f t="shared" si="28"/>
        <v>0</v>
      </c>
      <c r="BZ24">
        <f t="shared" si="29"/>
        <v>0</v>
      </c>
      <c r="CA24">
        <f t="shared" si="30"/>
        <v>0</v>
      </c>
      <c r="CB24">
        <f t="shared" si="31"/>
        <v>0</v>
      </c>
      <c r="CC24">
        <f t="shared" si="32"/>
        <v>0</v>
      </c>
      <c r="CD24">
        <f t="shared" si="33"/>
        <v>0</v>
      </c>
      <c r="CE24">
        <f t="shared" si="34"/>
        <v>0</v>
      </c>
      <c r="CF24">
        <f t="shared" si="35"/>
        <v>0</v>
      </c>
      <c r="CG24">
        <f t="shared" si="36"/>
        <v>0</v>
      </c>
      <c r="CH24">
        <f t="shared" si="37"/>
        <v>0</v>
      </c>
      <c r="CI24">
        <f t="shared" si="38"/>
        <v>0</v>
      </c>
      <c r="CJ24">
        <f t="shared" si="39"/>
        <v>5</v>
      </c>
      <c r="CK24">
        <f t="shared" si="40"/>
        <v>0</v>
      </c>
      <c r="CL24">
        <f t="shared" si="41"/>
        <v>5</v>
      </c>
    </row>
    <row r="25" spans="1:90">
      <c r="A25">
        <v>63</v>
      </c>
      <c r="B25">
        <v>0</v>
      </c>
      <c r="C25">
        <v>1</v>
      </c>
      <c r="D25">
        <v>0</v>
      </c>
      <c r="E25">
        <v>1</v>
      </c>
      <c r="F25" s="1">
        <v>5</v>
      </c>
      <c r="G25">
        <v>6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1">
        <v>0</v>
      </c>
      <c r="R25">
        <v>0</v>
      </c>
      <c r="S25">
        <v>1.2595E-2</v>
      </c>
      <c r="T25">
        <v>0.74103333333333332</v>
      </c>
      <c r="U25">
        <v>0</v>
      </c>
      <c r="V25">
        <v>0.15796800000000003</v>
      </c>
      <c r="W25">
        <v>0</v>
      </c>
      <c r="X25">
        <v>2.4921699999999998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>
        <v>0</v>
      </c>
      <c r="AO25">
        <v>0</v>
      </c>
      <c r="AP25">
        <v>4</v>
      </c>
      <c r="AQ25">
        <v>0</v>
      </c>
      <c r="AR25">
        <v>4</v>
      </c>
      <c r="AS25">
        <f t="shared" si="0"/>
        <v>0</v>
      </c>
      <c r="AT25">
        <f t="shared" si="1"/>
        <v>3.403766333333333</v>
      </c>
      <c r="AU25">
        <f t="shared" si="2"/>
        <v>0</v>
      </c>
      <c r="AV25">
        <f t="shared" si="3"/>
        <v>3.403766333333333</v>
      </c>
      <c r="AW25">
        <f t="shared" si="42"/>
        <v>0.58565283146265967</v>
      </c>
      <c r="AX25">
        <f t="shared" si="43"/>
        <v>1.7074962269071834</v>
      </c>
      <c r="AY25">
        <f t="shared" si="4"/>
        <v>4</v>
      </c>
      <c r="AZ25">
        <f t="shared" si="5"/>
        <v>3.403766333333333</v>
      </c>
      <c r="BA25">
        <f t="shared" si="44"/>
        <v>0.58565283146265967</v>
      </c>
      <c r="BB25">
        <f t="shared" si="45"/>
        <v>1.7074962269071834</v>
      </c>
      <c r="BC25">
        <f t="shared" si="6"/>
        <v>0</v>
      </c>
      <c r="BD25">
        <f t="shared" si="7"/>
        <v>0</v>
      </c>
      <c r="BE25">
        <f t="shared" si="8"/>
        <v>0</v>
      </c>
      <c r="BF25">
        <f t="shared" si="9"/>
        <v>0</v>
      </c>
      <c r="BG25">
        <f t="shared" si="10"/>
        <v>0</v>
      </c>
      <c r="BH25">
        <f t="shared" si="11"/>
        <v>0</v>
      </c>
      <c r="BI25">
        <f t="shared" si="12"/>
        <v>0</v>
      </c>
      <c r="BJ25">
        <f t="shared" si="13"/>
        <v>0</v>
      </c>
      <c r="BK25">
        <f t="shared" si="14"/>
        <v>0</v>
      </c>
      <c r="BL25">
        <f t="shared" si="15"/>
        <v>0</v>
      </c>
      <c r="BM25">
        <f t="shared" si="16"/>
        <v>1</v>
      </c>
      <c r="BN25">
        <f t="shared" si="17"/>
        <v>1</v>
      </c>
      <c r="BO25">
        <f t="shared" si="18"/>
        <v>0</v>
      </c>
      <c r="BP25">
        <f t="shared" si="19"/>
        <v>1</v>
      </c>
      <c r="BQ25">
        <f t="shared" si="20"/>
        <v>0</v>
      </c>
      <c r="BR25">
        <f t="shared" si="21"/>
        <v>1</v>
      </c>
      <c r="BS25">
        <f t="shared" si="22"/>
        <v>0</v>
      </c>
      <c r="BT25">
        <f t="shared" si="23"/>
        <v>0</v>
      </c>
      <c r="BU25">
        <f t="shared" si="24"/>
        <v>0</v>
      </c>
      <c r="BV25">
        <f t="shared" si="25"/>
        <v>0</v>
      </c>
      <c r="BW25">
        <f t="shared" si="26"/>
        <v>0</v>
      </c>
      <c r="BX25">
        <f t="shared" si="27"/>
        <v>0</v>
      </c>
      <c r="BY25">
        <f t="shared" si="28"/>
        <v>0</v>
      </c>
      <c r="BZ25">
        <f t="shared" si="29"/>
        <v>0</v>
      </c>
      <c r="CA25">
        <f t="shared" si="30"/>
        <v>0</v>
      </c>
      <c r="CB25">
        <f t="shared" si="31"/>
        <v>0</v>
      </c>
      <c r="CC25">
        <f t="shared" si="32"/>
        <v>0</v>
      </c>
      <c r="CD25">
        <f t="shared" si="33"/>
        <v>0</v>
      </c>
      <c r="CE25">
        <f t="shared" si="34"/>
        <v>0</v>
      </c>
      <c r="CF25">
        <f t="shared" si="35"/>
        <v>0</v>
      </c>
      <c r="CG25">
        <f t="shared" si="36"/>
        <v>0</v>
      </c>
      <c r="CH25">
        <f t="shared" si="37"/>
        <v>0</v>
      </c>
      <c r="CI25">
        <f t="shared" si="38"/>
        <v>0</v>
      </c>
      <c r="CJ25">
        <f t="shared" si="39"/>
        <v>4</v>
      </c>
      <c r="CK25">
        <f t="shared" si="40"/>
        <v>0</v>
      </c>
      <c r="CL25">
        <f t="shared" si="41"/>
        <v>4</v>
      </c>
    </row>
    <row r="26" spans="1:90">
      <c r="A26">
        <v>26</v>
      </c>
      <c r="B26">
        <v>0</v>
      </c>
      <c r="C26">
        <v>1</v>
      </c>
      <c r="D26">
        <v>0</v>
      </c>
      <c r="E26">
        <v>0</v>
      </c>
      <c r="F26" s="1">
        <v>6</v>
      </c>
      <c r="G26">
        <v>6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9.4500000000000001E-2</v>
      </c>
      <c r="S26" s="1">
        <v>0</v>
      </c>
      <c r="T26">
        <v>0</v>
      </c>
      <c r="U26">
        <v>0</v>
      </c>
      <c r="V26">
        <v>0.16455</v>
      </c>
      <c r="W26">
        <v>4.5765120000000001</v>
      </c>
      <c r="X26">
        <v>0.68576900000000007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s="2">
        <v>0</v>
      </c>
      <c r="AH26" s="2">
        <v>0</v>
      </c>
      <c r="AI26" s="2">
        <v>7.038E-3</v>
      </c>
      <c r="AJ26" s="2">
        <v>0</v>
      </c>
      <c r="AK26" s="2">
        <v>0</v>
      </c>
      <c r="AL26" s="2">
        <v>0</v>
      </c>
      <c r="AM26" s="2">
        <v>0</v>
      </c>
      <c r="AN26">
        <v>1</v>
      </c>
      <c r="AO26">
        <v>0</v>
      </c>
      <c r="AP26">
        <v>4</v>
      </c>
      <c r="AQ26">
        <v>0</v>
      </c>
      <c r="AR26">
        <v>5</v>
      </c>
      <c r="AS26">
        <f t="shared" si="0"/>
        <v>0</v>
      </c>
      <c r="AT26">
        <f t="shared" si="1"/>
        <v>5.521331</v>
      </c>
      <c r="AU26">
        <f t="shared" si="2"/>
        <v>0</v>
      </c>
      <c r="AV26">
        <f t="shared" si="3"/>
        <v>5.5283689999999996</v>
      </c>
      <c r="AW26">
        <f t="shared" si="42"/>
        <v>0.70185823663998415</v>
      </c>
      <c r="AX26">
        <f t="shared" si="43"/>
        <v>1.4247891494261207</v>
      </c>
      <c r="AY26">
        <f t="shared" si="4"/>
        <v>4</v>
      </c>
      <c r="AZ26">
        <f t="shared" si="5"/>
        <v>5.521331</v>
      </c>
      <c r="BA26">
        <f t="shared" si="44"/>
        <v>0.70364705926693305</v>
      </c>
      <c r="BB26">
        <f t="shared" si="45"/>
        <v>1.4211670280293796</v>
      </c>
      <c r="BC26">
        <f t="shared" si="6"/>
        <v>0</v>
      </c>
      <c r="BD26">
        <f t="shared" si="7"/>
        <v>0</v>
      </c>
      <c r="BE26">
        <f t="shared" si="8"/>
        <v>0</v>
      </c>
      <c r="BF26">
        <f t="shared" si="9"/>
        <v>0</v>
      </c>
      <c r="BG26">
        <f t="shared" si="10"/>
        <v>0</v>
      </c>
      <c r="BH26">
        <f t="shared" si="11"/>
        <v>0</v>
      </c>
      <c r="BI26">
        <f t="shared" si="12"/>
        <v>0</v>
      </c>
      <c r="BJ26">
        <f t="shared" si="13"/>
        <v>0</v>
      </c>
      <c r="BK26">
        <f t="shared" si="14"/>
        <v>0</v>
      </c>
      <c r="BL26">
        <f t="shared" si="15"/>
        <v>1</v>
      </c>
      <c r="BM26">
        <f t="shared" si="16"/>
        <v>0</v>
      </c>
      <c r="BN26">
        <f t="shared" si="17"/>
        <v>0</v>
      </c>
      <c r="BO26">
        <f t="shared" si="18"/>
        <v>0</v>
      </c>
      <c r="BP26">
        <f t="shared" si="19"/>
        <v>1</v>
      </c>
      <c r="BQ26">
        <f t="shared" si="20"/>
        <v>1</v>
      </c>
      <c r="BR26">
        <f t="shared" si="21"/>
        <v>1</v>
      </c>
      <c r="BS26">
        <f t="shared" si="22"/>
        <v>0</v>
      </c>
      <c r="BT26">
        <f t="shared" si="23"/>
        <v>0</v>
      </c>
      <c r="BU26">
        <f t="shared" si="24"/>
        <v>0</v>
      </c>
      <c r="BV26">
        <f t="shared" si="25"/>
        <v>0</v>
      </c>
      <c r="BW26">
        <f t="shared" si="26"/>
        <v>0</v>
      </c>
      <c r="BX26">
        <f t="shared" si="27"/>
        <v>0</v>
      </c>
      <c r="BY26">
        <f t="shared" si="28"/>
        <v>0</v>
      </c>
      <c r="BZ26">
        <f t="shared" si="29"/>
        <v>0</v>
      </c>
      <c r="CA26">
        <f t="shared" si="30"/>
        <v>0</v>
      </c>
      <c r="CB26">
        <f t="shared" si="31"/>
        <v>0</v>
      </c>
      <c r="CC26">
        <f t="shared" si="32"/>
        <v>1</v>
      </c>
      <c r="CD26">
        <f t="shared" si="33"/>
        <v>0</v>
      </c>
      <c r="CE26">
        <f t="shared" si="34"/>
        <v>0</v>
      </c>
      <c r="CF26">
        <f t="shared" si="35"/>
        <v>0</v>
      </c>
      <c r="CG26">
        <f t="shared" si="36"/>
        <v>0</v>
      </c>
      <c r="CH26">
        <f t="shared" si="37"/>
        <v>1</v>
      </c>
      <c r="CI26">
        <f t="shared" si="38"/>
        <v>0</v>
      </c>
      <c r="CJ26">
        <f t="shared" si="39"/>
        <v>4</v>
      </c>
      <c r="CK26">
        <f t="shared" si="40"/>
        <v>0</v>
      </c>
      <c r="CL26">
        <f t="shared" si="41"/>
        <v>5</v>
      </c>
    </row>
    <row r="27" spans="1:90">
      <c r="A27">
        <v>46</v>
      </c>
      <c r="B27">
        <v>0</v>
      </c>
      <c r="C27">
        <v>1</v>
      </c>
      <c r="D27">
        <v>0</v>
      </c>
      <c r="E27">
        <v>1</v>
      </c>
      <c r="F27" s="1">
        <v>6</v>
      </c>
      <c r="G27">
        <v>6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0.49275000000000002</v>
      </c>
      <c r="S27" s="1">
        <v>1.5113999999999999E-2</v>
      </c>
      <c r="T27">
        <v>0</v>
      </c>
      <c r="U27">
        <v>0</v>
      </c>
      <c r="V27">
        <v>0.10531200000000002</v>
      </c>
      <c r="W27">
        <v>3.449757</v>
      </c>
      <c r="X27">
        <v>3.1612320000000005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>
        <v>0</v>
      </c>
      <c r="AO27">
        <v>0</v>
      </c>
      <c r="AP27">
        <v>5</v>
      </c>
      <c r="AQ27">
        <v>0</v>
      </c>
      <c r="AR27">
        <v>5</v>
      </c>
      <c r="AS27">
        <f t="shared" si="0"/>
        <v>0</v>
      </c>
      <c r="AT27">
        <f t="shared" si="1"/>
        <v>7.2241650000000011</v>
      </c>
      <c r="AU27">
        <f t="shared" si="2"/>
        <v>0</v>
      </c>
      <c r="AV27">
        <f t="shared" si="3"/>
        <v>7.2241650000000011</v>
      </c>
      <c r="AW27">
        <f t="shared" si="42"/>
        <v>0.42439057050261986</v>
      </c>
      <c r="AX27">
        <f t="shared" si="43"/>
        <v>2.3563200257151489</v>
      </c>
      <c r="AY27">
        <f t="shared" si="4"/>
        <v>5</v>
      </c>
      <c r="AZ27">
        <f t="shared" si="5"/>
        <v>7.2241650000000011</v>
      </c>
      <c r="BA27">
        <f t="shared" si="44"/>
        <v>0.42439057050261986</v>
      </c>
      <c r="BB27">
        <f t="shared" si="45"/>
        <v>2.3563200257151489</v>
      </c>
      <c r="BC27">
        <f t="shared" si="6"/>
        <v>0</v>
      </c>
      <c r="BD27">
        <f t="shared" si="7"/>
        <v>0</v>
      </c>
      <c r="BE27">
        <f t="shared" si="8"/>
        <v>0</v>
      </c>
      <c r="BF27">
        <f t="shared" si="9"/>
        <v>0</v>
      </c>
      <c r="BG27">
        <f t="shared" si="10"/>
        <v>0</v>
      </c>
      <c r="BH27">
        <f t="shared" si="11"/>
        <v>0</v>
      </c>
      <c r="BI27">
        <f t="shared" si="12"/>
        <v>0</v>
      </c>
      <c r="BJ27">
        <f t="shared" si="13"/>
        <v>0</v>
      </c>
      <c r="BK27">
        <f t="shared" si="14"/>
        <v>0</v>
      </c>
      <c r="BL27">
        <f t="shared" si="15"/>
        <v>1</v>
      </c>
      <c r="BM27">
        <f t="shared" si="16"/>
        <v>1</v>
      </c>
      <c r="BN27">
        <f t="shared" si="17"/>
        <v>0</v>
      </c>
      <c r="BO27">
        <f t="shared" si="18"/>
        <v>0</v>
      </c>
      <c r="BP27">
        <f t="shared" si="19"/>
        <v>1</v>
      </c>
      <c r="BQ27">
        <f t="shared" si="20"/>
        <v>1</v>
      </c>
      <c r="BR27">
        <f t="shared" si="21"/>
        <v>1</v>
      </c>
      <c r="BS27">
        <f t="shared" si="22"/>
        <v>0</v>
      </c>
      <c r="BT27">
        <f t="shared" si="23"/>
        <v>0</v>
      </c>
      <c r="BU27">
        <f t="shared" si="24"/>
        <v>0</v>
      </c>
      <c r="BV27">
        <f t="shared" si="25"/>
        <v>0</v>
      </c>
      <c r="BW27">
        <f t="shared" si="26"/>
        <v>0</v>
      </c>
      <c r="BX27">
        <f t="shared" si="27"/>
        <v>0</v>
      </c>
      <c r="BY27">
        <f t="shared" si="28"/>
        <v>0</v>
      </c>
      <c r="BZ27">
        <f t="shared" si="29"/>
        <v>0</v>
      </c>
      <c r="CA27">
        <f t="shared" si="30"/>
        <v>0</v>
      </c>
      <c r="CB27">
        <f t="shared" si="31"/>
        <v>0</v>
      </c>
      <c r="CC27">
        <f t="shared" si="32"/>
        <v>0</v>
      </c>
      <c r="CD27">
        <f t="shared" si="33"/>
        <v>0</v>
      </c>
      <c r="CE27">
        <f t="shared" si="34"/>
        <v>0</v>
      </c>
      <c r="CF27">
        <f t="shared" si="35"/>
        <v>0</v>
      </c>
      <c r="CG27">
        <f t="shared" si="36"/>
        <v>0</v>
      </c>
      <c r="CH27">
        <f t="shared" si="37"/>
        <v>0</v>
      </c>
      <c r="CI27">
        <f t="shared" si="38"/>
        <v>0</v>
      </c>
      <c r="CJ27">
        <f t="shared" si="39"/>
        <v>5</v>
      </c>
      <c r="CK27">
        <f t="shared" si="40"/>
        <v>0</v>
      </c>
      <c r="CL27">
        <f t="shared" si="41"/>
        <v>5</v>
      </c>
    </row>
    <row r="28" spans="1:90">
      <c r="A28">
        <v>61</v>
      </c>
      <c r="B28">
        <v>0</v>
      </c>
      <c r="C28">
        <v>1</v>
      </c>
      <c r="D28">
        <v>0</v>
      </c>
      <c r="E28">
        <v>0</v>
      </c>
      <c r="F28" s="1">
        <v>6</v>
      </c>
      <c r="G28">
        <v>6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1.5525000000000002E-2</v>
      </c>
      <c r="R28">
        <v>0.10125000000000001</v>
      </c>
      <c r="S28" s="1">
        <v>7.5569999999999995E-3</v>
      </c>
      <c r="T28">
        <v>0</v>
      </c>
      <c r="U28">
        <v>0</v>
      </c>
      <c r="V28">
        <v>4.8268000000000005E-2</v>
      </c>
      <c r="W28">
        <v>2.9076629999999999</v>
      </c>
      <c r="X28">
        <v>2.52E-2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>
        <v>0</v>
      </c>
      <c r="AO28">
        <v>0</v>
      </c>
      <c r="AP28">
        <v>6</v>
      </c>
      <c r="AQ28">
        <v>0</v>
      </c>
      <c r="AR28">
        <v>6</v>
      </c>
      <c r="AS28">
        <f t="shared" si="0"/>
        <v>0</v>
      </c>
      <c r="AT28">
        <f t="shared" si="1"/>
        <v>3.1054629999999999</v>
      </c>
      <c r="AU28">
        <f t="shared" si="2"/>
        <v>0</v>
      </c>
      <c r="AV28">
        <f t="shared" si="3"/>
        <v>3.1054629999999999</v>
      </c>
      <c r="AW28">
        <f t="shared" si="42"/>
        <v>0.87806989574549288</v>
      </c>
      <c r="AX28">
        <f t="shared" si="43"/>
        <v>1.1388615016245225</v>
      </c>
      <c r="AY28">
        <f t="shared" si="4"/>
        <v>6</v>
      </c>
      <c r="AZ28">
        <f t="shared" si="5"/>
        <v>3.1054629999999999</v>
      </c>
      <c r="BA28">
        <f t="shared" si="44"/>
        <v>0.87806989574549288</v>
      </c>
      <c r="BB28">
        <f t="shared" si="45"/>
        <v>1.1388615016245225</v>
      </c>
      <c r="BC28">
        <f t="shared" si="6"/>
        <v>0</v>
      </c>
      <c r="BD28">
        <f t="shared" si="7"/>
        <v>0</v>
      </c>
      <c r="BE28">
        <f t="shared" si="8"/>
        <v>0</v>
      </c>
      <c r="BF28">
        <f t="shared" si="9"/>
        <v>0</v>
      </c>
      <c r="BG28">
        <f t="shared" si="10"/>
        <v>0</v>
      </c>
      <c r="BH28">
        <f t="shared" si="11"/>
        <v>0</v>
      </c>
      <c r="BI28">
        <f t="shared" si="12"/>
        <v>0</v>
      </c>
      <c r="BJ28">
        <f t="shared" si="13"/>
        <v>0</v>
      </c>
      <c r="BK28">
        <f t="shared" si="14"/>
        <v>1</v>
      </c>
      <c r="BL28">
        <f t="shared" si="15"/>
        <v>1</v>
      </c>
      <c r="BM28">
        <f t="shared" si="16"/>
        <v>1</v>
      </c>
      <c r="BN28">
        <f t="shared" si="17"/>
        <v>0</v>
      </c>
      <c r="BO28">
        <f t="shared" si="18"/>
        <v>0</v>
      </c>
      <c r="BP28">
        <f t="shared" si="19"/>
        <v>1</v>
      </c>
      <c r="BQ28">
        <f t="shared" si="20"/>
        <v>1</v>
      </c>
      <c r="BR28">
        <f t="shared" si="21"/>
        <v>1</v>
      </c>
      <c r="BS28">
        <f t="shared" si="22"/>
        <v>0</v>
      </c>
      <c r="BT28">
        <f t="shared" si="23"/>
        <v>0</v>
      </c>
      <c r="BU28">
        <f t="shared" si="24"/>
        <v>0</v>
      </c>
      <c r="BV28">
        <f t="shared" si="25"/>
        <v>0</v>
      </c>
      <c r="BW28">
        <f t="shared" si="26"/>
        <v>0</v>
      </c>
      <c r="BX28">
        <f t="shared" si="27"/>
        <v>0</v>
      </c>
      <c r="BY28">
        <f t="shared" si="28"/>
        <v>0</v>
      </c>
      <c r="BZ28">
        <f t="shared" si="29"/>
        <v>0</v>
      </c>
      <c r="CA28">
        <f t="shared" si="30"/>
        <v>0</v>
      </c>
      <c r="CB28">
        <f t="shared" si="31"/>
        <v>0</v>
      </c>
      <c r="CC28">
        <f t="shared" si="32"/>
        <v>0</v>
      </c>
      <c r="CD28">
        <f t="shared" si="33"/>
        <v>0</v>
      </c>
      <c r="CE28">
        <f t="shared" si="34"/>
        <v>0</v>
      </c>
      <c r="CF28">
        <f t="shared" si="35"/>
        <v>0</v>
      </c>
      <c r="CG28">
        <f t="shared" si="36"/>
        <v>0</v>
      </c>
      <c r="CH28">
        <f t="shared" si="37"/>
        <v>0</v>
      </c>
      <c r="CI28">
        <f t="shared" si="38"/>
        <v>0</v>
      </c>
      <c r="CJ28">
        <f t="shared" si="39"/>
        <v>6</v>
      </c>
      <c r="CK28">
        <f t="shared" si="40"/>
        <v>0</v>
      </c>
      <c r="CL28">
        <f t="shared" si="41"/>
        <v>6</v>
      </c>
    </row>
    <row r="29" spans="1:90">
      <c r="A29">
        <v>75</v>
      </c>
      <c r="B29">
        <v>0</v>
      </c>
      <c r="C29">
        <v>1</v>
      </c>
      <c r="D29">
        <v>0</v>
      </c>
      <c r="E29">
        <v>1</v>
      </c>
      <c r="F29" s="1">
        <v>6</v>
      </c>
      <c r="G29">
        <v>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1">
        <v>2.519E-3</v>
      </c>
      <c r="T29">
        <v>0</v>
      </c>
      <c r="U29">
        <v>0</v>
      </c>
      <c r="V29">
        <v>0.17990800000000001</v>
      </c>
      <c r="W29">
        <v>0.55583399999999994</v>
      </c>
      <c r="X29">
        <v>0.58081199999999999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>
        <v>0</v>
      </c>
      <c r="AO29">
        <v>0</v>
      </c>
      <c r="AP29">
        <v>4</v>
      </c>
      <c r="AQ29">
        <v>0</v>
      </c>
      <c r="AR29">
        <v>4</v>
      </c>
      <c r="AS29">
        <f t="shared" si="0"/>
        <v>0</v>
      </c>
      <c r="AT29">
        <f t="shared" si="1"/>
        <v>1.3190729999999999</v>
      </c>
      <c r="AU29">
        <f t="shared" si="2"/>
        <v>0</v>
      </c>
      <c r="AV29">
        <f t="shared" si="3"/>
        <v>1.3190729999999999</v>
      </c>
      <c r="AW29">
        <f t="shared" si="42"/>
        <v>0.39004905463439032</v>
      </c>
      <c r="AX29">
        <f t="shared" si="43"/>
        <v>2.5637800889873783</v>
      </c>
      <c r="AY29">
        <f t="shared" si="4"/>
        <v>4</v>
      </c>
      <c r="AZ29">
        <f t="shared" si="5"/>
        <v>1.3190729999999999</v>
      </c>
      <c r="BA29">
        <f t="shared" si="44"/>
        <v>0.39004905463439032</v>
      </c>
      <c r="BB29">
        <f t="shared" si="45"/>
        <v>2.5637800889873783</v>
      </c>
      <c r="BC29">
        <f t="shared" si="6"/>
        <v>0</v>
      </c>
      <c r="BD29">
        <f t="shared" si="7"/>
        <v>0</v>
      </c>
      <c r="BE29">
        <f t="shared" si="8"/>
        <v>0</v>
      </c>
      <c r="BF29">
        <f t="shared" si="9"/>
        <v>0</v>
      </c>
      <c r="BG29">
        <f t="shared" si="10"/>
        <v>0</v>
      </c>
      <c r="BH29">
        <f t="shared" si="11"/>
        <v>0</v>
      </c>
      <c r="BI29">
        <f t="shared" si="12"/>
        <v>0</v>
      </c>
      <c r="BJ29">
        <f t="shared" si="13"/>
        <v>0</v>
      </c>
      <c r="BK29">
        <f t="shared" si="14"/>
        <v>0</v>
      </c>
      <c r="BL29">
        <f t="shared" si="15"/>
        <v>0</v>
      </c>
      <c r="BM29">
        <f t="shared" si="16"/>
        <v>1</v>
      </c>
      <c r="BN29">
        <f t="shared" si="17"/>
        <v>0</v>
      </c>
      <c r="BO29">
        <f t="shared" si="18"/>
        <v>0</v>
      </c>
      <c r="BP29">
        <f t="shared" si="19"/>
        <v>1</v>
      </c>
      <c r="BQ29">
        <f t="shared" si="20"/>
        <v>1</v>
      </c>
      <c r="BR29">
        <f t="shared" si="21"/>
        <v>1</v>
      </c>
      <c r="BS29">
        <f t="shared" si="22"/>
        <v>0</v>
      </c>
      <c r="BT29">
        <f t="shared" si="23"/>
        <v>0</v>
      </c>
      <c r="BU29">
        <f t="shared" si="24"/>
        <v>0</v>
      </c>
      <c r="BV29">
        <f t="shared" si="25"/>
        <v>0</v>
      </c>
      <c r="BW29">
        <f t="shared" si="26"/>
        <v>0</v>
      </c>
      <c r="BX29">
        <f t="shared" si="27"/>
        <v>0</v>
      </c>
      <c r="BY29">
        <f t="shared" si="28"/>
        <v>0</v>
      </c>
      <c r="BZ29">
        <f t="shared" si="29"/>
        <v>0</v>
      </c>
      <c r="CA29">
        <f t="shared" si="30"/>
        <v>0</v>
      </c>
      <c r="CB29">
        <f t="shared" si="31"/>
        <v>0</v>
      </c>
      <c r="CC29">
        <f t="shared" si="32"/>
        <v>0</v>
      </c>
      <c r="CD29">
        <f t="shared" si="33"/>
        <v>0</v>
      </c>
      <c r="CE29">
        <f t="shared" si="34"/>
        <v>0</v>
      </c>
      <c r="CF29">
        <f t="shared" si="35"/>
        <v>0</v>
      </c>
      <c r="CG29">
        <f t="shared" si="36"/>
        <v>0</v>
      </c>
      <c r="CH29">
        <f t="shared" si="37"/>
        <v>0</v>
      </c>
      <c r="CI29">
        <f t="shared" si="38"/>
        <v>0</v>
      </c>
      <c r="CJ29">
        <f t="shared" si="39"/>
        <v>4</v>
      </c>
      <c r="CK29">
        <f t="shared" si="40"/>
        <v>0</v>
      </c>
      <c r="CL29">
        <f t="shared" si="41"/>
        <v>4</v>
      </c>
    </row>
    <row r="30" spans="1:90">
      <c r="A30">
        <v>28</v>
      </c>
      <c r="B30">
        <v>1</v>
      </c>
      <c r="C30">
        <v>1</v>
      </c>
      <c r="D30">
        <v>0</v>
      </c>
      <c r="E30">
        <v>0</v>
      </c>
      <c r="F30" s="1">
        <v>7</v>
      </c>
      <c r="G30">
        <v>6</v>
      </c>
      <c r="H30">
        <v>2</v>
      </c>
      <c r="I30">
        <v>1.1253914999999999</v>
      </c>
      <c r="J30">
        <v>2.434564</v>
      </c>
      <c r="K30">
        <v>0</v>
      </c>
      <c r="L30">
        <v>0</v>
      </c>
      <c r="M30">
        <v>0</v>
      </c>
      <c r="N30">
        <v>3.6091527999999995</v>
      </c>
      <c r="O30">
        <v>0</v>
      </c>
      <c r="P30">
        <v>0</v>
      </c>
      <c r="Q30">
        <v>0</v>
      </c>
      <c r="R30">
        <v>0.17550000000000002</v>
      </c>
      <c r="S30">
        <v>0</v>
      </c>
      <c r="T30">
        <v>0</v>
      </c>
      <c r="U30">
        <v>0</v>
      </c>
      <c r="V30">
        <v>0</v>
      </c>
      <c r="W30">
        <v>10.982189999999999</v>
      </c>
      <c r="X30">
        <v>0.110516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>
        <v>0</v>
      </c>
      <c r="AO30">
        <v>3</v>
      </c>
      <c r="AP30">
        <v>3</v>
      </c>
      <c r="AQ30">
        <v>0</v>
      </c>
      <c r="AR30">
        <v>6</v>
      </c>
      <c r="AS30">
        <f t="shared" si="0"/>
        <v>7.1691082999999995</v>
      </c>
      <c r="AT30">
        <f t="shared" si="1"/>
        <v>11.268205999999999</v>
      </c>
      <c r="AU30">
        <f t="shared" si="2"/>
        <v>0</v>
      </c>
      <c r="AV30">
        <f t="shared" si="3"/>
        <v>18.437314300000001</v>
      </c>
      <c r="AW30">
        <f t="shared" si="42"/>
        <v>0.41440653649893933</v>
      </c>
      <c r="AX30">
        <f t="shared" si="43"/>
        <v>2.4130893504923261</v>
      </c>
      <c r="AY30">
        <f t="shared" si="4"/>
        <v>6</v>
      </c>
      <c r="AZ30">
        <f t="shared" si="5"/>
        <v>18.437314300000001</v>
      </c>
      <c r="BA30">
        <f t="shared" si="44"/>
        <v>0.41440653649893933</v>
      </c>
      <c r="BB30">
        <f t="shared" si="45"/>
        <v>2.4130893504923261</v>
      </c>
      <c r="BC30">
        <f t="shared" si="6"/>
        <v>1</v>
      </c>
      <c r="BD30">
        <f t="shared" si="7"/>
        <v>1</v>
      </c>
      <c r="BE30">
        <f t="shared" si="8"/>
        <v>0</v>
      </c>
      <c r="BF30">
        <f t="shared" si="9"/>
        <v>0</v>
      </c>
      <c r="BG30">
        <f t="shared" si="10"/>
        <v>0</v>
      </c>
      <c r="BH30">
        <f t="shared" si="11"/>
        <v>1</v>
      </c>
      <c r="BI30">
        <f t="shared" si="12"/>
        <v>0</v>
      </c>
      <c r="BJ30">
        <f t="shared" si="13"/>
        <v>0</v>
      </c>
      <c r="BK30">
        <f t="shared" si="14"/>
        <v>0</v>
      </c>
      <c r="BL30">
        <f t="shared" si="15"/>
        <v>1</v>
      </c>
      <c r="BM30">
        <f t="shared" si="16"/>
        <v>0</v>
      </c>
      <c r="BN30">
        <f t="shared" si="17"/>
        <v>0</v>
      </c>
      <c r="BO30">
        <f t="shared" si="18"/>
        <v>0</v>
      </c>
      <c r="BP30">
        <f t="shared" si="19"/>
        <v>0</v>
      </c>
      <c r="BQ30">
        <f t="shared" si="20"/>
        <v>1</v>
      </c>
      <c r="BR30">
        <f t="shared" si="21"/>
        <v>1</v>
      </c>
      <c r="BS30">
        <f t="shared" si="22"/>
        <v>0</v>
      </c>
      <c r="BT30">
        <f t="shared" si="23"/>
        <v>0</v>
      </c>
      <c r="BU30">
        <f t="shared" si="24"/>
        <v>0</v>
      </c>
      <c r="BV30">
        <f t="shared" si="25"/>
        <v>0</v>
      </c>
      <c r="BW30">
        <f t="shared" si="26"/>
        <v>0</v>
      </c>
      <c r="BX30">
        <f t="shared" si="27"/>
        <v>0</v>
      </c>
      <c r="BY30">
        <f t="shared" si="28"/>
        <v>0</v>
      </c>
      <c r="BZ30">
        <f t="shared" si="29"/>
        <v>0</v>
      </c>
      <c r="CA30">
        <f t="shared" si="30"/>
        <v>0</v>
      </c>
      <c r="CB30">
        <f t="shared" si="31"/>
        <v>0</v>
      </c>
      <c r="CC30">
        <f t="shared" si="32"/>
        <v>0</v>
      </c>
      <c r="CD30">
        <f t="shared" si="33"/>
        <v>0</v>
      </c>
      <c r="CE30">
        <f t="shared" si="34"/>
        <v>0</v>
      </c>
      <c r="CF30">
        <f t="shared" si="35"/>
        <v>0</v>
      </c>
      <c r="CG30">
        <f t="shared" si="36"/>
        <v>0</v>
      </c>
      <c r="CH30">
        <f t="shared" si="37"/>
        <v>0</v>
      </c>
      <c r="CI30">
        <f t="shared" si="38"/>
        <v>3</v>
      </c>
      <c r="CJ30">
        <f t="shared" si="39"/>
        <v>3</v>
      </c>
      <c r="CK30">
        <f t="shared" si="40"/>
        <v>0</v>
      </c>
      <c r="CL30">
        <f t="shared" si="41"/>
        <v>6</v>
      </c>
    </row>
    <row r="31" spans="1:90">
      <c r="A31">
        <v>43</v>
      </c>
      <c r="B31">
        <v>1</v>
      </c>
      <c r="C31">
        <v>1</v>
      </c>
      <c r="D31">
        <v>0</v>
      </c>
      <c r="E31">
        <v>1</v>
      </c>
      <c r="F31" s="1">
        <v>7</v>
      </c>
      <c r="G31">
        <v>6</v>
      </c>
      <c r="H31">
        <v>2</v>
      </c>
      <c r="I31">
        <v>3.0808589999999998</v>
      </c>
      <c r="J31">
        <v>6.2800684999999996</v>
      </c>
      <c r="K31">
        <v>0</v>
      </c>
      <c r="L31">
        <v>0</v>
      </c>
      <c r="M31">
        <v>0</v>
      </c>
      <c r="N31">
        <v>3.0947642000000002</v>
      </c>
      <c r="O31">
        <v>0</v>
      </c>
      <c r="P31">
        <v>0</v>
      </c>
      <c r="Q31">
        <v>0</v>
      </c>
      <c r="R31">
        <v>0.42052500000000004</v>
      </c>
      <c r="S31">
        <v>0</v>
      </c>
      <c r="T31">
        <v>0</v>
      </c>
      <c r="U31">
        <v>0</v>
      </c>
      <c r="V31">
        <v>0</v>
      </c>
      <c r="W31">
        <v>17.589018000000003</v>
      </c>
      <c r="X31">
        <v>1.341869</v>
      </c>
      <c r="Y31">
        <v>0</v>
      </c>
      <c r="Z31">
        <v>0</v>
      </c>
      <c r="AA31">
        <v>0</v>
      </c>
      <c r="AB31">
        <v>0</v>
      </c>
      <c r="AC31">
        <v>0</v>
      </c>
      <c r="AD31" s="1">
        <v>1.848E-2</v>
      </c>
      <c r="AE31">
        <v>0</v>
      </c>
      <c r="AF31">
        <v>0</v>
      </c>
      <c r="AG31" s="2">
        <v>0</v>
      </c>
      <c r="AH31" s="2">
        <v>0</v>
      </c>
      <c r="AI31" s="2">
        <v>0</v>
      </c>
      <c r="AJ31" s="2">
        <v>7.8674999999999995E-2</v>
      </c>
      <c r="AK31" s="2">
        <v>0</v>
      </c>
      <c r="AL31" s="2">
        <v>0</v>
      </c>
      <c r="AM31" s="2">
        <v>0</v>
      </c>
      <c r="AN31">
        <v>1</v>
      </c>
      <c r="AO31">
        <v>3</v>
      </c>
      <c r="AP31">
        <v>3</v>
      </c>
      <c r="AQ31">
        <v>1</v>
      </c>
      <c r="AR31">
        <v>8</v>
      </c>
      <c r="AS31">
        <f t="shared" si="0"/>
        <v>12.455691699999999</v>
      </c>
      <c r="AT31">
        <f>SUM(R31:X31)</f>
        <v>19.351412000000003</v>
      </c>
      <c r="AU31">
        <f t="shared" si="2"/>
        <v>1.848E-2</v>
      </c>
      <c r="AV31">
        <f t="shared" si="3"/>
        <v>31.904258700000003</v>
      </c>
      <c r="AW31">
        <f>(I31/AV31)^2+(J31/AV31)^2+(K31/AV31)^2+(L31/AV31)^2+(M31/AV31)^2+(N31/AV31)^2+(O31/AV31)^2+(P31/AV31)^2+(R31/AV31)^2+(Q31/AV31)^2+(S31/AV31)^2+(T31/AV31)^2+(U31/AV31)^2+(V31/AV31)^2+(W31/AV31)^2+(X31/AV31)^2+(Y31/AV31)^2+(Z31/AV31)^2+(AA31/AV31)^2+(AB31/AV31)^2+(AC31/AV31)^2+(AD31/AV31)^2+(AE31/AV31)^2+(AF31/AV31)^2+(AG31/AV31)^2+(AH31/AV31)^2+(AI31/AV31)^2+(AJ31/AV31)^2+(AK31/AV31)^2+(AL31/AV31)^2</f>
        <v>0.36336840393773212</v>
      </c>
      <c r="AX31">
        <f t="shared" si="43"/>
        <v>2.7520279395876228</v>
      </c>
      <c r="AY31">
        <f t="shared" si="4"/>
        <v>7</v>
      </c>
      <c r="AZ31">
        <f t="shared" si="5"/>
        <v>31.825583700000003</v>
      </c>
      <c r="BA31">
        <f>(M31/AZ31)^2+(N31/AZ31)^2+(O31/AZ31)^2+(P31/AZ31)^2+(R31/AZ31)^2+(Q31/AZ31)^2+(S31/AZ31)^2+(T31/AZ31)^2+(U31/AZ31)^2+(V31/AZ31)^2+(W31/AZ31)^2+(X31/AZ31)^2+(Y31/AZ31)^2+(Z31/AZ31)^2+(AA31/AZ31)^2+(AB31/AZ31)^2+(AC31/AZ31)^2+(AD31/AZ31)^2+(AE31/AZ31)^2+(AF31/AZ31)^2+(I31/AZ31)^2+(J31/AZ31)^2+(K31/AZ31)^2+(L31/AZ31)^2</f>
        <v>0.36516105605249805</v>
      </c>
      <c r="BB31">
        <f t="shared" si="45"/>
        <v>2.7385176579624995</v>
      </c>
      <c r="BC31">
        <f t="shared" si="6"/>
        <v>1</v>
      </c>
      <c r="BD31">
        <f t="shared" si="7"/>
        <v>1</v>
      </c>
      <c r="BE31">
        <f t="shared" si="8"/>
        <v>0</v>
      </c>
      <c r="BF31">
        <f t="shared" si="9"/>
        <v>0</v>
      </c>
      <c r="BG31">
        <f t="shared" si="10"/>
        <v>0</v>
      </c>
      <c r="BH31">
        <f t="shared" si="11"/>
        <v>1</v>
      </c>
      <c r="BI31">
        <f t="shared" si="12"/>
        <v>0</v>
      </c>
      <c r="BJ31">
        <f t="shared" si="13"/>
        <v>0</v>
      </c>
      <c r="BK31">
        <f t="shared" si="14"/>
        <v>0</v>
      </c>
      <c r="BL31">
        <f t="shared" si="15"/>
        <v>1</v>
      </c>
      <c r="BM31">
        <f t="shared" si="16"/>
        <v>0</v>
      </c>
      <c r="BN31">
        <f t="shared" si="17"/>
        <v>0</v>
      </c>
      <c r="BO31">
        <f t="shared" si="18"/>
        <v>0</v>
      </c>
      <c r="BP31">
        <f t="shared" si="19"/>
        <v>0</v>
      </c>
      <c r="BQ31">
        <f t="shared" si="20"/>
        <v>1</v>
      </c>
      <c r="BR31">
        <f t="shared" si="21"/>
        <v>1</v>
      </c>
      <c r="BS31">
        <f t="shared" si="22"/>
        <v>0</v>
      </c>
      <c r="BT31">
        <f t="shared" si="23"/>
        <v>0</v>
      </c>
      <c r="BU31">
        <f t="shared" si="24"/>
        <v>0</v>
      </c>
      <c r="BV31">
        <f t="shared" si="25"/>
        <v>0</v>
      </c>
      <c r="BW31">
        <f t="shared" si="26"/>
        <v>0</v>
      </c>
      <c r="BX31">
        <f t="shared" si="27"/>
        <v>1</v>
      </c>
      <c r="BY31">
        <f t="shared" si="28"/>
        <v>0</v>
      </c>
      <c r="BZ31">
        <f t="shared" si="29"/>
        <v>0</v>
      </c>
      <c r="CA31">
        <f t="shared" si="30"/>
        <v>0</v>
      </c>
      <c r="CB31">
        <f t="shared" si="31"/>
        <v>0</v>
      </c>
      <c r="CC31">
        <f t="shared" si="32"/>
        <v>0</v>
      </c>
      <c r="CD31">
        <f t="shared" si="33"/>
        <v>1</v>
      </c>
      <c r="CE31">
        <f t="shared" si="34"/>
        <v>0</v>
      </c>
      <c r="CF31">
        <f t="shared" si="35"/>
        <v>0</v>
      </c>
      <c r="CG31">
        <f t="shared" si="36"/>
        <v>0</v>
      </c>
      <c r="CH31">
        <f t="shared" si="37"/>
        <v>1</v>
      </c>
      <c r="CI31">
        <f t="shared" si="38"/>
        <v>3</v>
      </c>
      <c r="CJ31">
        <f t="shared" si="39"/>
        <v>3</v>
      </c>
      <c r="CK31">
        <f t="shared" si="40"/>
        <v>1</v>
      </c>
      <c r="CL31">
        <f t="shared" si="41"/>
        <v>8</v>
      </c>
    </row>
    <row r="32" spans="1:90">
      <c r="A32">
        <v>81</v>
      </c>
      <c r="B32">
        <v>1</v>
      </c>
      <c r="C32">
        <v>1</v>
      </c>
      <c r="D32">
        <v>0</v>
      </c>
      <c r="E32">
        <v>0</v>
      </c>
      <c r="F32" s="1">
        <v>7</v>
      </c>
      <c r="G32">
        <v>6</v>
      </c>
      <c r="H32">
        <v>2</v>
      </c>
      <c r="I32">
        <v>1.181262</v>
      </c>
      <c r="J32">
        <v>3.3475254999999997</v>
      </c>
      <c r="K32">
        <v>0</v>
      </c>
      <c r="L32">
        <v>0</v>
      </c>
      <c r="M32">
        <v>0</v>
      </c>
      <c r="N32">
        <v>2.0491218</v>
      </c>
      <c r="O32">
        <v>0</v>
      </c>
      <c r="P32">
        <v>0</v>
      </c>
      <c r="Q32">
        <v>0</v>
      </c>
      <c r="R32">
        <v>4.1242500000000001E-2</v>
      </c>
      <c r="S32">
        <v>0</v>
      </c>
      <c r="T32">
        <v>0</v>
      </c>
      <c r="U32">
        <v>0</v>
      </c>
      <c r="V32">
        <v>0</v>
      </c>
      <c r="W32">
        <v>8.3656259999999989</v>
      </c>
      <c r="X32">
        <v>0.57825899999999997</v>
      </c>
      <c r="Y32">
        <v>0</v>
      </c>
      <c r="Z32">
        <v>0</v>
      </c>
      <c r="AA32">
        <v>0</v>
      </c>
      <c r="AB32">
        <v>0</v>
      </c>
      <c r="AC32">
        <v>0</v>
      </c>
      <c r="AD32" s="1">
        <v>6.1599999999999997E-3</v>
      </c>
      <c r="AE32">
        <v>0</v>
      </c>
      <c r="AF32">
        <v>0</v>
      </c>
      <c r="AG32" s="2">
        <v>0</v>
      </c>
      <c r="AH32" s="2">
        <v>0</v>
      </c>
      <c r="AI32" s="2">
        <v>0</v>
      </c>
      <c r="AJ32" s="2">
        <v>2.6224999999999998E-2</v>
      </c>
      <c r="AK32" s="2">
        <v>0</v>
      </c>
      <c r="AL32" s="2">
        <v>0</v>
      </c>
      <c r="AM32" s="2">
        <v>0</v>
      </c>
      <c r="AN32">
        <v>1</v>
      </c>
      <c r="AO32">
        <v>3</v>
      </c>
      <c r="AP32">
        <v>3</v>
      </c>
      <c r="AQ32">
        <v>1</v>
      </c>
      <c r="AR32">
        <v>8</v>
      </c>
      <c r="AS32">
        <f t="shared" si="0"/>
        <v>6.5779093</v>
      </c>
      <c r="AT32">
        <f t="shared" ref="AT32:AT63" si="46">SUM(Q32:X32)</f>
        <v>8.9851274999999973</v>
      </c>
      <c r="AU32">
        <f t="shared" si="2"/>
        <v>6.1599999999999997E-3</v>
      </c>
      <c r="AV32">
        <f t="shared" si="3"/>
        <v>15.595421799999999</v>
      </c>
      <c r="AW32">
        <f t="shared" ref="AW32:AW55" si="47">(I32/AV32)^2+(J32/AV32)^2+(K32/AV32)^2+(L32/AV32)^2+(M32/AV32)^2+(N32/AV32)^2+(O32/AV32)^2+(P32/AV32)^2+(Q32/AV32)^2+(R32/AV32)^2+(S32/AV32)^2+(T32/AV32)^2+(U32/AV32)^2+(V32/AV32)^2+(W32/AV32)^2+(X32/AV32)^2+(Y32/AV32)^2+(Z32/AV32)^2+(AA32/AV32)^2+(AB32/AV32)^2+(AC32/AV32)^2+(AD32/AV32)^2+(AE32/AV32)^2+(AF32/AV32)^2+(AG32/AV32)^2+(AH32/AV32)^2+(AI32/AV32)^2+(AJ32/AV32)^2+(AK32/AV32)^2+(AL32/AV32)^2</f>
        <v>0.35820132080662481</v>
      </c>
      <c r="AX32">
        <f t="shared" si="43"/>
        <v>2.7917261660234094</v>
      </c>
      <c r="AY32">
        <f t="shared" si="4"/>
        <v>7</v>
      </c>
      <c r="AZ32">
        <f t="shared" si="5"/>
        <v>15.569196799999999</v>
      </c>
      <c r="BA32">
        <f t="shared" ref="BA32:BA55" si="48">(M32/AZ32)^2+(N32/AZ32)^2+(O32/AZ32)^2+(P32/AZ32)^2+(Q32/AZ32)^2+(R32/AZ32)^2+(S32/AZ32)^2+(T32/AZ32)^2+(U32/AZ32)^2+(V32/AZ32)^2+(W32/AZ32)^2+(X32/AZ32)^2+(Y32/AZ32)^2+(Z32/AZ32)^2+(AA32/AZ32)^2+(AB32/AZ32)^2+(AC32/AZ32)^2+(AD32/AZ32)^2+(AE32/AZ32)^2+(AF32/AZ32)^2+(I32/AZ32)^2+(J32/AZ32)^2+(K32/AZ32)^2+(L32/AZ32)^2</f>
        <v>0.35940621973809633</v>
      </c>
      <c r="BB32">
        <f t="shared" si="45"/>
        <v>2.7823669849918349</v>
      </c>
      <c r="BC32">
        <f t="shared" si="6"/>
        <v>1</v>
      </c>
      <c r="BD32">
        <f t="shared" si="7"/>
        <v>1</v>
      </c>
      <c r="BE32">
        <f t="shared" si="8"/>
        <v>0</v>
      </c>
      <c r="BF32">
        <f t="shared" si="9"/>
        <v>0</v>
      </c>
      <c r="BG32">
        <f t="shared" si="10"/>
        <v>0</v>
      </c>
      <c r="BH32">
        <f t="shared" si="11"/>
        <v>1</v>
      </c>
      <c r="BI32">
        <f t="shared" si="12"/>
        <v>0</v>
      </c>
      <c r="BJ32">
        <f t="shared" si="13"/>
        <v>0</v>
      </c>
      <c r="BK32">
        <f t="shared" si="14"/>
        <v>0</v>
      </c>
      <c r="BL32">
        <f t="shared" si="15"/>
        <v>1</v>
      </c>
      <c r="BM32">
        <f t="shared" si="16"/>
        <v>0</v>
      </c>
      <c r="BN32">
        <f t="shared" si="17"/>
        <v>0</v>
      </c>
      <c r="BO32">
        <f t="shared" si="18"/>
        <v>0</v>
      </c>
      <c r="BP32">
        <f t="shared" si="19"/>
        <v>0</v>
      </c>
      <c r="BQ32">
        <f t="shared" si="20"/>
        <v>1</v>
      </c>
      <c r="BR32">
        <f t="shared" si="21"/>
        <v>1</v>
      </c>
      <c r="BS32">
        <f t="shared" si="22"/>
        <v>0</v>
      </c>
      <c r="BT32">
        <f t="shared" si="23"/>
        <v>0</v>
      </c>
      <c r="BU32">
        <f t="shared" si="24"/>
        <v>0</v>
      </c>
      <c r="BV32">
        <f t="shared" si="25"/>
        <v>0</v>
      </c>
      <c r="BW32">
        <f t="shared" si="26"/>
        <v>0</v>
      </c>
      <c r="BX32">
        <f t="shared" si="27"/>
        <v>1</v>
      </c>
      <c r="BY32">
        <f t="shared" si="28"/>
        <v>0</v>
      </c>
      <c r="BZ32">
        <f t="shared" si="29"/>
        <v>0</v>
      </c>
      <c r="CA32">
        <f t="shared" si="30"/>
        <v>0</v>
      </c>
      <c r="CB32">
        <f t="shared" si="31"/>
        <v>0</v>
      </c>
      <c r="CC32">
        <f t="shared" si="32"/>
        <v>0</v>
      </c>
      <c r="CD32">
        <f t="shared" si="33"/>
        <v>1</v>
      </c>
      <c r="CE32">
        <f t="shared" si="34"/>
        <v>0</v>
      </c>
      <c r="CF32">
        <f t="shared" si="35"/>
        <v>0</v>
      </c>
      <c r="CG32">
        <f t="shared" si="36"/>
        <v>0</v>
      </c>
      <c r="CH32">
        <f t="shared" si="37"/>
        <v>1</v>
      </c>
      <c r="CI32">
        <f t="shared" si="38"/>
        <v>3</v>
      </c>
      <c r="CJ32">
        <f t="shared" si="39"/>
        <v>3</v>
      </c>
      <c r="CK32">
        <f t="shared" si="40"/>
        <v>1</v>
      </c>
      <c r="CL32">
        <f t="shared" si="41"/>
        <v>8</v>
      </c>
    </row>
    <row r="33" spans="1:90">
      <c r="A33">
        <v>92</v>
      </c>
      <c r="B33">
        <v>1</v>
      </c>
      <c r="C33">
        <v>1</v>
      </c>
      <c r="D33">
        <v>0</v>
      </c>
      <c r="E33">
        <v>1</v>
      </c>
      <c r="F33" s="1">
        <v>7</v>
      </c>
      <c r="G33">
        <v>6</v>
      </c>
      <c r="H33">
        <v>2</v>
      </c>
      <c r="I33">
        <v>1.3967624999999999</v>
      </c>
      <c r="J33">
        <v>0.74696850000000004</v>
      </c>
      <c r="K33">
        <v>0</v>
      </c>
      <c r="L33">
        <v>0</v>
      </c>
      <c r="M33">
        <v>0</v>
      </c>
      <c r="N33">
        <v>3.0863315999999998</v>
      </c>
      <c r="O33">
        <v>0</v>
      </c>
      <c r="P33">
        <v>0</v>
      </c>
      <c r="Q33">
        <v>0</v>
      </c>
      <c r="R33">
        <v>8.7750000000000009E-2</v>
      </c>
      <c r="S33">
        <v>0</v>
      </c>
      <c r="T33">
        <v>0</v>
      </c>
      <c r="U33">
        <v>0</v>
      </c>
      <c r="V33">
        <v>0</v>
      </c>
      <c r="W33">
        <v>14.420810999999999</v>
      </c>
      <c r="X33">
        <v>0.43790700000000005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2">
        <v>0</v>
      </c>
      <c r="AH33" s="2">
        <v>0</v>
      </c>
      <c r="AI33" s="2">
        <v>0</v>
      </c>
      <c r="AJ33" s="2">
        <v>0.23602499999999998</v>
      </c>
      <c r="AK33" s="2">
        <v>0</v>
      </c>
      <c r="AL33" s="2">
        <v>0</v>
      </c>
      <c r="AM33" s="2">
        <v>0</v>
      </c>
      <c r="AN33">
        <v>1</v>
      </c>
      <c r="AO33">
        <v>3</v>
      </c>
      <c r="AP33">
        <v>3</v>
      </c>
      <c r="AQ33">
        <v>0</v>
      </c>
      <c r="AR33">
        <v>7</v>
      </c>
      <c r="AS33">
        <f t="shared" si="0"/>
        <v>5.2300626000000001</v>
      </c>
      <c r="AT33">
        <f t="shared" si="46"/>
        <v>14.946467999999999</v>
      </c>
      <c r="AU33">
        <f t="shared" si="2"/>
        <v>0</v>
      </c>
      <c r="AV33">
        <f t="shared" si="3"/>
        <v>20.412555599999997</v>
      </c>
      <c r="AW33">
        <f t="shared" si="47"/>
        <v>0.52859103857039746</v>
      </c>
      <c r="AX33">
        <f t="shared" si="43"/>
        <v>1.8918217053103152</v>
      </c>
      <c r="AY33">
        <f t="shared" si="4"/>
        <v>6</v>
      </c>
      <c r="AZ33">
        <f t="shared" si="5"/>
        <v>20.176530599999996</v>
      </c>
      <c r="BA33">
        <f t="shared" si="48"/>
        <v>0.54089344254650074</v>
      </c>
      <c r="BB33">
        <f t="shared" si="45"/>
        <v>1.8487929809095989</v>
      </c>
      <c r="BC33">
        <f t="shared" si="6"/>
        <v>1</v>
      </c>
      <c r="BD33">
        <f t="shared" si="7"/>
        <v>1</v>
      </c>
      <c r="BE33">
        <f t="shared" si="8"/>
        <v>0</v>
      </c>
      <c r="BF33">
        <f t="shared" si="9"/>
        <v>0</v>
      </c>
      <c r="BG33">
        <f t="shared" si="10"/>
        <v>0</v>
      </c>
      <c r="BH33">
        <f t="shared" si="11"/>
        <v>1</v>
      </c>
      <c r="BI33">
        <f t="shared" si="12"/>
        <v>0</v>
      </c>
      <c r="BJ33">
        <f t="shared" si="13"/>
        <v>0</v>
      </c>
      <c r="BK33">
        <f t="shared" si="14"/>
        <v>0</v>
      </c>
      <c r="BL33">
        <f t="shared" si="15"/>
        <v>1</v>
      </c>
      <c r="BM33">
        <f t="shared" si="16"/>
        <v>0</v>
      </c>
      <c r="BN33">
        <f t="shared" si="17"/>
        <v>0</v>
      </c>
      <c r="BO33">
        <f t="shared" si="18"/>
        <v>0</v>
      </c>
      <c r="BP33">
        <f t="shared" si="19"/>
        <v>0</v>
      </c>
      <c r="BQ33">
        <f t="shared" si="20"/>
        <v>1</v>
      </c>
      <c r="BR33">
        <f t="shared" si="21"/>
        <v>1</v>
      </c>
      <c r="BS33">
        <f t="shared" si="22"/>
        <v>0</v>
      </c>
      <c r="BT33">
        <f t="shared" si="23"/>
        <v>0</v>
      </c>
      <c r="BU33">
        <f t="shared" si="24"/>
        <v>0</v>
      </c>
      <c r="BV33">
        <f t="shared" si="25"/>
        <v>0</v>
      </c>
      <c r="BW33">
        <f t="shared" si="26"/>
        <v>0</v>
      </c>
      <c r="BX33">
        <f t="shared" si="27"/>
        <v>0</v>
      </c>
      <c r="BY33">
        <f t="shared" si="28"/>
        <v>0</v>
      </c>
      <c r="BZ33">
        <f t="shared" si="29"/>
        <v>0</v>
      </c>
      <c r="CA33">
        <f t="shared" si="30"/>
        <v>0</v>
      </c>
      <c r="CB33">
        <f t="shared" si="31"/>
        <v>0</v>
      </c>
      <c r="CC33">
        <f t="shared" si="32"/>
        <v>0</v>
      </c>
      <c r="CD33">
        <f t="shared" si="33"/>
        <v>1</v>
      </c>
      <c r="CE33">
        <f t="shared" si="34"/>
        <v>0</v>
      </c>
      <c r="CF33">
        <f t="shared" si="35"/>
        <v>0</v>
      </c>
      <c r="CG33">
        <f t="shared" si="36"/>
        <v>0</v>
      </c>
      <c r="CH33">
        <f t="shared" si="37"/>
        <v>1</v>
      </c>
      <c r="CI33">
        <f t="shared" si="38"/>
        <v>3</v>
      </c>
      <c r="CJ33">
        <f t="shared" si="39"/>
        <v>3</v>
      </c>
      <c r="CK33">
        <f t="shared" si="40"/>
        <v>0</v>
      </c>
      <c r="CL33">
        <f t="shared" si="41"/>
        <v>7</v>
      </c>
    </row>
    <row r="34" spans="1:90">
      <c r="A34">
        <v>5</v>
      </c>
      <c r="B34">
        <v>1</v>
      </c>
      <c r="C34">
        <v>1</v>
      </c>
      <c r="D34">
        <v>0</v>
      </c>
      <c r="E34">
        <v>0</v>
      </c>
      <c r="F34" s="1">
        <v>8</v>
      </c>
      <c r="G34">
        <v>6</v>
      </c>
      <c r="H34">
        <v>2</v>
      </c>
      <c r="I34">
        <v>2.2316273999999998</v>
      </c>
      <c r="J34">
        <v>0</v>
      </c>
      <c r="K34">
        <v>0</v>
      </c>
      <c r="L34">
        <v>0</v>
      </c>
      <c r="M34">
        <v>0</v>
      </c>
      <c r="N34">
        <v>5.3294031999999998</v>
      </c>
      <c r="O34">
        <v>0</v>
      </c>
      <c r="P34">
        <v>0</v>
      </c>
      <c r="Q34">
        <v>0.32805000000000006</v>
      </c>
      <c r="R34">
        <v>0</v>
      </c>
      <c r="S34">
        <v>0</v>
      </c>
      <c r="T34">
        <v>0.43200666666666665</v>
      </c>
      <c r="U34" s="1">
        <v>1.6E-2</v>
      </c>
      <c r="V34">
        <v>0</v>
      </c>
      <c r="W34">
        <v>3.7006619999999999</v>
      </c>
      <c r="X34">
        <v>0</v>
      </c>
      <c r="Y34" s="1">
        <v>1.5299999999999999E-2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2">
        <v>1.3584000000000001E-2</v>
      </c>
      <c r="AH34" s="2">
        <v>0</v>
      </c>
      <c r="AI34" s="2">
        <v>2.8152E-2</v>
      </c>
      <c r="AJ34" s="2">
        <v>0</v>
      </c>
      <c r="AK34" s="2">
        <v>0</v>
      </c>
      <c r="AL34" s="2">
        <v>0</v>
      </c>
      <c r="AM34" s="2">
        <v>0</v>
      </c>
      <c r="AN34">
        <v>2</v>
      </c>
      <c r="AO34">
        <v>2</v>
      </c>
      <c r="AP34">
        <v>4</v>
      </c>
      <c r="AQ34">
        <v>1</v>
      </c>
      <c r="AR34">
        <v>9</v>
      </c>
      <c r="AS34">
        <f t="shared" ref="AS34:AS55" si="49">SUM(I34:P34)</f>
        <v>7.5610305999999996</v>
      </c>
      <c r="AT34">
        <f t="shared" si="46"/>
        <v>4.4767186666666667</v>
      </c>
      <c r="AU34">
        <f t="shared" ref="AU34:AU65" si="50">SUM(Y34:AF34)</f>
        <v>1.5299999999999999E-2</v>
      </c>
      <c r="AV34">
        <f t="shared" ref="AV34:AV55" si="51">SUM(I34:AL34)</f>
        <v>12.094785266666666</v>
      </c>
      <c r="AW34">
        <f t="shared" si="47"/>
        <v>0.32384517182858708</v>
      </c>
      <c r="AX34">
        <f t="shared" si="43"/>
        <v>3.0878953493532557</v>
      </c>
      <c r="AY34">
        <f t="shared" ref="AY34:AY65" si="52">AO34+AP34+AQ34</f>
        <v>7</v>
      </c>
      <c r="AZ34">
        <f t="shared" ref="AZ34:AZ55" si="53">SUM(I34:AF34)</f>
        <v>12.053049266666665</v>
      </c>
      <c r="BA34">
        <f t="shared" si="48"/>
        <v>0.32608508158282457</v>
      </c>
      <c r="BB34">
        <f t="shared" si="45"/>
        <v>3.0666842995269112</v>
      </c>
      <c r="BC34">
        <f t="shared" ref="BC34:BC55" si="54">IF(I34=0,0,1)</f>
        <v>1</v>
      </c>
      <c r="BD34">
        <f t="shared" ref="BD34:BD55" si="55">IF(J34=0,0,1)</f>
        <v>0</v>
      </c>
      <c r="BE34">
        <f t="shared" ref="BE34:BE55" si="56">IF(K34=0,0,1)</f>
        <v>0</v>
      </c>
      <c r="BF34">
        <f t="shared" ref="BF34:BF55" si="57">IF(L34=0,0,1)</f>
        <v>0</v>
      </c>
      <c r="BG34">
        <f t="shared" ref="BG34:BG55" si="58">IF(M34=0,0,1)</f>
        <v>0</v>
      </c>
      <c r="BH34">
        <f t="shared" ref="BH34:BH55" si="59">IF(N34=0,0,1)</f>
        <v>1</v>
      </c>
      <c r="BI34">
        <f t="shared" ref="BI34:BI55" si="60">IF(O34=0,0,1)</f>
        <v>0</v>
      </c>
      <c r="BJ34">
        <f t="shared" ref="BJ34:BJ55" si="61">IF(P34=0,0,1)</f>
        <v>0</v>
      </c>
      <c r="BK34">
        <f t="shared" ref="BK34:BK55" si="62">IF(Q34=0,0,1)</f>
        <v>1</v>
      </c>
      <c r="BL34">
        <f t="shared" ref="BL34:BL55" si="63">IF(R34=0,0,1)</f>
        <v>0</v>
      </c>
      <c r="BM34">
        <f t="shared" ref="BM34:BM55" si="64">IF(S34=0,0,1)</f>
        <v>0</v>
      </c>
      <c r="BN34">
        <f t="shared" ref="BN34:BN55" si="65">IF(T34=0,0,1)</f>
        <v>1</v>
      </c>
      <c r="BO34">
        <f t="shared" ref="BO34:BO55" si="66">IF(U34=0,0,1)</f>
        <v>1</v>
      </c>
      <c r="BP34">
        <f t="shared" ref="BP34:BP55" si="67">IF(V34=0,0,1)</f>
        <v>0</v>
      </c>
      <c r="BQ34">
        <f t="shared" ref="BQ34:BQ55" si="68">IF(W34=0,0,1)</f>
        <v>1</v>
      </c>
      <c r="BR34">
        <f t="shared" ref="BR34:BR55" si="69">IF(X34=0,0,1)</f>
        <v>0</v>
      </c>
      <c r="BS34">
        <f t="shared" ref="BS34:BS55" si="70">IF(Y34=0,0,1)</f>
        <v>1</v>
      </c>
      <c r="BT34">
        <f t="shared" ref="BT34:BT55" si="71">IF(Z34=0,0,1)</f>
        <v>0</v>
      </c>
      <c r="BU34">
        <f t="shared" ref="BU34:BU55" si="72">IF(AA34=0,0,1)</f>
        <v>0</v>
      </c>
      <c r="BV34">
        <f t="shared" ref="BV34:BV55" si="73">IF(AB34=0,0,1)</f>
        <v>0</v>
      </c>
      <c r="BW34">
        <f t="shared" ref="BW34:BW55" si="74">IF(AC34=0,0,1)</f>
        <v>0</v>
      </c>
      <c r="BX34">
        <f t="shared" ref="BX34:BX55" si="75">IF(AD34=0,0,1)</f>
        <v>0</v>
      </c>
      <c r="BY34">
        <f t="shared" ref="BY34:BY55" si="76">IF(AE34=0,0,1)</f>
        <v>0</v>
      </c>
      <c r="BZ34">
        <f t="shared" ref="BZ34:BZ55" si="77">IF(AF34=0,0,1)</f>
        <v>0</v>
      </c>
      <c r="CA34">
        <f t="shared" ref="CA34:CA55" si="78">IF(AG34=0,0,1)</f>
        <v>1</v>
      </c>
      <c r="CB34">
        <f t="shared" ref="CB34:CB55" si="79">IF(AH34=0,0,1)</f>
        <v>0</v>
      </c>
      <c r="CC34">
        <f t="shared" ref="CC34:CC55" si="80">IF(AI34=0,0,1)</f>
        <v>1</v>
      </c>
      <c r="CD34">
        <f t="shared" ref="CD34:CD55" si="81">IF(AJ34=0,0,1)</f>
        <v>0</v>
      </c>
      <c r="CE34">
        <f t="shared" ref="CE34:CE55" si="82">IF(AK34=0,0,1)</f>
        <v>0</v>
      </c>
      <c r="CF34">
        <f t="shared" ref="CF34:CF55" si="83">IF(AL34=0,0,1)</f>
        <v>0</v>
      </c>
      <c r="CG34">
        <f t="shared" ref="CG34:CG55" si="84">IF(AM34=0,0,1)</f>
        <v>0</v>
      </c>
      <c r="CH34">
        <f t="shared" ref="CH34:CH65" si="85">CA34+CB34+CC34+CD34+CE34+CF34+CG34</f>
        <v>2</v>
      </c>
      <c r="CI34">
        <f t="shared" ref="CI34:CI65" si="86">SUM(BC34:BJ34)</f>
        <v>2</v>
      </c>
      <c r="CJ34">
        <f t="shared" ref="CJ34:CJ65" si="87">SUM(BK34:BR34)</f>
        <v>4</v>
      </c>
      <c r="CK34">
        <f t="shared" ref="CK34:CK65" si="88">SUM(BS34:BZ34)</f>
        <v>1</v>
      </c>
      <c r="CL34">
        <f t="shared" ref="CL34:CL65" si="89">SUM(CH34:CK34)</f>
        <v>9</v>
      </c>
    </row>
    <row r="35" spans="1:90">
      <c r="A35">
        <v>35</v>
      </c>
      <c r="B35">
        <v>1</v>
      </c>
      <c r="C35">
        <v>1</v>
      </c>
      <c r="D35">
        <v>0</v>
      </c>
      <c r="E35">
        <v>1</v>
      </c>
      <c r="F35" s="1">
        <v>8</v>
      </c>
      <c r="G35">
        <v>6</v>
      </c>
      <c r="H35">
        <v>2</v>
      </c>
      <c r="I35">
        <v>1.3009845</v>
      </c>
      <c r="J35">
        <v>0</v>
      </c>
      <c r="K35">
        <v>0</v>
      </c>
      <c r="L35">
        <v>0</v>
      </c>
      <c r="M35">
        <v>0</v>
      </c>
      <c r="N35">
        <v>2.3020998000000001</v>
      </c>
      <c r="O35">
        <v>0</v>
      </c>
      <c r="P35">
        <v>0</v>
      </c>
      <c r="Q35">
        <v>1.3500000000000002E-2</v>
      </c>
      <c r="R35">
        <v>0</v>
      </c>
      <c r="S35">
        <v>0</v>
      </c>
      <c r="T35">
        <v>0.22703999999999999</v>
      </c>
      <c r="U35">
        <v>0</v>
      </c>
      <c r="V35">
        <v>0</v>
      </c>
      <c r="W35">
        <v>7.5490950000000003</v>
      </c>
      <c r="X35">
        <v>0.14960400000000001</v>
      </c>
      <c r="Y35" s="1">
        <v>1.5299999999999999E-2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>
        <v>0</v>
      </c>
      <c r="AO35">
        <v>2</v>
      </c>
      <c r="AP35">
        <v>4</v>
      </c>
      <c r="AQ35">
        <v>1</v>
      </c>
      <c r="AR35">
        <v>7</v>
      </c>
      <c r="AS35">
        <f t="shared" si="49"/>
        <v>3.6030842999999999</v>
      </c>
      <c r="AT35">
        <f t="shared" si="46"/>
        <v>7.9392390000000006</v>
      </c>
      <c r="AU35">
        <f t="shared" si="50"/>
        <v>1.5299999999999999E-2</v>
      </c>
      <c r="AV35">
        <f t="shared" si="51"/>
        <v>11.557623299999999</v>
      </c>
      <c r="AW35">
        <f t="shared" si="47"/>
        <v>0.47953322850130198</v>
      </c>
      <c r="AX35">
        <f t="shared" si="43"/>
        <v>2.0853612232990124</v>
      </c>
      <c r="AY35">
        <f t="shared" si="52"/>
        <v>7</v>
      </c>
      <c r="AZ35">
        <f t="shared" si="53"/>
        <v>11.557623299999999</v>
      </c>
      <c r="BA35">
        <f t="shared" si="48"/>
        <v>0.47953322850130198</v>
      </c>
      <c r="BB35">
        <f t="shared" si="45"/>
        <v>2.0853612232990124</v>
      </c>
      <c r="BC35">
        <f t="shared" si="54"/>
        <v>1</v>
      </c>
      <c r="BD35">
        <f t="shared" si="55"/>
        <v>0</v>
      </c>
      <c r="BE35">
        <f t="shared" si="56"/>
        <v>0</v>
      </c>
      <c r="BF35">
        <f t="shared" si="57"/>
        <v>0</v>
      </c>
      <c r="BG35">
        <f t="shared" si="58"/>
        <v>0</v>
      </c>
      <c r="BH35">
        <f t="shared" si="59"/>
        <v>1</v>
      </c>
      <c r="BI35">
        <f t="shared" si="60"/>
        <v>0</v>
      </c>
      <c r="BJ35">
        <f t="shared" si="61"/>
        <v>0</v>
      </c>
      <c r="BK35">
        <f t="shared" si="62"/>
        <v>1</v>
      </c>
      <c r="BL35">
        <f t="shared" si="63"/>
        <v>0</v>
      </c>
      <c r="BM35">
        <f t="shared" si="64"/>
        <v>0</v>
      </c>
      <c r="BN35">
        <f t="shared" si="65"/>
        <v>1</v>
      </c>
      <c r="BO35">
        <f t="shared" si="66"/>
        <v>0</v>
      </c>
      <c r="BP35">
        <f t="shared" si="67"/>
        <v>0</v>
      </c>
      <c r="BQ35">
        <f t="shared" si="68"/>
        <v>1</v>
      </c>
      <c r="BR35">
        <f t="shared" si="69"/>
        <v>1</v>
      </c>
      <c r="BS35">
        <f t="shared" si="70"/>
        <v>1</v>
      </c>
      <c r="BT35">
        <f t="shared" si="71"/>
        <v>0</v>
      </c>
      <c r="BU35">
        <f t="shared" si="72"/>
        <v>0</v>
      </c>
      <c r="BV35">
        <f t="shared" si="73"/>
        <v>0</v>
      </c>
      <c r="BW35">
        <f t="shared" si="74"/>
        <v>0</v>
      </c>
      <c r="BX35">
        <f t="shared" si="75"/>
        <v>0</v>
      </c>
      <c r="BY35">
        <f t="shared" si="76"/>
        <v>0</v>
      </c>
      <c r="BZ35">
        <f t="shared" si="77"/>
        <v>0</v>
      </c>
      <c r="CA35">
        <f t="shared" si="78"/>
        <v>0</v>
      </c>
      <c r="CB35">
        <f t="shared" si="79"/>
        <v>0</v>
      </c>
      <c r="CC35">
        <f t="shared" si="80"/>
        <v>0</v>
      </c>
      <c r="CD35">
        <f t="shared" si="81"/>
        <v>0</v>
      </c>
      <c r="CE35">
        <f t="shared" si="82"/>
        <v>0</v>
      </c>
      <c r="CF35">
        <f t="shared" si="83"/>
        <v>0</v>
      </c>
      <c r="CG35">
        <f t="shared" si="84"/>
        <v>0</v>
      </c>
      <c r="CH35">
        <f t="shared" si="85"/>
        <v>0</v>
      </c>
      <c r="CI35">
        <f t="shared" si="86"/>
        <v>2</v>
      </c>
      <c r="CJ35">
        <f t="shared" si="87"/>
        <v>4</v>
      </c>
      <c r="CK35">
        <f t="shared" si="88"/>
        <v>1</v>
      </c>
      <c r="CL35">
        <f t="shared" si="89"/>
        <v>7</v>
      </c>
    </row>
    <row r="36" spans="1:90">
      <c r="A36">
        <v>68</v>
      </c>
      <c r="B36">
        <v>1</v>
      </c>
      <c r="C36">
        <v>1</v>
      </c>
      <c r="D36">
        <v>0</v>
      </c>
      <c r="E36">
        <v>0</v>
      </c>
      <c r="F36" s="1">
        <v>8</v>
      </c>
      <c r="G36">
        <v>6</v>
      </c>
      <c r="H36">
        <v>2</v>
      </c>
      <c r="I36">
        <v>2.4343575</v>
      </c>
      <c r="J36">
        <v>0</v>
      </c>
      <c r="K36">
        <v>0</v>
      </c>
      <c r="L36">
        <v>0</v>
      </c>
      <c r="M36">
        <v>0</v>
      </c>
      <c r="N36">
        <v>6.8725689999999995</v>
      </c>
      <c r="O36">
        <v>0</v>
      </c>
      <c r="P36">
        <v>0</v>
      </c>
      <c r="Q36">
        <v>0</v>
      </c>
      <c r="R36">
        <v>0</v>
      </c>
      <c r="S36">
        <v>0</v>
      </c>
      <c r="T36">
        <v>0.42254666666666663</v>
      </c>
      <c r="U36">
        <v>0</v>
      </c>
      <c r="V36">
        <v>0</v>
      </c>
      <c r="W36">
        <v>2.20146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s="1">
        <v>7.6999999999999994E-3</v>
      </c>
      <c r="AE36">
        <v>0</v>
      </c>
      <c r="AF36">
        <v>0</v>
      </c>
      <c r="AG36" s="2">
        <v>0</v>
      </c>
      <c r="AH36" s="2">
        <v>0</v>
      </c>
      <c r="AI36" s="2">
        <v>0</v>
      </c>
      <c r="AJ36" s="2">
        <v>0.13112499999999999</v>
      </c>
      <c r="AK36" s="2">
        <v>7.6790000000000011E-2</v>
      </c>
      <c r="AL36" s="2">
        <v>0</v>
      </c>
      <c r="AM36" s="2">
        <v>0</v>
      </c>
      <c r="AN36">
        <v>2</v>
      </c>
      <c r="AO36">
        <v>2</v>
      </c>
      <c r="AP36">
        <v>2</v>
      </c>
      <c r="AQ36">
        <v>1</v>
      </c>
      <c r="AR36">
        <v>7</v>
      </c>
      <c r="AS36">
        <f t="shared" si="49"/>
        <v>9.3069264999999994</v>
      </c>
      <c r="AT36">
        <f t="shared" si="46"/>
        <v>2.6240066666666664</v>
      </c>
      <c r="AU36">
        <f t="shared" si="50"/>
        <v>7.6999999999999994E-3</v>
      </c>
      <c r="AV36">
        <f t="shared" si="51"/>
        <v>12.146548166666667</v>
      </c>
      <c r="AW36">
        <f t="shared" si="47"/>
        <v>0.39451648521686394</v>
      </c>
      <c r="AX36">
        <f t="shared" ref="AX36:AX67" si="90">1/AW36</f>
        <v>2.5347483247760976</v>
      </c>
      <c r="AY36">
        <f t="shared" si="52"/>
        <v>5</v>
      </c>
      <c r="AZ36">
        <f t="shared" si="53"/>
        <v>11.938633166666666</v>
      </c>
      <c r="BA36">
        <f t="shared" si="48"/>
        <v>0.40821539007295299</v>
      </c>
      <c r="BB36">
        <f t="shared" ref="BB36:BB67" si="91">1/BA36</f>
        <v>2.4496871610384114</v>
      </c>
      <c r="BC36">
        <f t="shared" si="54"/>
        <v>1</v>
      </c>
      <c r="BD36">
        <f t="shared" si="55"/>
        <v>0</v>
      </c>
      <c r="BE36">
        <f t="shared" si="56"/>
        <v>0</v>
      </c>
      <c r="BF36">
        <f t="shared" si="57"/>
        <v>0</v>
      </c>
      <c r="BG36">
        <f t="shared" si="58"/>
        <v>0</v>
      </c>
      <c r="BH36">
        <f t="shared" si="59"/>
        <v>1</v>
      </c>
      <c r="BI36">
        <f t="shared" si="60"/>
        <v>0</v>
      </c>
      <c r="BJ36">
        <f t="shared" si="61"/>
        <v>0</v>
      </c>
      <c r="BK36">
        <f t="shared" si="62"/>
        <v>0</v>
      </c>
      <c r="BL36">
        <f t="shared" si="63"/>
        <v>0</v>
      </c>
      <c r="BM36">
        <f t="shared" si="64"/>
        <v>0</v>
      </c>
      <c r="BN36">
        <f t="shared" si="65"/>
        <v>1</v>
      </c>
      <c r="BO36">
        <f t="shared" si="66"/>
        <v>0</v>
      </c>
      <c r="BP36">
        <f t="shared" si="67"/>
        <v>0</v>
      </c>
      <c r="BQ36">
        <f t="shared" si="68"/>
        <v>1</v>
      </c>
      <c r="BR36">
        <f t="shared" si="69"/>
        <v>0</v>
      </c>
      <c r="BS36">
        <f t="shared" si="70"/>
        <v>0</v>
      </c>
      <c r="BT36">
        <f t="shared" si="71"/>
        <v>0</v>
      </c>
      <c r="BU36">
        <f t="shared" si="72"/>
        <v>0</v>
      </c>
      <c r="BV36">
        <f t="shared" si="73"/>
        <v>0</v>
      </c>
      <c r="BW36">
        <f t="shared" si="74"/>
        <v>0</v>
      </c>
      <c r="BX36">
        <f t="shared" si="75"/>
        <v>1</v>
      </c>
      <c r="BY36">
        <f t="shared" si="76"/>
        <v>0</v>
      </c>
      <c r="BZ36">
        <f t="shared" si="77"/>
        <v>0</v>
      </c>
      <c r="CA36">
        <f t="shared" si="78"/>
        <v>0</v>
      </c>
      <c r="CB36">
        <f t="shared" si="79"/>
        <v>0</v>
      </c>
      <c r="CC36">
        <f t="shared" si="80"/>
        <v>0</v>
      </c>
      <c r="CD36">
        <f t="shared" si="81"/>
        <v>1</v>
      </c>
      <c r="CE36">
        <f t="shared" si="82"/>
        <v>1</v>
      </c>
      <c r="CF36">
        <f t="shared" si="83"/>
        <v>0</v>
      </c>
      <c r="CG36">
        <f t="shared" si="84"/>
        <v>0</v>
      </c>
      <c r="CH36">
        <f t="shared" si="85"/>
        <v>2</v>
      </c>
      <c r="CI36">
        <f t="shared" si="86"/>
        <v>2</v>
      </c>
      <c r="CJ36">
        <f t="shared" si="87"/>
        <v>2</v>
      </c>
      <c r="CK36">
        <f t="shared" si="88"/>
        <v>1</v>
      </c>
      <c r="CL36">
        <f t="shared" si="89"/>
        <v>7</v>
      </c>
    </row>
    <row r="37" spans="1:90">
      <c r="A37">
        <v>95</v>
      </c>
      <c r="B37">
        <v>1</v>
      </c>
      <c r="C37">
        <v>1</v>
      </c>
      <c r="D37">
        <v>0</v>
      </c>
      <c r="E37">
        <v>1</v>
      </c>
      <c r="F37" s="1">
        <v>8</v>
      </c>
      <c r="G37">
        <v>6</v>
      </c>
      <c r="H37">
        <v>2</v>
      </c>
      <c r="I37">
        <v>1.4286884999999998</v>
      </c>
      <c r="J37">
        <v>0</v>
      </c>
      <c r="K37">
        <v>0</v>
      </c>
      <c r="L37">
        <v>0</v>
      </c>
      <c r="M37">
        <v>0</v>
      </c>
      <c r="N37">
        <v>2.1756107999999998</v>
      </c>
      <c r="O37">
        <v>0</v>
      </c>
      <c r="P37">
        <v>0</v>
      </c>
      <c r="Q37">
        <v>1.4175</v>
      </c>
      <c r="R37">
        <v>0</v>
      </c>
      <c r="S37">
        <v>0</v>
      </c>
      <c r="T37">
        <v>0.46038666666666661</v>
      </c>
      <c r="U37">
        <v>0</v>
      </c>
      <c r="V37">
        <v>0</v>
      </c>
      <c r="W37">
        <v>14.357313000000001</v>
      </c>
      <c r="X37">
        <v>0</v>
      </c>
      <c r="Y37">
        <v>0</v>
      </c>
      <c r="Z37" s="1">
        <v>1.9430000000000001E-3</v>
      </c>
      <c r="AA37">
        <v>0</v>
      </c>
      <c r="AB37">
        <v>0</v>
      </c>
      <c r="AC37">
        <v>0</v>
      </c>
      <c r="AD37" s="1">
        <v>2.6949999999999999E-3</v>
      </c>
      <c r="AE37">
        <v>0</v>
      </c>
      <c r="AF37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>
        <v>0</v>
      </c>
      <c r="AO37">
        <v>2</v>
      </c>
      <c r="AP37">
        <v>3</v>
      </c>
      <c r="AQ37">
        <v>2</v>
      </c>
      <c r="AR37">
        <v>7</v>
      </c>
      <c r="AS37">
        <f t="shared" si="49"/>
        <v>3.6042992999999997</v>
      </c>
      <c r="AT37">
        <f t="shared" si="46"/>
        <v>16.235199666666666</v>
      </c>
      <c r="AU37">
        <f t="shared" si="50"/>
        <v>4.6379999999999998E-3</v>
      </c>
      <c r="AV37">
        <f t="shared" si="51"/>
        <v>19.844136966666667</v>
      </c>
      <c r="AW37">
        <f t="shared" si="47"/>
        <v>0.54630200745923296</v>
      </c>
      <c r="AX37">
        <f t="shared" si="90"/>
        <v>1.8304893380327247</v>
      </c>
      <c r="AY37">
        <f t="shared" si="52"/>
        <v>7</v>
      </c>
      <c r="AZ37">
        <f t="shared" si="53"/>
        <v>19.844136966666667</v>
      </c>
      <c r="BA37">
        <f t="shared" si="48"/>
        <v>0.54630200745923296</v>
      </c>
      <c r="BB37">
        <f t="shared" si="91"/>
        <v>1.8304893380327247</v>
      </c>
      <c r="BC37">
        <f t="shared" si="54"/>
        <v>1</v>
      </c>
      <c r="BD37">
        <f t="shared" si="55"/>
        <v>0</v>
      </c>
      <c r="BE37">
        <f t="shared" si="56"/>
        <v>0</v>
      </c>
      <c r="BF37">
        <f t="shared" si="57"/>
        <v>0</v>
      </c>
      <c r="BG37">
        <f t="shared" si="58"/>
        <v>0</v>
      </c>
      <c r="BH37">
        <f t="shared" si="59"/>
        <v>1</v>
      </c>
      <c r="BI37">
        <f t="shared" si="60"/>
        <v>0</v>
      </c>
      <c r="BJ37">
        <f t="shared" si="61"/>
        <v>0</v>
      </c>
      <c r="BK37">
        <f t="shared" si="62"/>
        <v>1</v>
      </c>
      <c r="BL37">
        <f t="shared" si="63"/>
        <v>0</v>
      </c>
      <c r="BM37">
        <f t="shared" si="64"/>
        <v>0</v>
      </c>
      <c r="BN37">
        <f t="shared" si="65"/>
        <v>1</v>
      </c>
      <c r="BO37">
        <f t="shared" si="66"/>
        <v>0</v>
      </c>
      <c r="BP37">
        <f t="shared" si="67"/>
        <v>0</v>
      </c>
      <c r="BQ37">
        <f t="shared" si="68"/>
        <v>1</v>
      </c>
      <c r="BR37">
        <f t="shared" si="69"/>
        <v>0</v>
      </c>
      <c r="BS37">
        <f t="shared" si="70"/>
        <v>0</v>
      </c>
      <c r="BT37">
        <f t="shared" si="71"/>
        <v>1</v>
      </c>
      <c r="BU37">
        <f t="shared" si="72"/>
        <v>0</v>
      </c>
      <c r="BV37">
        <f t="shared" si="73"/>
        <v>0</v>
      </c>
      <c r="BW37">
        <f t="shared" si="74"/>
        <v>0</v>
      </c>
      <c r="BX37">
        <f t="shared" si="75"/>
        <v>1</v>
      </c>
      <c r="BY37">
        <f t="shared" si="76"/>
        <v>0</v>
      </c>
      <c r="BZ37">
        <f t="shared" si="77"/>
        <v>0</v>
      </c>
      <c r="CA37">
        <f t="shared" si="78"/>
        <v>0</v>
      </c>
      <c r="CB37">
        <f t="shared" si="79"/>
        <v>0</v>
      </c>
      <c r="CC37">
        <f t="shared" si="80"/>
        <v>0</v>
      </c>
      <c r="CD37">
        <f t="shared" si="81"/>
        <v>0</v>
      </c>
      <c r="CE37">
        <f t="shared" si="82"/>
        <v>0</v>
      </c>
      <c r="CF37">
        <f t="shared" si="83"/>
        <v>0</v>
      </c>
      <c r="CG37">
        <f t="shared" si="84"/>
        <v>0</v>
      </c>
      <c r="CH37">
        <f t="shared" si="85"/>
        <v>0</v>
      </c>
      <c r="CI37">
        <f t="shared" si="86"/>
        <v>2</v>
      </c>
      <c r="CJ37">
        <f t="shared" si="87"/>
        <v>3</v>
      </c>
      <c r="CK37">
        <f t="shared" si="88"/>
        <v>2</v>
      </c>
      <c r="CL37">
        <f t="shared" si="89"/>
        <v>7</v>
      </c>
    </row>
    <row r="38" spans="1:90">
      <c r="A38">
        <v>27</v>
      </c>
      <c r="B38">
        <v>1</v>
      </c>
      <c r="C38">
        <v>1</v>
      </c>
      <c r="D38">
        <v>0</v>
      </c>
      <c r="E38">
        <v>0</v>
      </c>
      <c r="F38" s="1">
        <v>9</v>
      </c>
      <c r="G38">
        <v>6</v>
      </c>
      <c r="H38">
        <v>2</v>
      </c>
      <c r="I38">
        <v>0</v>
      </c>
      <c r="J38">
        <v>2.7112189999999998</v>
      </c>
      <c r="K38">
        <v>0</v>
      </c>
      <c r="L38">
        <v>0</v>
      </c>
      <c r="M38">
        <v>0</v>
      </c>
      <c r="N38">
        <v>2.1334477999999999</v>
      </c>
      <c r="O38">
        <v>0</v>
      </c>
      <c r="P38">
        <v>0</v>
      </c>
      <c r="Q38">
        <v>0</v>
      </c>
      <c r="R38">
        <v>2.4435000000000002</v>
      </c>
      <c r="S38" s="1">
        <v>7.5569999999999995E-3</v>
      </c>
      <c r="T38">
        <v>0</v>
      </c>
      <c r="U38">
        <v>0</v>
      </c>
      <c r="V38">
        <v>0</v>
      </c>
      <c r="W38">
        <v>0</v>
      </c>
      <c r="X38" s="1">
        <v>0.56834499999999999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s="2">
        <v>0</v>
      </c>
      <c r="AH38" s="2">
        <v>0</v>
      </c>
      <c r="AI38" s="2">
        <v>7.038E-3</v>
      </c>
      <c r="AJ38" s="2">
        <v>0</v>
      </c>
      <c r="AK38" s="2">
        <v>0</v>
      </c>
      <c r="AL38" s="2">
        <v>0</v>
      </c>
      <c r="AM38" s="2">
        <v>0</v>
      </c>
      <c r="AN38">
        <v>1</v>
      </c>
      <c r="AO38">
        <v>2</v>
      </c>
      <c r="AP38">
        <v>3</v>
      </c>
      <c r="AQ38">
        <v>0</v>
      </c>
      <c r="AR38">
        <v>6</v>
      </c>
      <c r="AS38">
        <f t="shared" si="49"/>
        <v>4.8446667999999997</v>
      </c>
      <c r="AT38">
        <f t="shared" si="46"/>
        <v>3.0194019999999999</v>
      </c>
      <c r="AU38">
        <f t="shared" si="50"/>
        <v>0</v>
      </c>
      <c r="AV38">
        <f t="shared" si="51"/>
        <v>7.8711067999999997</v>
      </c>
      <c r="AW38">
        <f t="shared" si="47"/>
        <v>0.29370223495498077</v>
      </c>
      <c r="AX38">
        <f t="shared" si="90"/>
        <v>3.4048089560955566</v>
      </c>
      <c r="AY38">
        <f t="shared" si="52"/>
        <v>5</v>
      </c>
      <c r="AZ38">
        <f t="shared" si="53"/>
        <v>7.8640688000000001</v>
      </c>
      <c r="BA38">
        <f t="shared" si="48"/>
        <v>0.29422737073436933</v>
      </c>
      <c r="BB38">
        <f t="shared" si="91"/>
        <v>3.398732067326284</v>
      </c>
      <c r="BC38">
        <f t="shared" si="54"/>
        <v>0</v>
      </c>
      <c r="BD38">
        <f t="shared" si="55"/>
        <v>1</v>
      </c>
      <c r="BE38">
        <f t="shared" si="56"/>
        <v>0</v>
      </c>
      <c r="BF38">
        <f t="shared" si="57"/>
        <v>0</v>
      </c>
      <c r="BG38">
        <f t="shared" si="58"/>
        <v>0</v>
      </c>
      <c r="BH38">
        <f t="shared" si="59"/>
        <v>1</v>
      </c>
      <c r="BI38">
        <f t="shared" si="60"/>
        <v>0</v>
      </c>
      <c r="BJ38">
        <f t="shared" si="61"/>
        <v>0</v>
      </c>
      <c r="BK38">
        <f t="shared" si="62"/>
        <v>0</v>
      </c>
      <c r="BL38">
        <f t="shared" si="63"/>
        <v>1</v>
      </c>
      <c r="BM38">
        <f t="shared" si="64"/>
        <v>1</v>
      </c>
      <c r="BN38">
        <f t="shared" si="65"/>
        <v>0</v>
      </c>
      <c r="BO38">
        <f t="shared" si="66"/>
        <v>0</v>
      </c>
      <c r="BP38">
        <f t="shared" si="67"/>
        <v>0</v>
      </c>
      <c r="BQ38">
        <f t="shared" si="68"/>
        <v>0</v>
      </c>
      <c r="BR38">
        <f t="shared" si="69"/>
        <v>1</v>
      </c>
      <c r="BS38">
        <f t="shared" si="70"/>
        <v>0</v>
      </c>
      <c r="BT38">
        <f t="shared" si="71"/>
        <v>0</v>
      </c>
      <c r="BU38">
        <f t="shared" si="72"/>
        <v>0</v>
      </c>
      <c r="BV38">
        <f t="shared" si="73"/>
        <v>0</v>
      </c>
      <c r="BW38">
        <f t="shared" si="74"/>
        <v>0</v>
      </c>
      <c r="BX38">
        <f t="shared" si="75"/>
        <v>0</v>
      </c>
      <c r="BY38">
        <f t="shared" si="76"/>
        <v>0</v>
      </c>
      <c r="BZ38">
        <f t="shared" si="77"/>
        <v>0</v>
      </c>
      <c r="CA38">
        <f t="shared" si="78"/>
        <v>0</v>
      </c>
      <c r="CB38">
        <f t="shared" si="79"/>
        <v>0</v>
      </c>
      <c r="CC38">
        <f t="shared" si="80"/>
        <v>1</v>
      </c>
      <c r="CD38">
        <f t="shared" si="81"/>
        <v>0</v>
      </c>
      <c r="CE38">
        <f t="shared" si="82"/>
        <v>0</v>
      </c>
      <c r="CF38">
        <f t="shared" si="83"/>
        <v>0</v>
      </c>
      <c r="CG38">
        <f t="shared" si="84"/>
        <v>0</v>
      </c>
      <c r="CH38">
        <f t="shared" si="85"/>
        <v>1</v>
      </c>
      <c r="CI38">
        <f t="shared" si="86"/>
        <v>2</v>
      </c>
      <c r="CJ38">
        <f t="shared" si="87"/>
        <v>3</v>
      </c>
      <c r="CK38">
        <f t="shared" si="88"/>
        <v>0</v>
      </c>
      <c r="CL38">
        <f t="shared" si="89"/>
        <v>6</v>
      </c>
    </row>
    <row r="39" spans="1:90">
      <c r="A39">
        <v>41</v>
      </c>
      <c r="B39">
        <v>1</v>
      </c>
      <c r="C39">
        <v>1</v>
      </c>
      <c r="D39">
        <v>0</v>
      </c>
      <c r="E39">
        <v>1</v>
      </c>
      <c r="F39" s="1">
        <v>9</v>
      </c>
      <c r="G39">
        <v>6</v>
      </c>
      <c r="H39">
        <v>2</v>
      </c>
      <c r="I39">
        <v>0</v>
      </c>
      <c r="J39">
        <v>3.1815324999999999</v>
      </c>
      <c r="K39">
        <v>0</v>
      </c>
      <c r="L39">
        <v>0</v>
      </c>
      <c r="M39">
        <v>0</v>
      </c>
      <c r="N39">
        <v>2.3526954</v>
      </c>
      <c r="O39">
        <v>0</v>
      </c>
      <c r="P39">
        <v>0</v>
      </c>
      <c r="Q39">
        <v>0</v>
      </c>
      <c r="R39">
        <v>2.5447500000000005</v>
      </c>
      <c r="S39" s="1">
        <v>0</v>
      </c>
      <c r="T39">
        <v>0</v>
      </c>
      <c r="U39">
        <v>0</v>
      </c>
      <c r="V39">
        <v>0</v>
      </c>
      <c r="W39">
        <v>0</v>
      </c>
      <c r="X39" s="1">
        <v>8.7268999999999999E-2</v>
      </c>
      <c r="Y39">
        <v>0</v>
      </c>
      <c r="Z39">
        <v>0</v>
      </c>
      <c r="AA39">
        <v>0</v>
      </c>
      <c r="AB39">
        <v>0</v>
      </c>
      <c r="AC39">
        <v>0</v>
      </c>
      <c r="AD39" s="1">
        <v>3.8499999999999998E-4</v>
      </c>
      <c r="AE39">
        <v>0</v>
      </c>
      <c r="AF39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>
        <v>0</v>
      </c>
      <c r="AO39">
        <v>2</v>
      </c>
      <c r="AP39">
        <v>2</v>
      </c>
      <c r="AQ39">
        <v>1</v>
      </c>
      <c r="AR39">
        <v>5</v>
      </c>
      <c r="AS39">
        <f t="shared" si="49"/>
        <v>5.5342278999999994</v>
      </c>
      <c r="AT39">
        <f t="shared" si="46"/>
        <v>2.6320190000000006</v>
      </c>
      <c r="AU39">
        <f t="shared" si="50"/>
        <v>3.8499999999999998E-4</v>
      </c>
      <c r="AV39">
        <f t="shared" si="51"/>
        <v>8.1666318999999987</v>
      </c>
      <c r="AW39">
        <f t="shared" si="47"/>
        <v>0.33197490406654157</v>
      </c>
      <c r="AX39">
        <f t="shared" si="90"/>
        <v>3.0122758911907344</v>
      </c>
      <c r="AY39">
        <f t="shared" si="52"/>
        <v>5</v>
      </c>
      <c r="AZ39">
        <f t="shared" si="53"/>
        <v>8.1666318999999987</v>
      </c>
      <c r="BA39">
        <f t="shared" si="48"/>
        <v>0.33197490406654162</v>
      </c>
      <c r="BB39">
        <f t="shared" si="91"/>
        <v>3.0122758911907339</v>
      </c>
      <c r="BC39">
        <f t="shared" si="54"/>
        <v>0</v>
      </c>
      <c r="BD39">
        <f t="shared" si="55"/>
        <v>1</v>
      </c>
      <c r="BE39">
        <f t="shared" si="56"/>
        <v>0</v>
      </c>
      <c r="BF39">
        <f t="shared" si="57"/>
        <v>0</v>
      </c>
      <c r="BG39">
        <f t="shared" si="58"/>
        <v>0</v>
      </c>
      <c r="BH39">
        <f t="shared" si="59"/>
        <v>1</v>
      </c>
      <c r="BI39">
        <f t="shared" si="60"/>
        <v>0</v>
      </c>
      <c r="BJ39">
        <f t="shared" si="61"/>
        <v>0</v>
      </c>
      <c r="BK39">
        <f t="shared" si="62"/>
        <v>0</v>
      </c>
      <c r="BL39">
        <f t="shared" si="63"/>
        <v>1</v>
      </c>
      <c r="BM39">
        <f t="shared" si="64"/>
        <v>0</v>
      </c>
      <c r="BN39">
        <f t="shared" si="65"/>
        <v>0</v>
      </c>
      <c r="BO39">
        <f t="shared" si="66"/>
        <v>0</v>
      </c>
      <c r="BP39">
        <f t="shared" si="67"/>
        <v>0</v>
      </c>
      <c r="BQ39">
        <f t="shared" si="68"/>
        <v>0</v>
      </c>
      <c r="BR39">
        <f t="shared" si="69"/>
        <v>1</v>
      </c>
      <c r="BS39">
        <f t="shared" si="70"/>
        <v>0</v>
      </c>
      <c r="BT39">
        <f t="shared" si="71"/>
        <v>0</v>
      </c>
      <c r="BU39">
        <f t="shared" si="72"/>
        <v>0</v>
      </c>
      <c r="BV39">
        <f t="shared" si="73"/>
        <v>0</v>
      </c>
      <c r="BW39">
        <f t="shared" si="74"/>
        <v>0</v>
      </c>
      <c r="BX39">
        <f t="shared" si="75"/>
        <v>1</v>
      </c>
      <c r="BY39">
        <f t="shared" si="76"/>
        <v>0</v>
      </c>
      <c r="BZ39">
        <f t="shared" si="77"/>
        <v>0</v>
      </c>
      <c r="CA39">
        <f t="shared" si="78"/>
        <v>0</v>
      </c>
      <c r="CB39">
        <f t="shared" si="79"/>
        <v>0</v>
      </c>
      <c r="CC39">
        <f t="shared" si="80"/>
        <v>0</v>
      </c>
      <c r="CD39">
        <f t="shared" si="81"/>
        <v>0</v>
      </c>
      <c r="CE39">
        <f t="shared" si="82"/>
        <v>0</v>
      </c>
      <c r="CF39">
        <f t="shared" si="83"/>
        <v>0</v>
      </c>
      <c r="CG39">
        <f t="shared" si="84"/>
        <v>0</v>
      </c>
      <c r="CH39">
        <f t="shared" si="85"/>
        <v>0</v>
      </c>
      <c r="CI39">
        <f t="shared" si="86"/>
        <v>2</v>
      </c>
      <c r="CJ39">
        <f t="shared" si="87"/>
        <v>2</v>
      </c>
      <c r="CK39">
        <f t="shared" si="88"/>
        <v>1</v>
      </c>
      <c r="CL39">
        <f t="shared" si="89"/>
        <v>5</v>
      </c>
    </row>
    <row r="40" spans="1:90">
      <c r="A40">
        <v>64</v>
      </c>
      <c r="B40">
        <v>1</v>
      </c>
      <c r="C40">
        <v>1</v>
      </c>
      <c r="D40">
        <v>0</v>
      </c>
      <c r="E40">
        <v>0</v>
      </c>
      <c r="F40" s="1">
        <v>9</v>
      </c>
      <c r="G40">
        <v>6</v>
      </c>
      <c r="H40">
        <v>2</v>
      </c>
      <c r="I40">
        <v>0</v>
      </c>
      <c r="J40">
        <v>3.3751909999999996</v>
      </c>
      <c r="K40">
        <v>0</v>
      </c>
      <c r="L40">
        <v>0</v>
      </c>
      <c r="M40">
        <v>0</v>
      </c>
      <c r="N40">
        <v>2.2093411999999999</v>
      </c>
      <c r="O40">
        <v>0</v>
      </c>
      <c r="P40">
        <v>0</v>
      </c>
      <c r="Q40">
        <v>0</v>
      </c>
      <c r="R40">
        <v>1.0327500000000001</v>
      </c>
      <c r="S40" s="1">
        <v>0</v>
      </c>
      <c r="T40">
        <v>0</v>
      </c>
      <c r="U40">
        <v>0</v>
      </c>
      <c r="V40">
        <v>0</v>
      </c>
      <c r="W40">
        <v>0</v>
      </c>
      <c r="X40" s="1">
        <v>0.77438699999999994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>
        <v>0</v>
      </c>
      <c r="AO40">
        <v>2</v>
      </c>
      <c r="AP40">
        <v>2</v>
      </c>
      <c r="AQ40">
        <v>0</v>
      </c>
      <c r="AR40">
        <v>4</v>
      </c>
      <c r="AS40">
        <f t="shared" si="49"/>
        <v>5.5845321999999999</v>
      </c>
      <c r="AT40">
        <f t="shared" si="46"/>
        <v>1.807137</v>
      </c>
      <c r="AU40">
        <f t="shared" si="50"/>
        <v>0</v>
      </c>
      <c r="AV40">
        <f t="shared" si="51"/>
        <v>7.3916691999999999</v>
      </c>
      <c r="AW40">
        <f t="shared" si="47"/>
        <v>0.32833839634281087</v>
      </c>
      <c r="AX40">
        <f t="shared" si="90"/>
        <v>3.045638314429489</v>
      </c>
      <c r="AY40">
        <f t="shared" si="52"/>
        <v>4</v>
      </c>
      <c r="AZ40">
        <f t="shared" si="53"/>
        <v>7.3916691999999999</v>
      </c>
      <c r="BA40">
        <f t="shared" si="48"/>
        <v>0.32833839634281087</v>
      </c>
      <c r="BB40">
        <f t="shared" si="91"/>
        <v>3.045638314429489</v>
      </c>
      <c r="BC40">
        <f t="shared" si="54"/>
        <v>0</v>
      </c>
      <c r="BD40">
        <f t="shared" si="55"/>
        <v>1</v>
      </c>
      <c r="BE40">
        <f t="shared" si="56"/>
        <v>0</v>
      </c>
      <c r="BF40">
        <f t="shared" si="57"/>
        <v>0</v>
      </c>
      <c r="BG40">
        <f t="shared" si="58"/>
        <v>0</v>
      </c>
      <c r="BH40">
        <f t="shared" si="59"/>
        <v>1</v>
      </c>
      <c r="BI40">
        <f t="shared" si="60"/>
        <v>0</v>
      </c>
      <c r="BJ40">
        <f t="shared" si="61"/>
        <v>0</v>
      </c>
      <c r="BK40">
        <f t="shared" si="62"/>
        <v>0</v>
      </c>
      <c r="BL40">
        <f t="shared" si="63"/>
        <v>1</v>
      </c>
      <c r="BM40">
        <f t="shared" si="64"/>
        <v>0</v>
      </c>
      <c r="BN40">
        <f t="shared" si="65"/>
        <v>0</v>
      </c>
      <c r="BO40">
        <f t="shared" si="66"/>
        <v>0</v>
      </c>
      <c r="BP40">
        <f t="shared" si="67"/>
        <v>0</v>
      </c>
      <c r="BQ40">
        <f t="shared" si="68"/>
        <v>0</v>
      </c>
      <c r="BR40">
        <f t="shared" si="69"/>
        <v>1</v>
      </c>
      <c r="BS40">
        <f t="shared" si="70"/>
        <v>0</v>
      </c>
      <c r="BT40">
        <f t="shared" si="71"/>
        <v>0</v>
      </c>
      <c r="BU40">
        <f t="shared" si="72"/>
        <v>0</v>
      </c>
      <c r="BV40">
        <f t="shared" si="73"/>
        <v>0</v>
      </c>
      <c r="BW40">
        <f t="shared" si="74"/>
        <v>0</v>
      </c>
      <c r="BX40">
        <f t="shared" si="75"/>
        <v>0</v>
      </c>
      <c r="BY40">
        <f t="shared" si="76"/>
        <v>0</v>
      </c>
      <c r="BZ40">
        <f t="shared" si="77"/>
        <v>0</v>
      </c>
      <c r="CA40">
        <f t="shared" si="78"/>
        <v>0</v>
      </c>
      <c r="CB40">
        <f t="shared" si="79"/>
        <v>0</v>
      </c>
      <c r="CC40">
        <f t="shared" si="80"/>
        <v>0</v>
      </c>
      <c r="CD40">
        <f t="shared" si="81"/>
        <v>0</v>
      </c>
      <c r="CE40">
        <f t="shared" si="82"/>
        <v>0</v>
      </c>
      <c r="CF40">
        <f t="shared" si="83"/>
        <v>0</v>
      </c>
      <c r="CG40">
        <f t="shared" si="84"/>
        <v>0</v>
      </c>
      <c r="CH40">
        <f t="shared" si="85"/>
        <v>0</v>
      </c>
      <c r="CI40">
        <f t="shared" si="86"/>
        <v>2</v>
      </c>
      <c r="CJ40">
        <f t="shared" si="87"/>
        <v>2</v>
      </c>
      <c r="CK40">
        <f t="shared" si="88"/>
        <v>0</v>
      </c>
      <c r="CL40">
        <f t="shared" si="89"/>
        <v>4</v>
      </c>
    </row>
    <row r="41" spans="1:90">
      <c r="A41">
        <v>96</v>
      </c>
      <c r="B41">
        <v>1</v>
      </c>
      <c r="C41">
        <v>1</v>
      </c>
      <c r="D41">
        <v>0</v>
      </c>
      <c r="E41">
        <v>1</v>
      </c>
      <c r="F41" s="1">
        <v>9</v>
      </c>
      <c r="G41">
        <v>6</v>
      </c>
      <c r="H41">
        <v>2</v>
      </c>
      <c r="I41">
        <v>0</v>
      </c>
      <c r="J41">
        <v>1.1342854999999998</v>
      </c>
      <c r="K41">
        <v>0</v>
      </c>
      <c r="L41">
        <v>0</v>
      </c>
      <c r="M41">
        <v>0</v>
      </c>
      <c r="N41">
        <v>2.8080557999999995</v>
      </c>
      <c r="O41">
        <v>0</v>
      </c>
      <c r="P41">
        <v>0</v>
      </c>
      <c r="Q41">
        <v>0</v>
      </c>
      <c r="R41">
        <v>0.41850000000000004</v>
      </c>
      <c r="S41" s="1">
        <v>2.0152E-2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2">
        <v>0</v>
      </c>
      <c r="AH41" s="2">
        <v>0</v>
      </c>
      <c r="AI41" s="2">
        <v>0</v>
      </c>
      <c r="AJ41" s="2">
        <v>2.6224999999999998E-2</v>
      </c>
      <c r="AK41" s="2">
        <v>0</v>
      </c>
      <c r="AL41" s="2">
        <v>0</v>
      </c>
      <c r="AM41" s="2">
        <v>0</v>
      </c>
      <c r="AN41">
        <v>1</v>
      </c>
      <c r="AO41">
        <v>2</v>
      </c>
      <c r="AP41">
        <v>2</v>
      </c>
      <c r="AQ41">
        <v>0</v>
      </c>
      <c r="AR41">
        <v>5</v>
      </c>
      <c r="AS41">
        <f t="shared" si="49"/>
        <v>3.9423412999999994</v>
      </c>
      <c r="AT41">
        <f t="shared" si="46"/>
        <v>0.43865200000000004</v>
      </c>
      <c r="AU41">
        <f t="shared" si="50"/>
        <v>0</v>
      </c>
      <c r="AV41">
        <f t="shared" si="51"/>
        <v>4.4072183000000003</v>
      </c>
      <c r="AW41">
        <f t="shared" si="47"/>
        <v>0.4812717519026799</v>
      </c>
      <c r="AX41">
        <f t="shared" si="90"/>
        <v>2.0778281626680939</v>
      </c>
      <c r="AY41">
        <f t="shared" si="52"/>
        <v>4</v>
      </c>
      <c r="AZ41">
        <f t="shared" si="53"/>
        <v>4.3809933000000001</v>
      </c>
      <c r="BA41">
        <f t="shared" si="48"/>
        <v>0.48701503180837552</v>
      </c>
      <c r="BB41">
        <f t="shared" si="91"/>
        <v>2.0533247121486533</v>
      </c>
      <c r="BC41">
        <f t="shared" si="54"/>
        <v>0</v>
      </c>
      <c r="BD41">
        <f t="shared" si="55"/>
        <v>1</v>
      </c>
      <c r="BE41">
        <f t="shared" si="56"/>
        <v>0</v>
      </c>
      <c r="BF41">
        <f t="shared" si="57"/>
        <v>0</v>
      </c>
      <c r="BG41">
        <f t="shared" si="58"/>
        <v>0</v>
      </c>
      <c r="BH41">
        <f t="shared" si="59"/>
        <v>1</v>
      </c>
      <c r="BI41">
        <f t="shared" si="60"/>
        <v>0</v>
      </c>
      <c r="BJ41">
        <f t="shared" si="61"/>
        <v>0</v>
      </c>
      <c r="BK41">
        <f t="shared" si="62"/>
        <v>0</v>
      </c>
      <c r="BL41">
        <f t="shared" si="63"/>
        <v>1</v>
      </c>
      <c r="BM41">
        <f t="shared" si="64"/>
        <v>1</v>
      </c>
      <c r="BN41">
        <f t="shared" si="65"/>
        <v>0</v>
      </c>
      <c r="BO41">
        <f t="shared" si="66"/>
        <v>0</v>
      </c>
      <c r="BP41">
        <f t="shared" si="67"/>
        <v>0</v>
      </c>
      <c r="BQ41">
        <f t="shared" si="68"/>
        <v>0</v>
      </c>
      <c r="BR41">
        <f t="shared" si="69"/>
        <v>0</v>
      </c>
      <c r="BS41">
        <f t="shared" si="70"/>
        <v>0</v>
      </c>
      <c r="BT41">
        <f t="shared" si="71"/>
        <v>0</v>
      </c>
      <c r="BU41">
        <f t="shared" si="72"/>
        <v>0</v>
      </c>
      <c r="BV41">
        <f t="shared" si="73"/>
        <v>0</v>
      </c>
      <c r="BW41">
        <f t="shared" si="74"/>
        <v>0</v>
      </c>
      <c r="BX41">
        <f t="shared" si="75"/>
        <v>0</v>
      </c>
      <c r="BY41">
        <f t="shared" si="76"/>
        <v>0</v>
      </c>
      <c r="BZ41">
        <f t="shared" si="77"/>
        <v>0</v>
      </c>
      <c r="CA41">
        <f t="shared" si="78"/>
        <v>0</v>
      </c>
      <c r="CB41">
        <f t="shared" si="79"/>
        <v>0</v>
      </c>
      <c r="CC41">
        <f t="shared" si="80"/>
        <v>0</v>
      </c>
      <c r="CD41">
        <f t="shared" si="81"/>
        <v>1</v>
      </c>
      <c r="CE41">
        <f t="shared" si="82"/>
        <v>0</v>
      </c>
      <c r="CF41">
        <f t="shared" si="83"/>
        <v>0</v>
      </c>
      <c r="CG41">
        <f t="shared" si="84"/>
        <v>0</v>
      </c>
      <c r="CH41">
        <f t="shared" si="85"/>
        <v>1</v>
      </c>
      <c r="CI41">
        <f t="shared" si="86"/>
        <v>2</v>
      </c>
      <c r="CJ41">
        <f t="shared" si="87"/>
        <v>2</v>
      </c>
      <c r="CK41">
        <f t="shared" si="88"/>
        <v>0</v>
      </c>
      <c r="CL41">
        <f t="shared" si="89"/>
        <v>5</v>
      </c>
    </row>
    <row r="42" spans="1:90">
      <c r="A42">
        <v>25</v>
      </c>
      <c r="B42">
        <v>0</v>
      </c>
      <c r="C42">
        <v>1</v>
      </c>
      <c r="D42">
        <v>1</v>
      </c>
      <c r="E42">
        <v>0</v>
      </c>
      <c r="F42" s="1">
        <v>10</v>
      </c>
      <c r="G42">
        <v>6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2.0722499999999999</v>
      </c>
      <c r="S42">
        <v>0</v>
      </c>
      <c r="T42">
        <v>0.11036666666666665</v>
      </c>
      <c r="U42">
        <v>1.6E-2</v>
      </c>
      <c r="V42">
        <v>0</v>
      </c>
      <c r="W42" s="1">
        <v>0.16916700000000001</v>
      </c>
      <c r="X42" s="1">
        <v>0.12467</v>
      </c>
      <c r="Y42">
        <v>4.5899999999999996E-2</v>
      </c>
      <c r="Z42">
        <v>0</v>
      </c>
      <c r="AA42">
        <v>0</v>
      </c>
      <c r="AB42">
        <v>0</v>
      </c>
      <c r="AC42">
        <v>0</v>
      </c>
      <c r="AD42">
        <v>1.5399999999999999E-3</v>
      </c>
      <c r="AE42">
        <v>0</v>
      </c>
      <c r="AF4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>
        <v>0</v>
      </c>
      <c r="AO42">
        <v>0</v>
      </c>
      <c r="AP42">
        <v>5</v>
      </c>
      <c r="AQ42">
        <v>2</v>
      </c>
      <c r="AR42">
        <v>7</v>
      </c>
      <c r="AS42">
        <f t="shared" si="49"/>
        <v>0</v>
      </c>
      <c r="AT42">
        <f t="shared" si="46"/>
        <v>2.4924536666666666</v>
      </c>
      <c r="AU42">
        <f t="shared" si="50"/>
        <v>4.7439999999999996E-2</v>
      </c>
      <c r="AV42">
        <f t="shared" si="51"/>
        <v>2.5398936666666665</v>
      </c>
      <c r="AW42">
        <f t="shared" si="47"/>
        <v>0.674761393837505</v>
      </c>
      <c r="AX42">
        <f t="shared" si="90"/>
        <v>1.4820053564605957</v>
      </c>
      <c r="AY42">
        <f t="shared" si="52"/>
        <v>7</v>
      </c>
      <c r="AZ42">
        <f t="shared" si="53"/>
        <v>2.5398936666666665</v>
      </c>
      <c r="BA42">
        <f t="shared" si="48"/>
        <v>0.674761393837505</v>
      </c>
      <c r="BB42">
        <f t="shared" si="91"/>
        <v>1.4820053564605957</v>
      </c>
      <c r="BC42">
        <f t="shared" si="54"/>
        <v>0</v>
      </c>
      <c r="BD42">
        <f t="shared" si="55"/>
        <v>0</v>
      </c>
      <c r="BE42">
        <f t="shared" si="56"/>
        <v>0</v>
      </c>
      <c r="BF42">
        <f t="shared" si="57"/>
        <v>0</v>
      </c>
      <c r="BG42">
        <f t="shared" si="58"/>
        <v>0</v>
      </c>
      <c r="BH42">
        <f t="shared" si="59"/>
        <v>0</v>
      </c>
      <c r="BI42">
        <f t="shared" si="60"/>
        <v>0</v>
      </c>
      <c r="BJ42">
        <f t="shared" si="61"/>
        <v>0</v>
      </c>
      <c r="BK42">
        <f t="shared" si="62"/>
        <v>0</v>
      </c>
      <c r="BL42">
        <f t="shared" si="63"/>
        <v>1</v>
      </c>
      <c r="BM42">
        <f t="shared" si="64"/>
        <v>0</v>
      </c>
      <c r="BN42">
        <f t="shared" si="65"/>
        <v>1</v>
      </c>
      <c r="BO42">
        <f t="shared" si="66"/>
        <v>1</v>
      </c>
      <c r="BP42">
        <f t="shared" si="67"/>
        <v>0</v>
      </c>
      <c r="BQ42">
        <f t="shared" si="68"/>
        <v>1</v>
      </c>
      <c r="BR42">
        <f t="shared" si="69"/>
        <v>1</v>
      </c>
      <c r="BS42">
        <f t="shared" si="70"/>
        <v>1</v>
      </c>
      <c r="BT42">
        <f t="shared" si="71"/>
        <v>0</v>
      </c>
      <c r="BU42">
        <f t="shared" si="72"/>
        <v>0</v>
      </c>
      <c r="BV42">
        <f t="shared" si="73"/>
        <v>0</v>
      </c>
      <c r="BW42">
        <f t="shared" si="74"/>
        <v>0</v>
      </c>
      <c r="BX42">
        <f t="shared" si="75"/>
        <v>1</v>
      </c>
      <c r="BY42">
        <f t="shared" si="76"/>
        <v>0</v>
      </c>
      <c r="BZ42">
        <f t="shared" si="77"/>
        <v>0</v>
      </c>
      <c r="CA42">
        <f t="shared" si="78"/>
        <v>0</v>
      </c>
      <c r="CB42">
        <f t="shared" si="79"/>
        <v>0</v>
      </c>
      <c r="CC42">
        <f t="shared" si="80"/>
        <v>0</v>
      </c>
      <c r="CD42">
        <f t="shared" si="81"/>
        <v>0</v>
      </c>
      <c r="CE42">
        <f t="shared" si="82"/>
        <v>0</v>
      </c>
      <c r="CF42">
        <f t="shared" si="83"/>
        <v>0</v>
      </c>
      <c r="CG42">
        <f t="shared" si="84"/>
        <v>0</v>
      </c>
      <c r="CH42">
        <f t="shared" si="85"/>
        <v>0</v>
      </c>
      <c r="CI42">
        <f t="shared" si="86"/>
        <v>0</v>
      </c>
      <c r="CJ42">
        <f t="shared" si="87"/>
        <v>5</v>
      </c>
      <c r="CK42">
        <f t="shared" si="88"/>
        <v>2</v>
      </c>
      <c r="CL42">
        <f t="shared" si="89"/>
        <v>7</v>
      </c>
    </row>
    <row r="43" spans="1:90">
      <c r="A43">
        <v>34</v>
      </c>
      <c r="B43">
        <v>0</v>
      </c>
      <c r="C43">
        <v>1</v>
      </c>
      <c r="D43">
        <v>1</v>
      </c>
      <c r="E43">
        <v>1</v>
      </c>
      <c r="F43" s="1">
        <v>10</v>
      </c>
      <c r="G43">
        <v>6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0.91800000000000004</v>
      </c>
      <c r="S43">
        <v>0</v>
      </c>
      <c r="T43">
        <v>0.11982666666666666</v>
      </c>
      <c r="U43">
        <v>3.2000000000000001E-2</v>
      </c>
      <c r="V43">
        <v>0</v>
      </c>
      <c r="W43">
        <v>0</v>
      </c>
      <c r="X43">
        <v>0</v>
      </c>
      <c r="Y43">
        <v>3.0599999999999999E-2</v>
      </c>
      <c r="Z43">
        <v>0</v>
      </c>
      <c r="AA43">
        <v>0.20333500000000002</v>
      </c>
      <c r="AB43">
        <v>0</v>
      </c>
      <c r="AC43">
        <v>0</v>
      </c>
      <c r="AD43">
        <v>0</v>
      </c>
      <c r="AE43">
        <v>0</v>
      </c>
      <c r="AF43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>
        <v>0</v>
      </c>
      <c r="AO43">
        <v>0</v>
      </c>
      <c r="AP43">
        <v>3</v>
      </c>
      <c r="AQ43">
        <v>2</v>
      </c>
      <c r="AR43">
        <v>5</v>
      </c>
      <c r="AS43">
        <f t="shared" si="49"/>
        <v>0</v>
      </c>
      <c r="AT43">
        <f t="shared" si="46"/>
        <v>1.0698266666666667</v>
      </c>
      <c r="AU43">
        <f t="shared" si="50"/>
        <v>0.233935</v>
      </c>
      <c r="AV43">
        <f t="shared" si="51"/>
        <v>1.3037616666666667</v>
      </c>
      <c r="AW43">
        <f t="shared" si="47"/>
        <v>0.52970398540867469</v>
      </c>
      <c r="AX43">
        <f t="shared" si="90"/>
        <v>1.8878468494596747</v>
      </c>
      <c r="AY43">
        <f t="shared" si="52"/>
        <v>5</v>
      </c>
      <c r="AZ43">
        <f t="shared" si="53"/>
        <v>1.3037616666666667</v>
      </c>
      <c r="BA43">
        <f t="shared" si="48"/>
        <v>0.52970398540867469</v>
      </c>
      <c r="BB43">
        <f t="shared" si="91"/>
        <v>1.8878468494596747</v>
      </c>
      <c r="BC43">
        <f t="shared" si="54"/>
        <v>0</v>
      </c>
      <c r="BD43">
        <f t="shared" si="55"/>
        <v>0</v>
      </c>
      <c r="BE43">
        <f t="shared" si="56"/>
        <v>0</v>
      </c>
      <c r="BF43">
        <f t="shared" si="57"/>
        <v>0</v>
      </c>
      <c r="BG43">
        <f t="shared" si="58"/>
        <v>0</v>
      </c>
      <c r="BH43">
        <f t="shared" si="59"/>
        <v>0</v>
      </c>
      <c r="BI43">
        <f t="shared" si="60"/>
        <v>0</v>
      </c>
      <c r="BJ43">
        <f t="shared" si="61"/>
        <v>0</v>
      </c>
      <c r="BK43">
        <f t="shared" si="62"/>
        <v>0</v>
      </c>
      <c r="BL43">
        <f t="shared" si="63"/>
        <v>1</v>
      </c>
      <c r="BM43">
        <f t="shared" si="64"/>
        <v>0</v>
      </c>
      <c r="BN43">
        <f t="shared" si="65"/>
        <v>1</v>
      </c>
      <c r="BO43">
        <f t="shared" si="66"/>
        <v>1</v>
      </c>
      <c r="BP43">
        <f t="shared" si="67"/>
        <v>0</v>
      </c>
      <c r="BQ43">
        <f t="shared" si="68"/>
        <v>0</v>
      </c>
      <c r="BR43">
        <f t="shared" si="69"/>
        <v>0</v>
      </c>
      <c r="BS43">
        <f t="shared" si="70"/>
        <v>1</v>
      </c>
      <c r="BT43">
        <f t="shared" si="71"/>
        <v>0</v>
      </c>
      <c r="BU43">
        <f t="shared" si="72"/>
        <v>1</v>
      </c>
      <c r="BV43">
        <f t="shared" si="73"/>
        <v>0</v>
      </c>
      <c r="BW43">
        <f t="shared" si="74"/>
        <v>0</v>
      </c>
      <c r="BX43">
        <f t="shared" si="75"/>
        <v>0</v>
      </c>
      <c r="BY43">
        <f t="shared" si="76"/>
        <v>0</v>
      </c>
      <c r="BZ43">
        <f t="shared" si="77"/>
        <v>0</v>
      </c>
      <c r="CA43">
        <f t="shared" si="78"/>
        <v>0</v>
      </c>
      <c r="CB43">
        <f t="shared" si="79"/>
        <v>0</v>
      </c>
      <c r="CC43">
        <f t="shared" si="80"/>
        <v>0</v>
      </c>
      <c r="CD43">
        <f t="shared" si="81"/>
        <v>0</v>
      </c>
      <c r="CE43">
        <f t="shared" si="82"/>
        <v>0</v>
      </c>
      <c r="CF43">
        <f t="shared" si="83"/>
        <v>0</v>
      </c>
      <c r="CG43">
        <f t="shared" si="84"/>
        <v>0</v>
      </c>
      <c r="CH43">
        <f t="shared" si="85"/>
        <v>0</v>
      </c>
      <c r="CI43">
        <f t="shared" si="86"/>
        <v>0</v>
      </c>
      <c r="CJ43">
        <f t="shared" si="87"/>
        <v>3</v>
      </c>
      <c r="CK43">
        <f t="shared" si="88"/>
        <v>2</v>
      </c>
      <c r="CL43">
        <f t="shared" si="89"/>
        <v>5</v>
      </c>
    </row>
    <row r="44" spans="1:90">
      <c r="A44">
        <v>56</v>
      </c>
      <c r="B44">
        <v>0</v>
      </c>
      <c r="C44">
        <v>1</v>
      </c>
      <c r="D44">
        <v>1</v>
      </c>
      <c r="E44">
        <v>0</v>
      </c>
      <c r="F44" s="1">
        <v>10</v>
      </c>
      <c r="G44">
        <v>6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2.0115000000000003</v>
      </c>
      <c r="S44">
        <v>0</v>
      </c>
      <c r="T44">
        <v>0.11982666666666666</v>
      </c>
      <c r="U44">
        <v>9.6000000000000002E-2</v>
      </c>
      <c r="V44">
        <v>0</v>
      </c>
      <c r="W44">
        <v>0</v>
      </c>
      <c r="X44">
        <v>0</v>
      </c>
      <c r="Y44">
        <v>4.5899999999999996E-2</v>
      </c>
      <c r="Z44">
        <v>0</v>
      </c>
      <c r="AA44">
        <v>0</v>
      </c>
      <c r="AB44">
        <v>0</v>
      </c>
      <c r="AC44">
        <v>0</v>
      </c>
      <c r="AD44">
        <v>3.8499999999999997E-3</v>
      </c>
      <c r="AE44">
        <v>0</v>
      </c>
      <c r="AF44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>
        <v>0</v>
      </c>
      <c r="AO44">
        <v>0</v>
      </c>
      <c r="AP44">
        <v>3</v>
      </c>
      <c r="AQ44">
        <v>2</v>
      </c>
      <c r="AR44">
        <v>5</v>
      </c>
      <c r="AS44">
        <f t="shared" si="49"/>
        <v>0</v>
      </c>
      <c r="AT44">
        <f t="shared" si="46"/>
        <v>2.2273266666666669</v>
      </c>
      <c r="AU44">
        <f t="shared" si="50"/>
        <v>4.9749999999999996E-2</v>
      </c>
      <c r="AV44">
        <f t="shared" si="51"/>
        <v>2.2770766666666669</v>
      </c>
      <c r="AW44">
        <f t="shared" si="47"/>
        <v>0.78529738568773833</v>
      </c>
      <c r="AX44">
        <f t="shared" si="90"/>
        <v>1.2734029403704585</v>
      </c>
      <c r="AY44">
        <f t="shared" si="52"/>
        <v>5</v>
      </c>
      <c r="AZ44">
        <f t="shared" si="53"/>
        <v>2.2770766666666669</v>
      </c>
      <c r="BA44">
        <f t="shared" si="48"/>
        <v>0.78529738568773833</v>
      </c>
      <c r="BB44">
        <f t="shared" si="91"/>
        <v>1.2734029403704585</v>
      </c>
      <c r="BC44">
        <f t="shared" si="54"/>
        <v>0</v>
      </c>
      <c r="BD44">
        <f t="shared" si="55"/>
        <v>0</v>
      </c>
      <c r="BE44">
        <f t="shared" si="56"/>
        <v>0</v>
      </c>
      <c r="BF44">
        <f t="shared" si="57"/>
        <v>0</v>
      </c>
      <c r="BG44">
        <f t="shared" si="58"/>
        <v>0</v>
      </c>
      <c r="BH44">
        <f t="shared" si="59"/>
        <v>0</v>
      </c>
      <c r="BI44">
        <f t="shared" si="60"/>
        <v>0</v>
      </c>
      <c r="BJ44">
        <f t="shared" si="61"/>
        <v>0</v>
      </c>
      <c r="BK44">
        <f t="shared" si="62"/>
        <v>0</v>
      </c>
      <c r="BL44">
        <f t="shared" si="63"/>
        <v>1</v>
      </c>
      <c r="BM44">
        <f t="shared" si="64"/>
        <v>0</v>
      </c>
      <c r="BN44">
        <f t="shared" si="65"/>
        <v>1</v>
      </c>
      <c r="BO44">
        <f t="shared" si="66"/>
        <v>1</v>
      </c>
      <c r="BP44">
        <f t="shared" si="67"/>
        <v>0</v>
      </c>
      <c r="BQ44">
        <f t="shared" si="68"/>
        <v>0</v>
      </c>
      <c r="BR44">
        <f t="shared" si="69"/>
        <v>0</v>
      </c>
      <c r="BS44">
        <f t="shared" si="70"/>
        <v>1</v>
      </c>
      <c r="BT44">
        <f t="shared" si="71"/>
        <v>0</v>
      </c>
      <c r="BU44">
        <f t="shared" si="72"/>
        <v>0</v>
      </c>
      <c r="BV44">
        <f t="shared" si="73"/>
        <v>0</v>
      </c>
      <c r="BW44">
        <f t="shared" si="74"/>
        <v>0</v>
      </c>
      <c r="BX44">
        <f t="shared" si="75"/>
        <v>1</v>
      </c>
      <c r="BY44">
        <f t="shared" si="76"/>
        <v>0</v>
      </c>
      <c r="BZ44">
        <f t="shared" si="77"/>
        <v>0</v>
      </c>
      <c r="CA44">
        <f t="shared" si="78"/>
        <v>0</v>
      </c>
      <c r="CB44">
        <f t="shared" si="79"/>
        <v>0</v>
      </c>
      <c r="CC44">
        <f t="shared" si="80"/>
        <v>0</v>
      </c>
      <c r="CD44">
        <f t="shared" si="81"/>
        <v>0</v>
      </c>
      <c r="CE44">
        <f t="shared" si="82"/>
        <v>0</v>
      </c>
      <c r="CF44">
        <f t="shared" si="83"/>
        <v>0</v>
      </c>
      <c r="CG44">
        <f t="shared" si="84"/>
        <v>0</v>
      </c>
      <c r="CH44">
        <f t="shared" si="85"/>
        <v>0</v>
      </c>
      <c r="CI44">
        <f t="shared" si="86"/>
        <v>0</v>
      </c>
      <c r="CJ44">
        <f t="shared" si="87"/>
        <v>3</v>
      </c>
      <c r="CK44">
        <f t="shared" si="88"/>
        <v>2</v>
      </c>
      <c r="CL44">
        <f t="shared" si="89"/>
        <v>5</v>
      </c>
    </row>
    <row r="45" spans="1:90">
      <c r="A45">
        <v>103</v>
      </c>
      <c r="B45">
        <v>0</v>
      </c>
      <c r="C45">
        <v>1</v>
      </c>
      <c r="D45">
        <v>1</v>
      </c>
      <c r="E45">
        <v>1</v>
      </c>
      <c r="F45" s="1">
        <v>10</v>
      </c>
      <c r="G45">
        <v>6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2.9295</v>
      </c>
      <c r="S45">
        <v>0</v>
      </c>
      <c r="T45">
        <v>0.13244</v>
      </c>
      <c r="U45">
        <v>0</v>
      </c>
      <c r="V45">
        <v>0</v>
      </c>
      <c r="W45">
        <v>0</v>
      </c>
      <c r="X45" s="1">
        <v>0.53737699999999999</v>
      </c>
      <c r="Y45">
        <v>3.0599999999999999E-2</v>
      </c>
      <c r="Z45">
        <v>0</v>
      </c>
      <c r="AA45">
        <v>0</v>
      </c>
      <c r="AB45">
        <v>0</v>
      </c>
      <c r="AC45">
        <v>0</v>
      </c>
      <c r="AD45">
        <v>3.8499999999999998E-4</v>
      </c>
      <c r="AE45">
        <v>0</v>
      </c>
      <c r="AF45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>
        <v>0</v>
      </c>
      <c r="AO45">
        <v>0</v>
      </c>
      <c r="AP45">
        <v>3</v>
      </c>
      <c r="AQ45">
        <v>2</v>
      </c>
      <c r="AR45">
        <v>5</v>
      </c>
      <c r="AS45">
        <f t="shared" si="49"/>
        <v>0</v>
      </c>
      <c r="AT45">
        <f t="shared" si="46"/>
        <v>3.5993170000000001</v>
      </c>
      <c r="AU45">
        <f t="shared" si="50"/>
        <v>3.0984999999999999E-2</v>
      </c>
      <c r="AV45">
        <f t="shared" si="51"/>
        <v>3.6303020000000004</v>
      </c>
      <c r="AW45">
        <f t="shared" si="47"/>
        <v>0.67449417150289737</v>
      </c>
      <c r="AX45">
        <f t="shared" si="90"/>
        <v>1.4825925000535076</v>
      </c>
      <c r="AY45">
        <f t="shared" si="52"/>
        <v>5</v>
      </c>
      <c r="AZ45">
        <f t="shared" si="53"/>
        <v>3.6303020000000004</v>
      </c>
      <c r="BA45">
        <f t="shared" si="48"/>
        <v>0.67449417150289737</v>
      </c>
      <c r="BB45">
        <f t="shared" si="91"/>
        <v>1.4825925000535076</v>
      </c>
      <c r="BC45">
        <f t="shared" si="54"/>
        <v>0</v>
      </c>
      <c r="BD45">
        <f t="shared" si="55"/>
        <v>0</v>
      </c>
      <c r="BE45">
        <f t="shared" si="56"/>
        <v>0</v>
      </c>
      <c r="BF45">
        <f t="shared" si="57"/>
        <v>0</v>
      </c>
      <c r="BG45">
        <f t="shared" si="58"/>
        <v>0</v>
      </c>
      <c r="BH45">
        <f t="shared" si="59"/>
        <v>0</v>
      </c>
      <c r="BI45">
        <f t="shared" si="60"/>
        <v>0</v>
      </c>
      <c r="BJ45">
        <f t="shared" si="61"/>
        <v>0</v>
      </c>
      <c r="BK45">
        <f t="shared" si="62"/>
        <v>0</v>
      </c>
      <c r="BL45">
        <f t="shared" si="63"/>
        <v>1</v>
      </c>
      <c r="BM45">
        <f t="shared" si="64"/>
        <v>0</v>
      </c>
      <c r="BN45">
        <f t="shared" si="65"/>
        <v>1</v>
      </c>
      <c r="BO45">
        <f t="shared" si="66"/>
        <v>0</v>
      </c>
      <c r="BP45">
        <f t="shared" si="67"/>
        <v>0</v>
      </c>
      <c r="BQ45">
        <f t="shared" si="68"/>
        <v>0</v>
      </c>
      <c r="BR45">
        <f t="shared" si="69"/>
        <v>1</v>
      </c>
      <c r="BS45">
        <f t="shared" si="70"/>
        <v>1</v>
      </c>
      <c r="BT45">
        <f t="shared" si="71"/>
        <v>0</v>
      </c>
      <c r="BU45">
        <f t="shared" si="72"/>
        <v>0</v>
      </c>
      <c r="BV45">
        <f t="shared" si="73"/>
        <v>0</v>
      </c>
      <c r="BW45">
        <f t="shared" si="74"/>
        <v>0</v>
      </c>
      <c r="BX45">
        <f t="shared" si="75"/>
        <v>1</v>
      </c>
      <c r="BY45">
        <f t="shared" si="76"/>
        <v>0</v>
      </c>
      <c r="BZ45">
        <f t="shared" si="77"/>
        <v>0</v>
      </c>
      <c r="CA45">
        <f t="shared" si="78"/>
        <v>0</v>
      </c>
      <c r="CB45">
        <f t="shared" si="79"/>
        <v>0</v>
      </c>
      <c r="CC45">
        <f t="shared" si="80"/>
        <v>0</v>
      </c>
      <c r="CD45">
        <f t="shared" si="81"/>
        <v>0</v>
      </c>
      <c r="CE45">
        <f t="shared" si="82"/>
        <v>0</v>
      </c>
      <c r="CF45">
        <f t="shared" si="83"/>
        <v>0</v>
      </c>
      <c r="CG45">
        <f t="shared" si="84"/>
        <v>0</v>
      </c>
      <c r="CH45">
        <f t="shared" si="85"/>
        <v>0</v>
      </c>
      <c r="CI45">
        <f t="shared" si="86"/>
        <v>0</v>
      </c>
      <c r="CJ45">
        <f t="shared" si="87"/>
        <v>3</v>
      </c>
      <c r="CK45">
        <f t="shared" si="88"/>
        <v>2</v>
      </c>
      <c r="CL45">
        <f t="shared" si="89"/>
        <v>5</v>
      </c>
    </row>
    <row r="46" spans="1:90">
      <c r="A46">
        <v>51</v>
      </c>
      <c r="B46">
        <v>0</v>
      </c>
      <c r="C46">
        <v>1</v>
      </c>
      <c r="D46">
        <v>1</v>
      </c>
      <c r="E46">
        <v>0</v>
      </c>
      <c r="F46" s="1">
        <v>11</v>
      </c>
      <c r="G46">
        <v>6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0.25042300000000001</v>
      </c>
      <c r="Y46">
        <v>0</v>
      </c>
      <c r="Z46">
        <v>0</v>
      </c>
      <c r="AA46">
        <v>4.0667000000000002E-2</v>
      </c>
      <c r="AB46">
        <v>0</v>
      </c>
      <c r="AC46">
        <v>0</v>
      </c>
      <c r="AD46">
        <v>0</v>
      </c>
      <c r="AE46">
        <v>0.27</v>
      </c>
      <c r="AF46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>
        <v>0</v>
      </c>
      <c r="AO46">
        <v>0</v>
      </c>
      <c r="AP46">
        <v>1</v>
      </c>
      <c r="AQ46">
        <v>2</v>
      </c>
      <c r="AR46">
        <v>3</v>
      </c>
      <c r="AS46">
        <f t="shared" si="49"/>
        <v>0</v>
      </c>
      <c r="AT46">
        <f t="shared" si="46"/>
        <v>0.25042300000000001</v>
      </c>
      <c r="AU46">
        <f t="shared" si="50"/>
        <v>0.31066700000000003</v>
      </c>
      <c r="AV46">
        <f t="shared" si="51"/>
        <v>0.56109000000000009</v>
      </c>
      <c r="AW46">
        <f t="shared" si="47"/>
        <v>0.43600983732559045</v>
      </c>
      <c r="AX46">
        <f t="shared" si="90"/>
        <v>2.2935262335680968</v>
      </c>
      <c r="AY46">
        <f t="shared" si="52"/>
        <v>3</v>
      </c>
      <c r="AZ46">
        <f t="shared" si="53"/>
        <v>0.56109000000000009</v>
      </c>
      <c r="BA46">
        <f t="shared" si="48"/>
        <v>0.43600983732559045</v>
      </c>
      <c r="BB46">
        <f t="shared" si="91"/>
        <v>2.2935262335680968</v>
      </c>
      <c r="BC46">
        <f t="shared" si="54"/>
        <v>0</v>
      </c>
      <c r="BD46">
        <f t="shared" si="55"/>
        <v>0</v>
      </c>
      <c r="BE46">
        <f t="shared" si="56"/>
        <v>0</v>
      </c>
      <c r="BF46">
        <f t="shared" si="57"/>
        <v>0</v>
      </c>
      <c r="BG46">
        <f t="shared" si="58"/>
        <v>0</v>
      </c>
      <c r="BH46">
        <f t="shared" si="59"/>
        <v>0</v>
      </c>
      <c r="BI46">
        <f t="shared" si="60"/>
        <v>0</v>
      </c>
      <c r="BJ46">
        <f t="shared" si="61"/>
        <v>0</v>
      </c>
      <c r="BK46">
        <f t="shared" si="62"/>
        <v>0</v>
      </c>
      <c r="BL46">
        <f t="shared" si="63"/>
        <v>0</v>
      </c>
      <c r="BM46">
        <f t="shared" si="64"/>
        <v>0</v>
      </c>
      <c r="BN46">
        <f t="shared" si="65"/>
        <v>0</v>
      </c>
      <c r="BO46">
        <f t="shared" si="66"/>
        <v>0</v>
      </c>
      <c r="BP46">
        <f t="shared" si="67"/>
        <v>0</v>
      </c>
      <c r="BQ46">
        <f t="shared" si="68"/>
        <v>0</v>
      </c>
      <c r="BR46">
        <f t="shared" si="69"/>
        <v>1</v>
      </c>
      <c r="BS46">
        <f t="shared" si="70"/>
        <v>0</v>
      </c>
      <c r="BT46">
        <f t="shared" si="71"/>
        <v>0</v>
      </c>
      <c r="BU46">
        <f t="shared" si="72"/>
        <v>1</v>
      </c>
      <c r="BV46">
        <f t="shared" si="73"/>
        <v>0</v>
      </c>
      <c r="BW46">
        <f t="shared" si="74"/>
        <v>0</v>
      </c>
      <c r="BX46">
        <f t="shared" si="75"/>
        <v>0</v>
      </c>
      <c r="BY46">
        <f t="shared" si="76"/>
        <v>1</v>
      </c>
      <c r="BZ46">
        <f t="shared" si="77"/>
        <v>0</v>
      </c>
      <c r="CA46">
        <f t="shared" si="78"/>
        <v>0</v>
      </c>
      <c r="CB46">
        <f t="shared" si="79"/>
        <v>0</v>
      </c>
      <c r="CC46">
        <f t="shared" si="80"/>
        <v>0</v>
      </c>
      <c r="CD46">
        <f t="shared" si="81"/>
        <v>0</v>
      </c>
      <c r="CE46">
        <f t="shared" si="82"/>
        <v>0</v>
      </c>
      <c r="CF46">
        <f t="shared" si="83"/>
        <v>0</v>
      </c>
      <c r="CG46">
        <f t="shared" si="84"/>
        <v>0</v>
      </c>
      <c r="CH46">
        <f t="shared" si="85"/>
        <v>0</v>
      </c>
      <c r="CI46">
        <f t="shared" si="86"/>
        <v>0</v>
      </c>
      <c r="CJ46">
        <f t="shared" si="87"/>
        <v>1</v>
      </c>
      <c r="CK46">
        <f t="shared" si="88"/>
        <v>2</v>
      </c>
      <c r="CL46">
        <f t="shared" si="89"/>
        <v>3</v>
      </c>
    </row>
    <row r="47" spans="1:90">
      <c r="A47">
        <v>52</v>
      </c>
      <c r="B47">
        <v>0</v>
      </c>
      <c r="C47">
        <v>1</v>
      </c>
      <c r="D47">
        <v>1</v>
      </c>
      <c r="E47">
        <v>1</v>
      </c>
      <c r="F47" s="1">
        <v>11</v>
      </c>
      <c r="G47">
        <v>6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0.37978200000000001</v>
      </c>
      <c r="Y47">
        <v>0</v>
      </c>
      <c r="Z47">
        <v>0</v>
      </c>
      <c r="AA47">
        <v>8.1334000000000004E-2</v>
      </c>
      <c r="AB47">
        <v>0</v>
      </c>
      <c r="AC47">
        <v>0</v>
      </c>
      <c r="AD47">
        <v>0</v>
      </c>
      <c r="AE47">
        <v>0.22500000000000001</v>
      </c>
      <c r="AF47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>
        <v>0</v>
      </c>
      <c r="AO47">
        <v>0</v>
      </c>
      <c r="AP47">
        <v>1</v>
      </c>
      <c r="AQ47">
        <v>2</v>
      </c>
      <c r="AR47">
        <v>3</v>
      </c>
      <c r="AS47">
        <f t="shared" si="49"/>
        <v>0</v>
      </c>
      <c r="AT47">
        <f t="shared" si="46"/>
        <v>0.37978200000000001</v>
      </c>
      <c r="AU47">
        <f t="shared" si="50"/>
        <v>0.306334</v>
      </c>
      <c r="AV47">
        <f t="shared" si="51"/>
        <v>0.68611600000000006</v>
      </c>
      <c r="AW47">
        <f t="shared" si="47"/>
        <v>0.42798168106098278</v>
      </c>
      <c r="AX47">
        <f t="shared" si="90"/>
        <v>2.3365486053537667</v>
      </c>
      <c r="AY47">
        <f t="shared" si="52"/>
        <v>3</v>
      </c>
      <c r="AZ47">
        <f t="shared" si="53"/>
        <v>0.68611600000000006</v>
      </c>
      <c r="BA47">
        <f t="shared" si="48"/>
        <v>0.42798168106098278</v>
      </c>
      <c r="BB47">
        <f t="shared" si="91"/>
        <v>2.3365486053537667</v>
      </c>
      <c r="BC47">
        <f t="shared" si="54"/>
        <v>0</v>
      </c>
      <c r="BD47">
        <f t="shared" si="55"/>
        <v>0</v>
      </c>
      <c r="BE47">
        <f t="shared" si="56"/>
        <v>0</v>
      </c>
      <c r="BF47">
        <f t="shared" si="57"/>
        <v>0</v>
      </c>
      <c r="BG47">
        <f t="shared" si="58"/>
        <v>0</v>
      </c>
      <c r="BH47">
        <f t="shared" si="59"/>
        <v>0</v>
      </c>
      <c r="BI47">
        <f t="shared" si="60"/>
        <v>0</v>
      </c>
      <c r="BJ47">
        <f t="shared" si="61"/>
        <v>0</v>
      </c>
      <c r="BK47">
        <f t="shared" si="62"/>
        <v>0</v>
      </c>
      <c r="BL47">
        <f t="shared" si="63"/>
        <v>0</v>
      </c>
      <c r="BM47">
        <f t="shared" si="64"/>
        <v>0</v>
      </c>
      <c r="BN47">
        <f t="shared" si="65"/>
        <v>0</v>
      </c>
      <c r="BO47">
        <f t="shared" si="66"/>
        <v>0</v>
      </c>
      <c r="BP47">
        <f t="shared" si="67"/>
        <v>0</v>
      </c>
      <c r="BQ47">
        <f t="shared" si="68"/>
        <v>0</v>
      </c>
      <c r="BR47">
        <f t="shared" si="69"/>
        <v>1</v>
      </c>
      <c r="BS47">
        <f t="shared" si="70"/>
        <v>0</v>
      </c>
      <c r="BT47">
        <f t="shared" si="71"/>
        <v>0</v>
      </c>
      <c r="BU47">
        <f t="shared" si="72"/>
        <v>1</v>
      </c>
      <c r="BV47">
        <f t="shared" si="73"/>
        <v>0</v>
      </c>
      <c r="BW47">
        <f t="shared" si="74"/>
        <v>0</v>
      </c>
      <c r="BX47">
        <f t="shared" si="75"/>
        <v>0</v>
      </c>
      <c r="BY47">
        <f t="shared" si="76"/>
        <v>1</v>
      </c>
      <c r="BZ47">
        <f t="shared" si="77"/>
        <v>0</v>
      </c>
      <c r="CA47">
        <f t="shared" si="78"/>
        <v>0</v>
      </c>
      <c r="CB47">
        <f t="shared" si="79"/>
        <v>0</v>
      </c>
      <c r="CC47">
        <f t="shared" si="80"/>
        <v>0</v>
      </c>
      <c r="CD47">
        <f t="shared" si="81"/>
        <v>0</v>
      </c>
      <c r="CE47">
        <f t="shared" si="82"/>
        <v>0</v>
      </c>
      <c r="CF47">
        <f t="shared" si="83"/>
        <v>0</v>
      </c>
      <c r="CG47">
        <f t="shared" si="84"/>
        <v>0</v>
      </c>
      <c r="CH47">
        <f t="shared" si="85"/>
        <v>0</v>
      </c>
      <c r="CI47">
        <f t="shared" si="86"/>
        <v>0</v>
      </c>
      <c r="CJ47">
        <f t="shared" si="87"/>
        <v>1</v>
      </c>
      <c r="CK47">
        <f t="shared" si="88"/>
        <v>2</v>
      </c>
      <c r="CL47">
        <f t="shared" si="89"/>
        <v>3</v>
      </c>
    </row>
    <row r="48" spans="1:90">
      <c r="A48">
        <v>55</v>
      </c>
      <c r="B48">
        <v>0</v>
      </c>
      <c r="C48">
        <v>1</v>
      </c>
      <c r="D48">
        <v>1</v>
      </c>
      <c r="E48">
        <v>0</v>
      </c>
      <c r="F48" s="1">
        <v>11</v>
      </c>
      <c r="G48">
        <v>6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0.40500000000000003</v>
      </c>
      <c r="S48">
        <v>0</v>
      </c>
      <c r="T48">
        <v>0</v>
      </c>
      <c r="U48">
        <v>0</v>
      </c>
      <c r="V48">
        <v>0</v>
      </c>
      <c r="W48">
        <v>0</v>
      </c>
      <c r="X48">
        <v>0.33057199999999998</v>
      </c>
      <c r="Y48">
        <v>0</v>
      </c>
      <c r="Z48">
        <v>0</v>
      </c>
      <c r="AA48">
        <v>0.16266800000000001</v>
      </c>
      <c r="AB48" s="4">
        <v>6.1665999999999999E-2</v>
      </c>
      <c r="AC48" s="4">
        <v>0</v>
      </c>
      <c r="AD48">
        <v>0</v>
      </c>
      <c r="AE48">
        <v>0.27</v>
      </c>
      <c r="AF48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>
        <v>0</v>
      </c>
      <c r="AO48">
        <v>0</v>
      </c>
      <c r="AP48">
        <v>2</v>
      </c>
      <c r="AQ48">
        <v>3</v>
      </c>
      <c r="AR48">
        <v>5</v>
      </c>
      <c r="AS48">
        <f t="shared" si="49"/>
        <v>0</v>
      </c>
      <c r="AT48">
        <f t="shared" si="46"/>
        <v>0.735572</v>
      </c>
      <c r="AU48">
        <f t="shared" si="50"/>
        <v>0.49433400000000005</v>
      </c>
      <c r="AV48">
        <f t="shared" si="51"/>
        <v>1.2299060000000002</v>
      </c>
      <c r="AW48">
        <f t="shared" si="47"/>
        <v>0.24887564860196798</v>
      </c>
      <c r="AX48">
        <f t="shared" si="90"/>
        <v>4.0180708945105383</v>
      </c>
      <c r="AY48">
        <f t="shared" si="52"/>
        <v>5</v>
      </c>
      <c r="AZ48">
        <f t="shared" si="53"/>
        <v>1.2299060000000002</v>
      </c>
      <c r="BA48">
        <f t="shared" si="48"/>
        <v>0.24887564860196798</v>
      </c>
      <c r="BB48">
        <f t="shared" si="91"/>
        <v>4.0180708945105383</v>
      </c>
      <c r="BC48">
        <f t="shared" si="54"/>
        <v>0</v>
      </c>
      <c r="BD48">
        <f t="shared" si="55"/>
        <v>0</v>
      </c>
      <c r="BE48">
        <f t="shared" si="56"/>
        <v>0</v>
      </c>
      <c r="BF48">
        <f t="shared" si="57"/>
        <v>0</v>
      </c>
      <c r="BG48">
        <f t="shared" si="58"/>
        <v>0</v>
      </c>
      <c r="BH48">
        <f t="shared" si="59"/>
        <v>0</v>
      </c>
      <c r="BI48">
        <f t="shared" si="60"/>
        <v>0</v>
      </c>
      <c r="BJ48">
        <f t="shared" si="61"/>
        <v>0</v>
      </c>
      <c r="BK48">
        <f t="shared" si="62"/>
        <v>0</v>
      </c>
      <c r="BL48">
        <f t="shared" si="63"/>
        <v>1</v>
      </c>
      <c r="BM48">
        <f t="shared" si="64"/>
        <v>0</v>
      </c>
      <c r="BN48">
        <f t="shared" si="65"/>
        <v>0</v>
      </c>
      <c r="BO48">
        <f t="shared" si="66"/>
        <v>0</v>
      </c>
      <c r="BP48">
        <f t="shared" si="67"/>
        <v>0</v>
      </c>
      <c r="BQ48">
        <f t="shared" si="68"/>
        <v>0</v>
      </c>
      <c r="BR48">
        <f t="shared" si="69"/>
        <v>1</v>
      </c>
      <c r="BS48">
        <f t="shared" si="70"/>
        <v>0</v>
      </c>
      <c r="BT48">
        <f t="shared" si="71"/>
        <v>0</v>
      </c>
      <c r="BU48">
        <f t="shared" si="72"/>
        <v>1</v>
      </c>
      <c r="BV48">
        <f t="shared" si="73"/>
        <v>1</v>
      </c>
      <c r="BW48">
        <f t="shared" si="74"/>
        <v>0</v>
      </c>
      <c r="BX48">
        <f t="shared" si="75"/>
        <v>0</v>
      </c>
      <c r="BY48">
        <f t="shared" si="76"/>
        <v>1</v>
      </c>
      <c r="BZ48">
        <f t="shared" si="77"/>
        <v>0</v>
      </c>
      <c r="CA48">
        <f t="shared" si="78"/>
        <v>0</v>
      </c>
      <c r="CB48">
        <f t="shared" si="79"/>
        <v>0</v>
      </c>
      <c r="CC48">
        <f t="shared" si="80"/>
        <v>0</v>
      </c>
      <c r="CD48">
        <f t="shared" si="81"/>
        <v>0</v>
      </c>
      <c r="CE48">
        <f t="shared" si="82"/>
        <v>0</v>
      </c>
      <c r="CF48">
        <f t="shared" si="83"/>
        <v>0</v>
      </c>
      <c r="CG48">
        <f t="shared" si="84"/>
        <v>0</v>
      </c>
      <c r="CH48">
        <f t="shared" si="85"/>
        <v>0</v>
      </c>
      <c r="CI48">
        <f t="shared" si="86"/>
        <v>0</v>
      </c>
      <c r="CJ48">
        <f t="shared" si="87"/>
        <v>2</v>
      </c>
      <c r="CK48">
        <f t="shared" si="88"/>
        <v>3</v>
      </c>
      <c r="CL48">
        <f t="shared" si="89"/>
        <v>5</v>
      </c>
    </row>
    <row r="49" spans="1:90">
      <c r="A49">
        <v>93</v>
      </c>
      <c r="B49">
        <v>0</v>
      </c>
      <c r="C49">
        <v>1</v>
      </c>
      <c r="D49">
        <v>1</v>
      </c>
      <c r="E49">
        <v>1</v>
      </c>
      <c r="F49" s="1">
        <v>11</v>
      </c>
      <c r="G49">
        <v>6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9.9683000000000008E-2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0.27</v>
      </c>
      <c r="AF49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>
        <v>0</v>
      </c>
      <c r="AO49">
        <v>0</v>
      </c>
      <c r="AP49">
        <v>1</v>
      </c>
      <c r="AQ49">
        <v>1</v>
      </c>
      <c r="AR49">
        <v>2</v>
      </c>
      <c r="AS49">
        <f t="shared" si="49"/>
        <v>0</v>
      </c>
      <c r="AT49">
        <f t="shared" si="46"/>
        <v>9.9683000000000008E-2</v>
      </c>
      <c r="AU49">
        <f t="shared" si="50"/>
        <v>0.27</v>
      </c>
      <c r="AV49">
        <f t="shared" si="51"/>
        <v>0.36968300000000004</v>
      </c>
      <c r="AW49">
        <f t="shared" si="47"/>
        <v>0.60612728208697964</v>
      </c>
      <c r="AX49">
        <f t="shared" si="90"/>
        <v>1.6498184944866074</v>
      </c>
      <c r="AY49">
        <f t="shared" si="52"/>
        <v>2</v>
      </c>
      <c r="AZ49">
        <f t="shared" si="53"/>
        <v>0.36968300000000004</v>
      </c>
      <c r="BA49">
        <f t="shared" si="48"/>
        <v>0.60612728208697964</v>
      </c>
      <c r="BB49">
        <f t="shared" si="91"/>
        <v>1.6498184944866074</v>
      </c>
      <c r="BC49">
        <f t="shared" si="54"/>
        <v>0</v>
      </c>
      <c r="BD49">
        <f t="shared" si="55"/>
        <v>0</v>
      </c>
      <c r="BE49">
        <f t="shared" si="56"/>
        <v>0</v>
      </c>
      <c r="BF49">
        <f t="shared" si="57"/>
        <v>0</v>
      </c>
      <c r="BG49">
        <f t="shared" si="58"/>
        <v>0</v>
      </c>
      <c r="BH49">
        <f t="shared" si="59"/>
        <v>0</v>
      </c>
      <c r="BI49">
        <f t="shared" si="60"/>
        <v>0</v>
      </c>
      <c r="BJ49">
        <f t="shared" si="61"/>
        <v>0</v>
      </c>
      <c r="BK49">
        <f t="shared" si="62"/>
        <v>0</v>
      </c>
      <c r="BL49">
        <f t="shared" si="63"/>
        <v>0</v>
      </c>
      <c r="BM49">
        <f t="shared" si="64"/>
        <v>0</v>
      </c>
      <c r="BN49">
        <f t="shared" si="65"/>
        <v>0</v>
      </c>
      <c r="BO49">
        <f t="shared" si="66"/>
        <v>0</v>
      </c>
      <c r="BP49">
        <f t="shared" si="67"/>
        <v>0</v>
      </c>
      <c r="BQ49">
        <f t="shared" si="68"/>
        <v>0</v>
      </c>
      <c r="BR49">
        <f t="shared" si="69"/>
        <v>1</v>
      </c>
      <c r="BS49">
        <f t="shared" si="70"/>
        <v>0</v>
      </c>
      <c r="BT49">
        <f t="shared" si="71"/>
        <v>0</v>
      </c>
      <c r="BU49">
        <f t="shared" si="72"/>
        <v>0</v>
      </c>
      <c r="BV49">
        <f t="shared" si="73"/>
        <v>0</v>
      </c>
      <c r="BW49">
        <f t="shared" si="74"/>
        <v>0</v>
      </c>
      <c r="BX49">
        <f t="shared" si="75"/>
        <v>0</v>
      </c>
      <c r="BY49">
        <f t="shared" si="76"/>
        <v>1</v>
      </c>
      <c r="BZ49">
        <f t="shared" si="77"/>
        <v>0</v>
      </c>
      <c r="CA49">
        <f t="shared" si="78"/>
        <v>0</v>
      </c>
      <c r="CB49">
        <f t="shared" si="79"/>
        <v>0</v>
      </c>
      <c r="CC49">
        <f t="shared" si="80"/>
        <v>0</v>
      </c>
      <c r="CD49">
        <f t="shared" si="81"/>
        <v>0</v>
      </c>
      <c r="CE49">
        <f t="shared" si="82"/>
        <v>0</v>
      </c>
      <c r="CF49">
        <f t="shared" si="83"/>
        <v>0</v>
      </c>
      <c r="CG49">
        <f t="shared" si="84"/>
        <v>0</v>
      </c>
      <c r="CH49">
        <f t="shared" si="85"/>
        <v>0</v>
      </c>
      <c r="CI49">
        <f t="shared" si="86"/>
        <v>0</v>
      </c>
      <c r="CJ49">
        <f t="shared" si="87"/>
        <v>1</v>
      </c>
      <c r="CK49">
        <f t="shared" si="88"/>
        <v>1</v>
      </c>
      <c r="CL49">
        <f t="shared" si="89"/>
        <v>2</v>
      </c>
    </row>
    <row r="50" spans="1:90">
      <c r="A50">
        <v>33</v>
      </c>
      <c r="B50">
        <v>0</v>
      </c>
      <c r="C50">
        <v>1</v>
      </c>
      <c r="D50">
        <v>1</v>
      </c>
      <c r="E50">
        <v>0</v>
      </c>
      <c r="F50" s="1">
        <v>12</v>
      </c>
      <c r="G50">
        <v>6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1">
        <v>1.5113999999999999E-2</v>
      </c>
      <c r="T50">
        <v>1.1225866666666668</v>
      </c>
      <c r="U50">
        <v>0</v>
      </c>
      <c r="V50">
        <v>2.6328000000000004E-2</v>
      </c>
      <c r="W50">
        <v>0</v>
      </c>
      <c r="X50">
        <v>0</v>
      </c>
      <c r="Y50">
        <v>0</v>
      </c>
      <c r="Z50">
        <v>0</v>
      </c>
      <c r="AA50" s="1">
        <v>0</v>
      </c>
      <c r="AB50">
        <v>0</v>
      </c>
      <c r="AC50">
        <v>0</v>
      </c>
      <c r="AD50">
        <v>0</v>
      </c>
      <c r="AE50">
        <v>0</v>
      </c>
      <c r="AF50">
        <v>0.35199999999999998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>
        <v>0</v>
      </c>
      <c r="AO50">
        <v>0</v>
      </c>
      <c r="AP50">
        <v>3</v>
      </c>
      <c r="AQ50">
        <v>1</v>
      </c>
      <c r="AR50">
        <v>4</v>
      </c>
      <c r="AS50">
        <f t="shared" si="49"/>
        <v>0</v>
      </c>
      <c r="AT50">
        <f t="shared" si="46"/>
        <v>1.1640286666666668</v>
      </c>
      <c r="AU50">
        <f t="shared" si="50"/>
        <v>0.35199999999999998</v>
      </c>
      <c r="AV50">
        <f t="shared" si="51"/>
        <v>1.5160286666666667</v>
      </c>
      <c r="AW50">
        <f t="shared" si="47"/>
        <v>0.60261956987234278</v>
      </c>
      <c r="AX50">
        <f t="shared" si="90"/>
        <v>1.6594217147840671</v>
      </c>
      <c r="AY50">
        <f t="shared" si="52"/>
        <v>4</v>
      </c>
      <c r="AZ50">
        <f t="shared" si="53"/>
        <v>1.5160286666666667</v>
      </c>
      <c r="BA50">
        <f t="shared" si="48"/>
        <v>0.60261956987234278</v>
      </c>
      <c r="BB50">
        <f t="shared" si="91"/>
        <v>1.6594217147840671</v>
      </c>
      <c r="BC50">
        <f t="shared" si="54"/>
        <v>0</v>
      </c>
      <c r="BD50">
        <f t="shared" si="55"/>
        <v>0</v>
      </c>
      <c r="BE50">
        <f t="shared" si="56"/>
        <v>0</v>
      </c>
      <c r="BF50">
        <f t="shared" si="57"/>
        <v>0</v>
      </c>
      <c r="BG50">
        <f t="shared" si="58"/>
        <v>0</v>
      </c>
      <c r="BH50">
        <f t="shared" si="59"/>
        <v>0</v>
      </c>
      <c r="BI50">
        <f t="shared" si="60"/>
        <v>0</v>
      </c>
      <c r="BJ50">
        <f t="shared" si="61"/>
        <v>0</v>
      </c>
      <c r="BK50">
        <f t="shared" si="62"/>
        <v>0</v>
      </c>
      <c r="BL50">
        <f t="shared" si="63"/>
        <v>0</v>
      </c>
      <c r="BM50">
        <f t="shared" si="64"/>
        <v>1</v>
      </c>
      <c r="BN50">
        <f t="shared" si="65"/>
        <v>1</v>
      </c>
      <c r="BO50">
        <f t="shared" si="66"/>
        <v>0</v>
      </c>
      <c r="BP50">
        <f t="shared" si="67"/>
        <v>1</v>
      </c>
      <c r="BQ50">
        <f t="shared" si="68"/>
        <v>0</v>
      </c>
      <c r="BR50">
        <f t="shared" si="69"/>
        <v>0</v>
      </c>
      <c r="BS50">
        <f t="shared" si="70"/>
        <v>0</v>
      </c>
      <c r="BT50">
        <f t="shared" si="71"/>
        <v>0</v>
      </c>
      <c r="BU50">
        <f t="shared" si="72"/>
        <v>0</v>
      </c>
      <c r="BV50">
        <f t="shared" si="73"/>
        <v>0</v>
      </c>
      <c r="BW50">
        <f t="shared" si="74"/>
        <v>0</v>
      </c>
      <c r="BX50">
        <f t="shared" si="75"/>
        <v>0</v>
      </c>
      <c r="BY50">
        <f t="shared" si="76"/>
        <v>0</v>
      </c>
      <c r="BZ50">
        <f t="shared" si="77"/>
        <v>1</v>
      </c>
      <c r="CA50">
        <f t="shared" si="78"/>
        <v>0</v>
      </c>
      <c r="CB50">
        <f t="shared" si="79"/>
        <v>0</v>
      </c>
      <c r="CC50">
        <f t="shared" si="80"/>
        <v>0</v>
      </c>
      <c r="CD50">
        <f t="shared" si="81"/>
        <v>0</v>
      </c>
      <c r="CE50">
        <f t="shared" si="82"/>
        <v>0</v>
      </c>
      <c r="CF50">
        <f t="shared" si="83"/>
        <v>0</v>
      </c>
      <c r="CG50">
        <f t="shared" si="84"/>
        <v>0</v>
      </c>
      <c r="CH50">
        <f t="shared" si="85"/>
        <v>0</v>
      </c>
      <c r="CI50">
        <f t="shared" si="86"/>
        <v>0</v>
      </c>
      <c r="CJ50">
        <f t="shared" si="87"/>
        <v>3</v>
      </c>
      <c r="CK50">
        <f t="shared" si="88"/>
        <v>1</v>
      </c>
      <c r="CL50">
        <f t="shared" si="89"/>
        <v>4</v>
      </c>
    </row>
    <row r="51" spans="1:90">
      <c r="A51">
        <v>48</v>
      </c>
      <c r="B51">
        <v>0</v>
      </c>
      <c r="C51">
        <v>1</v>
      </c>
      <c r="D51">
        <v>1</v>
      </c>
      <c r="E51">
        <v>1</v>
      </c>
      <c r="F51" s="1">
        <v>12</v>
      </c>
      <c r="G51">
        <v>6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1">
        <v>0</v>
      </c>
      <c r="T51">
        <v>0.69373333333333331</v>
      </c>
      <c r="U51">
        <v>0</v>
      </c>
      <c r="V51">
        <v>0.15138600000000002</v>
      </c>
      <c r="W51">
        <v>0</v>
      </c>
      <c r="X51" s="1">
        <v>3.7401000000000004E-2</v>
      </c>
      <c r="Y51">
        <v>0</v>
      </c>
      <c r="Z51">
        <v>0</v>
      </c>
      <c r="AA51" s="1">
        <v>0</v>
      </c>
      <c r="AB51">
        <v>0</v>
      </c>
      <c r="AC51">
        <v>0</v>
      </c>
      <c r="AD51">
        <v>0</v>
      </c>
      <c r="AE51">
        <v>0</v>
      </c>
      <c r="AF51">
        <v>0.128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>
        <v>0</v>
      </c>
      <c r="AO51">
        <v>0</v>
      </c>
      <c r="AP51">
        <v>3</v>
      </c>
      <c r="AQ51">
        <v>1</v>
      </c>
      <c r="AR51">
        <v>4</v>
      </c>
      <c r="AS51">
        <f t="shared" si="49"/>
        <v>0</v>
      </c>
      <c r="AT51">
        <f t="shared" si="46"/>
        <v>0.88252033333333335</v>
      </c>
      <c r="AU51">
        <f t="shared" si="50"/>
        <v>0.128</v>
      </c>
      <c r="AV51">
        <f t="shared" si="51"/>
        <v>1.0105203333333335</v>
      </c>
      <c r="AW51">
        <f t="shared" si="47"/>
        <v>0.51115488081248461</v>
      </c>
      <c r="AX51">
        <f t="shared" si="90"/>
        <v>1.9563542040535586</v>
      </c>
      <c r="AY51">
        <f t="shared" si="52"/>
        <v>4</v>
      </c>
      <c r="AZ51">
        <f t="shared" si="53"/>
        <v>1.0105203333333335</v>
      </c>
      <c r="BA51">
        <f t="shared" si="48"/>
        <v>0.51115488081248461</v>
      </c>
      <c r="BB51">
        <f t="shared" si="91"/>
        <v>1.9563542040535586</v>
      </c>
      <c r="BC51">
        <f t="shared" si="54"/>
        <v>0</v>
      </c>
      <c r="BD51">
        <f t="shared" si="55"/>
        <v>0</v>
      </c>
      <c r="BE51">
        <f t="shared" si="56"/>
        <v>0</v>
      </c>
      <c r="BF51">
        <f t="shared" si="57"/>
        <v>0</v>
      </c>
      <c r="BG51">
        <f t="shared" si="58"/>
        <v>0</v>
      </c>
      <c r="BH51">
        <f t="shared" si="59"/>
        <v>0</v>
      </c>
      <c r="BI51">
        <f t="shared" si="60"/>
        <v>0</v>
      </c>
      <c r="BJ51">
        <f t="shared" si="61"/>
        <v>0</v>
      </c>
      <c r="BK51">
        <f t="shared" si="62"/>
        <v>0</v>
      </c>
      <c r="BL51">
        <f t="shared" si="63"/>
        <v>0</v>
      </c>
      <c r="BM51">
        <f t="shared" si="64"/>
        <v>0</v>
      </c>
      <c r="BN51">
        <f t="shared" si="65"/>
        <v>1</v>
      </c>
      <c r="BO51">
        <f t="shared" si="66"/>
        <v>0</v>
      </c>
      <c r="BP51">
        <f t="shared" si="67"/>
        <v>1</v>
      </c>
      <c r="BQ51">
        <f t="shared" si="68"/>
        <v>0</v>
      </c>
      <c r="BR51">
        <f t="shared" si="69"/>
        <v>1</v>
      </c>
      <c r="BS51">
        <f t="shared" si="70"/>
        <v>0</v>
      </c>
      <c r="BT51">
        <f t="shared" si="71"/>
        <v>0</v>
      </c>
      <c r="BU51">
        <f t="shared" si="72"/>
        <v>0</v>
      </c>
      <c r="BV51">
        <f t="shared" si="73"/>
        <v>0</v>
      </c>
      <c r="BW51">
        <f t="shared" si="74"/>
        <v>0</v>
      </c>
      <c r="BX51">
        <f t="shared" si="75"/>
        <v>0</v>
      </c>
      <c r="BY51">
        <f t="shared" si="76"/>
        <v>0</v>
      </c>
      <c r="BZ51">
        <f t="shared" si="77"/>
        <v>1</v>
      </c>
      <c r="CA51">
        <f t="shared" si="78"/>
        <v>0</v>
      </c>
      <c r="CB51">
        <f t="shared" si="79"/>
        <v>0</v>
      </c>
      <c r="CC51">
        <f t="shared" si="80"/>
        <v>0</v>
      </c>
      <c r="CD51">
        <f t="shared" si="81"/>
        <v>0</v>
      </c>
      <c r="CE51">
        <f t="shared" si="82"/>
        <v>0</v>
      </c>
      <c r="CF51">
        <f t="shared" si="83"/>
        <v>0</v>
      </c>
      <c r="CG51">
        <f t="shared" si="84"/>
        <v>0</v>
      </c>
      <c r="CH51">
        <f t="shared" si="85"/>
        <v>0</v>
      </c>
      <c r="CI51">
        <f t="shared" si="86"/>
        <v>0</v>
      </c>
      <c r="CJ51">
        <f t="shared" si="87"/>
        <v>3</v>
      </c>
      <c r="CK51">
        <f t="shared" si="88"/>
        <v>1</v>
      </c>
      <c r="CL51">
        <f t="shared" si="89"/>
        <v>4</v>
      </c>
    </row>
    <row r="52" spans="1:90">
      <c r="A52">
        <v>87</v>
      </c>
      <c r="B52">
        <v>0</v>
      </c>
      <c r="C52">
        <v>1</v>
      </c>
      <c r="D52">
        <v>1</v>
      </c>
      <c r="E52">
        <v>0</v>
      </c>
      <c r="F52" s="1">
        <v>12</v>
      </c>
      <c r="G52">
        <v>6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s="1">
        <v>0</v>
      </c>
      <c r="T52">
        <v>0.42254666666666663</v>
      </c>
      <c r="U52">
        <v>0</v>
      </c>
      <c r="V52">
        <v>0.13164000000000001</v>
      </c>
      <c r="W52">
        <v>0</v>
      </c>
      <c r="X52">
        <v>0</v>
      </c>
      <c r="Y52">
        <v>0</v>
      </c>
      <c r="Z52">
        <v>0</v>
      </c>
      <c r="AA52" s="1">
        <v>0</v>
      </c>
      <c r="AB52">
        <v>0</v>
      </c>
      <c r="AC52">
        <v>4.1000000000000003E-3</v>
      </c>
      <c r="AD52" s="1">
        <v>3.8499999999999998E-4</v>
      </c>
      <c r="AE52">
        <v>0</v>
      </c>
      <c r="AF52">
        <v>6.4000000000000001E-2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>
        <v>0</v>
      </c>
      <c r="AO52">
        <v>0</v>
      </c>
      <c r="AP52">
        <v>2</v>
      </c>
      <c r="AQ52">
        <v>3</v>
      </c>
      <c r="AR52">
        <v>5</v>
      </c>
      <c r="AS52">
        <f t="shared" si="49"/>
        <v>0</v>
      </c>
      <c r="AT52">
        <f t="shared" si="46"/>
        <v>0.55418666666666661</v>
      </c>
      <c r="AU52">
        <f t="shared" si="50"/>
        <v>6.8485000000000004E-2</v>
      </c>
      <c r="AV52">
        <f t="shared" si="51"/>
        <v>0.62267166666666651</v>
      </c>
      <c r="AW52">
        <f t="shared" si="47"/>
        <v>0.51580452654170927</v>
      </c>
      <c r="AX52">
        <f t="shared" si="90"/>
        <v>1.9387189304146935</v>
      </c>
      <c r="AY52">
        <f t="shared" si="52"/>
        <v>5</v>
      </c>
      <c r="AZ52">
        <f t="shared" si="53"/>
        <v>0.62267166666666651</v>
      </c>
      <c r="BA52">
        <f t="shared" si="48"/>
        <v>0.51580452654170927</v>
      </c>
      <c r="BB52">
        <f t="shared" si="91"/>
        <v>1.9387189304146935</v>
      </c>
      <c r="BC52">
        <f t="shared" si="54"/>
        <v>0</v>
      </c>
      <c r="BD52">
        <f t="shared" si="55"/>
        <v>0</v>
      </c>
      <c r="BE52">
        <f t="shared" si="56"/>
        <v>0</v>
      </c>
      <c r="BF52">
        <f t="shared" si="57"/>
        <v>0</v>
      </c>
      <c r="BG52">
        <f t="shared" si="58"/>
        <v>0</v>
      </c>
      <c r="BH52">
        <f t="shared" si="59"/>
        <v>0</v>
      </c>
      <c r="BI52">
        <f t="shared" si="60"/>
        <v>0</v>
      </c>
      <c r="BJ52">
        <f t="shared" si="61"/>
        <v>0</v>
      </c>
      <c r="BK52">
        <f t="shared" si="62"/>
        <v>0</v>
      </c>
      <c r="BL52">
        <f t="shared" si="63"/>
        <v>0</v>
      </c>
      <c r="BM52">
        <f t="shared" si="64"/>
        <v>0</v>
      </c>
      <c r="BN52">
        <f t="shared" si="65"/>
        <v>1</v>
      </c>
      <c r="BO52">
        <f t="shared" si="66"/>
        <v>0</v>
      </c>
      <c r="BP52">
        <f t="shared" si="67"/>
        <v>1</v>
      </c>
      <c r="BQ52">
        <f t="shared" si="68"/>
        <v>0</v>
      </c>
      <c r="BR52">
        <f t="shared" si="69"/>
        <v>0</v>
      </c>
      <c r="BS52">
        <f t="shared" si="70"/>
        <v>0</v>
      </c>
      <c r="BT52">
        <f t="shared" si="71"/>
        <v>0</v>
      </c>
      <c r="BU52">
        <f t="shared" si="72"/>
        <v>0</v>
      </c>
      <c r="BV52">
        <f t="shared" si="73"/>
        <v>0</v>
      </c>
      <c r="BW52">
        <f t="shared" si="74"/>
        <v>1</v>
      </c>
      <c r="BX52">
        <f t="shared" si="75"/>
        <v>1</v>
      </c>
      <c r="BY52">
        <f t="shared" si="76"/>
        <v>0</v>
      </c>
      <c r="BZ52">
        <f t="shared" si="77"/>
        <v>1</v>
      </c>
      <c r="CA52">
        <f t="shared" si="78"/>
        <v>0</v>
      </c>
      <c r="CB52">
        <f t="shared" si="79"/>
        <v>0</v>
      </c>
      <c r="CC52">
        <f t="shared" si="80"/>
        <v>0</v>
      </c>
      <c r="CD52">
        <f t="shared" si="81"/>
        <v>0</v>
      </c>
      <c r="CE52">
        <f t="shared" si="82"/>
        <v>0</v>
      </c>
      <c r="CF52">
        <f t="shared" si="83"/>
        <v>0</v>
      </c>
      <c r="CG52">
        <f t="shared" si="84"/>
        <v>0</v>
      </c>
      <c r="CH52">
        <f t="shared" si="85"/>
        <v>0</v>
      </c>
      <c r="CI52">
        <f t="shared" si="86"/>
        <v>0</v>
      </c>
      <c r="CJ52">
        <f t="shared" si="87"/>
        <v>2</v>
      </c>
      <c r="CK52">
        <f t="shared" si="88"/>
        <v>3</v>
      </c>
      <c r="CL52">
        <f t="shared" si="89"/>
        <v>5</v>
      </c>
    </row>
    <row r="53" spans="1:90">
      <c r="A53">
        <v>104</v>
      </c>
      <c r="B53">
        <v>0</v>
      </c>
      <c r="C53">
        <v>1</v>
      </c>
      <c r="D53">
        <v>1</v>
      </c>
      <c r="E53">
        <v>1</v>
      </c>
      <c r="F53" s="1">
        <v>12</v>
      </c>
      <c r="G53">
        <v>6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s="1">
        <v>0</v>
      </c>
      <c r="T53">
        <v>0.50768666666666662</v>
      </c>
      <c r="U53">
        <v>0</v>
      </c>
      <c r="V53">
        <v>8.7760000000000008E-3</v>
      </c>
      <c r="W53">
        <v>0</v>
      </c>
      <c r="X53">
        <v>0</v>
      </c>
      <c r="Y53">
        <v>0</v>
      </c>
      <c r="Z53">
        <v>0</v>
      </c>
      <c r="AA53" s="1">
        <v>0</v>
      </c>
      <c r="AB53">
        <v>0</v>
      </c>
      <c r="AC53">
        <v>0</v>
      </c>
      <c r="AD53">
        <v>0</v>
      </c>
      <c r="AE53">
        <v>0</v>
      </c>
      <c r="AF53">
        <v>0.128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>
        <v>0</v>
      </c>
      <c r="AO53">
        <v>0</v>
      </c>
      <c r="AP53">
        <v>2</v>
      </c>
      <c r="AQ53">
        <v>1</v>
      </c>
      <c r="AR53">
        <v>3</v>
      </c>
      <c r="AS53">
        <f t="shared" si="49"/>
        <v>0</v>
      </c>
      <c r="AT53">
        <f t="shared" si="46"/>
        <v>0.51646266666666663</v>
      </c>
      <c r="AU53">
        <f t="shared" si="50"/>
        <v>0.128</v>
      </c>
      <c r="AV53">
        <f t="shared" si="51"/>
        <v>0.64446266666666663</v>
      </c>
      <c r="AW53">
        <f t="shared" si="47"/>
        <v>0.6602108306128065</v>
      </c>
      <c r="AX53">
        <f t="shared" si="90"/>
        <v>1.5146676692228782</v>
      </c>
      <c r="AY53">
        <f t="shared" si="52"/>
        <v>3</v>
      </c>
      <c r="AZ53">
        <f t="shared" si="53"/>
        <v>0.64446266666666663</v>
      </c>
      <c r="BA53">
        <f t="shared" si="48"/>
        <v>0.6602108306128065</v>
      </c>
      <c r="BB53">
        <f t="shared" si="91"/>
        <v>1.5146676692228782</v>
      </c>
      <c r="BC53">
        <f t="shared" si="54"/>
        <v>0</v>
      </c>
      <c r="BD53">
        <f t="shared" si="55"/>
        <v>0</v>
      </c>
      <c r="BE53">
        <f t="shared" si="56"/>
        <v>0</v>
      </c>
      <c r="BF53">
        <f t="shared" si="57"/>
        <v>0</v>
      </c>
      <c r="BG53">
        <f t="shared" si="58"/>
        <v>0</v>
      </c>
      <c r="BH53">
        <f t="shared" si="59"/>
        <v>0</v>
      </c>
      <c r="BI53">
        <f t="shared" si="60"/>
        <v>0</v>
      </c>
      <c r="BJ53">
        <f t="shared" si="61"/>
        <v>0</v>
      </c>
      <c r="BK53">
        <f t="shared" si="62"/>
        <v>0</v>
      </c>
      <c r="BL53">
        <f t="shared" si="63"/>
        <v>0</v>
      </c>
      <c r="BM53">
        <f t="shared" si="64"/>
        <v>0</v>
      </c>
      <c r="BN53">
        <f t="shared" si="65"/>
        <v>1</v>
      </c>
      <c r="BO53">
        <f t="shared" si="66"/>
        <v>0</v>
      </c>
      <c r="BP53">
        <f t="shared" si="67"/>
        <v>1</v>
      </c>
      <c r="BQ53">
        <f t="shared" si="68"/>
        <v>0</v>
      </c>
      <c r="BR53">
        <f t="shared" si="69"/>
        <v>0</v>
      </c>
      <c r="BS53">
        <f t="shared" si="70"/>
        <v>0</v>
      </c>
      <c r="BT53">
        <f t="shared" si="71"/>
        <v>0</v>
      </c>
      <c r="BU53">
        <f t="shared" si="72"/>
        <v>0</v>
      </c>
      <c r="BV53">
        <f t="shared" si="73"/>
        <v>0</v>
      </c>
      <c r="BW53">
        <f t="shared" si="74"/>
        <v>0</v>
      </c>
      <c r="BX53">
        <f t="shared" si="75"/>
        <v>0</v>
      </c>
      <c r="BY53">
        <f t="shared" si="76"/>
        <v>0</v>
      </c>
      <c r="BZ53">
        <f t="shared" si="77"/>
        <v>1</v>
      </c>
      <c r="CA53">
        <f t="shared" si="78"/>
        <v>0</v>
      </c>
      <c r="CB53">
        <f t="shared" si="79"/>
        <v>0</v>
      </c>
      <c r="CC53">
        <f t="shared" si="80"/>
        <v>0</v>
      </c>
      <c r="CD53">
        <f t="shared" si="81"/>
        <v>0</v>
      </c>
      <c r="CE53">
        <f t="shared" si="82"/>
        <v>0</v>
      </c>
      <c r="CF53">
        <f t="shared" si="83"/>
        <v>0</v>
      </c>
      <c r="CG53">
        <f t="shared" si="84"/>
        <v>0</v>
      </c>
      <c r="CH53">
        <f t="shared" si="85"/>
        <v>0</v>
      </c>
      <c r="CI53">
        <f t="shared" si="86"/>
        <v>0</v>
      </c>
      <c r="CJ53">
        <f t="shared" si="87"/>
        <v>2</v>
      </c>
      <c r="CK53">
        <f t="shared" si="88"/>
        <v>1</v>
      </c>
      <c r="CL53">
        <f t="shared" si="89"/>
        <v>3</v>
      </c>
    </row>
    <row r="54" spans="1:90">
      <c r="A54">
        <v>3</v>
      </c>
      <c r="B54">
        <v>1</v>
      </c>
      <c r="C54">
        <v>1</v>
      </c>
      <c r="D54">
        <v>1</v>
      </c>
      <c r="E54">
        <v>0</v>
      </c>
      <c r="F54" s="1">
        <v>13</v>
      </c>
      <c r="G54">
        <v>6</v>
      </c>
      <c r="H54">
        <v>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10.799807599999998</v>
      </c>
      <c r="Q54">
        <v>0.20250000000000001</v>
      </c>
      <c r="R54">
        <v>0</v>
      </c>
      <c r="S54">
        <v>0</v>
      </c>
      <c r="T54">
        <v>0</v>
      </c>
      <c r="U54">
        <v>0</v>
      </c>
      <c r="V54">
        <v>0</v>
      </c>
      <c r="W54">
        <v>1.3216649999999999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4.6199999999999998E-2</v>
      </c>
      <c r="AE54" s="4">
        <v>0</v>
      </c>
      <c r="AF54" s="4">
        <v>0.25600000000000001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>
        <v>0</v>
      </c>
      <c r="AO54">
        <v>1</v>
      </c>
      <c r="AP54">
        <v>2</v>
      </c>
      <c r="AQ54">
        <v>2</v>
      </c>
      <c r="AR54">
        <v>5</v>
      </c>
      <c r="AS54">
        <f t="shared" si="49"/>
        <v>10.799807599999998</v>
      </c>
      <c r="AT54">
        <f t="shared" si="46"/>
        <v>1.524165</v>
      </c>
      <c r="AU54">
        <f t="shared" si="50"/>
        <v>0.30220000000000002</v>
      </c>
      <c r="AV54">
        <f t="shared" si="51"/>
        <v>12.626172599999999</v>
      </c>
      <c r="AW54">
        <f t="shared" si="47"/>
        <v>0.74326398786389958</v>
      </c>
      <c r="AX54">
        <f t="shared" si="90"/>
        <v>1.345416993595971</v>
      </c>
      <c r="AY54">
        <f t="shared" si="52"/>
        <v>5</v>
      </c>
      <c r="AZ54">
        <f t="shared" si="53"/>
        <v>12.626172599999999</v>
      </c>
      <c r="BA54">
        <f t="shared" si="48"/>
        <v>0.74326398786389958</v>
      </c>
      <c r="BB54">
        <f t="shared" si="91"/>
        <v>1.345416993595971</v>
      </c>
      <c r="BC54">
        <f t="shared" si="54"/>
        <v>0</v>
      </c>
      <c r="BD54">
        <f t="shared" si="55"/>
        <v>0</v>
      </c>
      <c r="BE54">
        <f t="shared" si="56"/>
        <v>0</v>
      </c>
      <c r="BF54">
        <f t="shared" si="57"/>
        <v>0</v>
      </c>
      <c r="BG54">
        <f t="shared" si="58"/>
        <v>0</v>
      </c>
      <c r="BH54">
        <f t="shared" si="59"/>
        <v>0</v>
      </c>
      <c r="BI54">
        <f t="shared" si="60"/>
        <v>0</v>
      </c>
      <c r="BJ54">
        <f t="shared" si="61"/>
        <v>1</v>
      </c>
      <c r="BK54">
        <f t="shared" si="62"/>
        <v>1</v>
      </c>
      <c r="BL54">
        <f t="shared" si="63"/>
        <v>0</v>
      </c>
      <c r="BM54">
        <f t="shared" si="64"/>
        <v>0</v>
      </c>
      <c r="BN54">
        <f t="shared" si="65"/>
        <v>0</v>
      </c>
      <c r="BO54">
        <f t="shared" si="66"/>
        <v>0</v>
      </c>
      <c r="BP54">
        <f t="shared" si="67"/>
        <v>0</v>
      </c>
      <c r="BQ54">
        <f t="shared" si="68"/>
        <v>1</v>
      </c>
      <c r="BR54">
        <f t="shared" si="69"/>
        <v>0</v>
      </c>
      <c r="BS54">
        <f t="shared" si="70"/>
        <v>0</v>
      </c>
      <c r="BT54">
        <f t="shared" si="71"/>
        <v>0</v>
      </c>
      <c r="BU54">
        <f t="shared" si="72"/>
        <v>0</v>
      </c>
      <c r="BV54">
        <f t="shared" si="73"/>
        <v>0</v>
      </c>
      <c r="BW54">
        <f t="shared" si="74"/>
        <v>0</v>
      </c>
      <c r="BX54">
        <f t="shared" si="75"/>
        <v>1</v>
      </c>
      <c r="BY54">
        <f t="shared" si="76"/>
        <v>0</v>
      </c>
      <c r="BZ54">
        <f t="shared" si="77"/>
        <v>1</v>
      </c>
      <c r="CA54">
        <f t="shared" si="78"/>
        <v>0</v>
      </c>
      <c r="CB54">
        <f t="shared" si="79"/>
        <v>0</v>
      </c>
      <c r="CC54">
        <f t="shared" si="80"/>
        <v>0</v>
      </c>
      <c r="CD54">
        <f t="shared" si="81"/>
        <v>0</v>
      </c>
      <c r="CE54">
        <f t="shared" si="82"/>
        <v>0</v>
      </c>
      <c r="CF54">
        <f t="shared" si="83"/>
        <v>0</v>
      </c>
      <c r="CG54">
        <f t="shared" si="84"/>
        <v>0</v>
      </c>
      <c r="CH54">
        <f t="shared" si="85"/>
        <v>0</v>
      </c>
      <c r="CI54">
        <f t="shared" si="86"/>
        <v>1</v>
      </c>
      <c r="CJ54">
        <f t="shared" si="87"/>
        <v>2</v>
      </c>
      <c r="CK54">
        <f t="shared" si="88"/>
        <v>2</v>
      </c>
      <c r="CL54">
        <f t="shared" si="89"/>
        <v>5</v>
      </c>
    </row>
    <row r="55" spans="1:90">
      <c r="A55">
        <v>32</v>
      </c>
      <c r="B55">
        <v>1</v>
      </c>
      <c r="C55">
        <v>1</v>
      </c>
      <c r="D55">
        <v>1</v>
      </c>
      <c r="E55">
        <v>1</v>
      </c>
      <c r="F55" s="1">
        <v>13</v>
      </c>
      <c r="G55">
        <v>6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6.8971175999999996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7.1369909999999992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s="4">
        <v>2.6949999999999999E-3</v>
      </c>
      <c r="AE55">
        <v>0</v>
      </c>
      <c r="AF55">
        <v>0.51200000000000001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>
        <v>0</v>
      </c>
      <c r="AO55">
        <v>1</v>
      </c>
      <c r="AP55">
        <v>1</v>
      </c>
      <c r="AQ55">
        <v>2</v>
      </c>
      <c r="AR55">
        <v>4</v>
      </c>
      <c r="AS55">
        <f t="shared" si="49"/>
        <v>6.8971175999999996</v>
      </c>
      <c r="AT55">
        <f t="shared" si="46"/>
        <v>7.1369909999999992</v>
      </c>
      <c r="AU55">
        <f t="shared" si="50"/>
        <v>0.51469500000000001</v>
      </c>
      <c r="AV55">
        <f t="shared" si="51"/>
        <v>14.548803599999999</v>
      </c>
      <c r="AW55">
        <f t="shared" si="47"/>
        <v>0.46662305788157343</v>
      </c>
      <c r="AX55">
        <f t="shared" si="90"/>
        <v>2.143057405992558</v>
      </c>
      <c r="AY55">
        <f t="shared" si="52"/>
        <v>4</v>
      </c>
      <c r="AZ55">
        <f t="shared" si="53"/>
        <v>14.548803599999999</v>
      </c>
      <c r="BA55">
        <f t="shared" si="48"/>
        <v>0.46662305788157343</v>
      </c>
      <c r="BB55">
        <f t="shared" si="91"/>
        <v>2.143057405992558</v>
      </c>
      <c r="BC55">
        <f t="shared" si="54"/>
        <v>0</v>
      </c>
      <c r="BD55">
        <f t="shared" si="55"/>
        <v>0</v>
      </c>
      <c r="BE55">
        <f t="shared" si="56"/>
        <v>0</v>
      </c>
      <c r="BF55">
        <f t="shared" si="57"/>
        <v>0</v>
      </c>
      <c r="BG55">
        <f t="shared" si="58"/>
        <v>0</v>
      </c>
      <c r="BH55">
        <f t="shared" si="59"/>
        <v>0</v>
      </c>
      <c r="BI55">
        <f t="shared" si="60"/>
        <v>0</v>
      </c>
      <c r="BJ55">
        <f t="shared" si="61"/>
        <v>1</v>
      </c>
      <c r="BK55">
        <f t="shared" si="62"/>
        <v>0</v>
      </c>
      <c r="BL55">
        <f t="shared" si="63"/>
        <v>0</v>
      </c>
      <c r="BM55">
        <f t="shared" si="64"/>
        <v>0</v>
      </c>
      <c r="BN55">
        <f t="shared" si="65"/>
        <v>0</v>
      </c>
      <c r="BO55">
        <f t="shared" si="66"/>
        <v>0</v>
      </c>
      <c r="BP55">
        <f t="shared" si="67"/>
        <v>0</v>
      </c>
      <c r="BQ55">
        <f t="shared" si="68"/>
        <v>1</v>
      </c>
      <c r="BR55">
        <f t="shared" si="69"/>
        <v>0</v>
      </c>
      <c r="BS55">
        <f t="shared" si="70"/>
        <v>0</v>
      </c>
      <c r="BT55">
        <f t="shared" si="71"/>
        <v>0</v>
      </c>
      <c r="BU55">
        <f t="shared" si="72"/>
        <v>0</v>
      </c>
      <c r="BV55">
        <f t="shared" si="73"/>
        <v>0</v>
      </c>
      <c r="BW55">
        <f t="shared" si="74"/>
        <v>0</v>
      </c>
      <c r="BX55">
        <f t="shared" si="75"/>
        <v>1</v>
      </c>
      <c r="BY55">
        <f t="shared" si="76"/>
        <v>0</v>
      </c>
      <c r="BZ55">
        <f t="shared" si="77"/>
        <v>1</v>
      </c>
      <c r="CA55">
        <f t="shared" si="78"/>
        <v>0</v>
      </c>
      <c r="CB55">
        <f t="shared" si="79"/>
        <v>0</v>
      </c>
      <c r="CC55">
        <f t="shared" si="80"/>
        <v>0</v>
      </c>
      <c r="CD55">
        <f t="shared" si="81"/>
        <v>0</v>
      </c>
      <c r="CE55">
        <f t="shared" si="82"/>
        <v>0</v>
      </c>
      <c r="CF55">
        <f t="shared" si="83"/>
        <v>0</v>
      </c>
      <c r="CG55">
        <f t="shared" si="84"/>
        <v>0</v>
      </c>
      <c r="CH55">
        <f t="shared" si="85"/>
        <v>0</v>
      </c>
      <c r="CI55">
        <f t="shared" si="86"/>
        <v>1</v>
      </c>
      <c r="CJ55">
        <f t="shared" si="87"/>
        <v>1</v>
      </c>
      <c r="CK55">
        <f t="shared" si="88"/>
        <v>2</v>
      </c>
      <c r="CL55">
        <f t="shared" si="89"/>
        <v>4</v>
      </c>
    </row>
    <row r="56" spans="1:90">
      <c r="A56">
        <v>74</v>
      </c>
      <c r="B56">
        <v>1</v>
      </c>
      <c r="C56">
        <v>1</v>
      </c>
      <c r="D56">
        <v>1</v>
      </c>
      <c r="E56">
        <v>0</v>
      </c>
      <c r="F56" s="1">
        <v>13</v>
      </c>
      <c r="G56">
        <v>6</v>
      </c>
      <c r="H56">
        <v>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4.5255105000000002</v>
      </c>
      <c r="Q56">
        <v>4.725E-2</v>
      </c>
      <c r="R56">
        <v>0</v>
      </c>
      <c r="S56">
        <v>0</v>
      </c>
      <c r="T56">
        <v>0</v>
      </c>
      <c r="U56">
        <v>0</v>
      </c>
      <c r="V56">
        <v>0</v>
      </c>
      <c r="W56">
        <v>1.585998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s="4">
        <v>2.3099999999999999E-2</v>
      </c>
      <c r="AE56">
        <v>0</v>
      </c>
      <c r="AF56">
        <v>0.192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>
        <v>0</v>
      </c>
      <c r="AO56">
        <v>2</v>
      </c>
      <c r="AP56">
        <v>3</v>
      </c>
      <c r="AQ56">
        <v>2</v>
      </c>
      <c r="AR56">
        <v>7</v>
      </c>
      <c r="AS56">
        <f>SUM(J56:P56)</f>
        <v>4.5255105000000002</v>
      </c>
      <c r="AT56">
        <f t="shared" si="46"/>
        <v>1.633248</v>
      </c>
      <c r="AU56">
        <f t="shared" si="50"/>
        <v>0.21510000000000001</v>
      </c>
      <c r="AV56">
        <f>SUM(J56:AL56)</f>
        <v>6.3738585000000008</v>
      </c>
      <c r="AW56" t="e">
        <f>(P56/AV56)^2+(J56/AV56)^2+(K56/AV56)^2+(L56/AV56)^2+(M56/AV56)^2+(N56/AV56)^2+(O56/AV56)^2+(#REF!/AV56)^2+(#REF!/AV56)^2+(Q56/AV56)^2+(S56/AV56)^2+(T56/AV56)^2+(U56/AV56)^2+(V56/AV56)^2+(W56/AV56)^2+(X56/AV56)^2+(Y56/AV56)^2+(Z56/AV56)^2+(AA56/AV56)^2+(AB56/AV56)^2+(AC56/AV56)^2+(AD56/AV56)^2+(AE56/AV56)^2+(AF56/AV56)^2+(AG56/AV56)^2+(AH56/AV56)^2+(AI56/AV56)^2+(AJ56/AV56)^2+(AK56/AV56)^2+(AL56/AV56)^2</f>
        <v>#REF!</v>
      </c>
      <c r="AX56" t="e">
        <f t="shared" si="90"/>
        <v>#REF!</v>
      </c>
      <c r="AY56">
        <f t="shared" si="52"/>
        <v>7</v>
      </c>
      <c r="AZ56">
        <f>SUM(J56:AF56)</f>
        <v>6.3738585000000008</v>
      </c>
      <c r="BA56">
        <f>(M56/AZ56)^2+(N56/AZ56)^2+(O56/AZ56)^2+(P56/AZ56)^2+(R56/AZ56)^2+(Q56/AZ56)^2+(S56/AZ56)^2+(T56/AZ56)^2+(U56/AZ56)^2+(V56/AZ56)^2+(W56/AZ56)^2+(X56/AZ56)^2+(Y56/AZ56)^2+(Z56/AZ56)^2+(AA56/AZ56)^2+(AB56/AZ56)^2+(AC56/AZ56)^2+(AD56/AZ56)^2+(AE56/AZ56)^2+(AF56/AZ56)^2+(P56/AZ56)^2+(J56/AZ56)^2+(K56/AZ56)^2+(L56/AZ56)^2</f>
        <v>1.0711227560725245</v>
      </c>
      <c r="BB56">
        <f t="shared" si="91"/>
        <v>0.93359980854733249</v>
      </c>
      <c r="BC56">
        <f>IF(P56=0,0,1)</f>
        <v>1</v>
      </c>
      <c r="BD56">
        <f t="shared" ref="BD56:BD87" si="92">IF(J56=0,0,1)</f>
        <v>0</v>
      </c>
      <c r="BE56">
        <f t="shared" ref="BE56:BE87" si="93">IF(K56=0,0,1)</f>
        <v>0</v>
      </c>
      <c r="BF56">
        <f t="shared" ref="BF56:BF87" si="94">IF(L56=0,0,1)</f>
        <v>0</v>
      </c>
      <c r="BG56">
        <f t="shared" ref="BG56:BG87" si="95">IF(M56=0,0,1)</f>
        <v>0</v>
      </c>
      <c r="BH56">
        <f t="shared" ref="BH56:BH87" si="96">IF(N56=0,0,1)</f>
        <v>0</v>
      </c>
      <c r="BI56">
        <f t="shared" ref="BI56:BI87" si="97">IF(O56=0,0,1)</f>
        <v>0</v>
      </c>
      <c r="BJ56">
        <f t="shared" ref="BJ56:BJ87" si="98">IF(P56=0,0,1)</f>
        <v>1</v>
      </c>
      <c r="BK56">
        <f t="shared" ref="BK56:BK87" si="99">IF(Q56=0,0,1)</f>
        <v>1</v>
      </c>
      <c r="BL56">
        <f>IF(Q56=0,0,1)</f>
        <v>1</v>
      </c>
      <c r="BM56">
        <f t="shared" ref="BM56:BM87" si="100">IF(S56=0,0,1)</f>
        <v>0</v>
      </c>
      <c r="BN56">
        <f t="shared" ref="BN56:BN87" si="101">IF(T56=0,0,1)</f>
        <v>0</v>
      </c>
      <c r="BO56">
        <f t="shared" ref="BO56:BO87" si="102">IF(U56=0,0,1)</f>
        <v>0</v>
      </c>
      <c r="BP56">
        <f t="shared" ref="BP56:BP87" si="103">IF(V56=0,0,1)</f>
        <v>0</v>
      </c>
      <c r="BQ56">
        <f t="shared" ref="BQ56:BQ87" si="104">IF(W56=0,0,1)</f>
        <v>1</v>
      </c>
      <c r="BR56">
        <f t="shared" ref="BR56:BR87" si="105">IF(X56=0,0,1)</f>
        <v>0</v>
      </c>
      <c r="BS56">
        <f t="shared" ref="BS56:BS87" si="106">IF(Y56=0,0,1)</f>
        <v>0</v>
      </c>
      <c r="BT56">
        <f t="shared" ref="BT56:BT87" si="107">IF(Z56=0,0,1)</f>
        <v>0</v>
      </c>
      <c r="BU56">
        <f t="shared" ref="BU56:BU87" si="108">IF(AA56=0,0,1)</f>
        <v>0</v>
      </c>
      <c r="BV56">
        <f t="shared" ref="BV56:BV87" si="109">IF(AB56=0,0,1)</f>
        <v>0</v>
      </c>
      <c r="BW56">
        <f t="shared" ref="BW56:BW87" si="110">IF(AC56=0,0,1)</f>
        <v>0</v>
      </c>
      <c r="BX56">
        <f t="shared" ref="BX56:BX87" si="111">IF(AD56=0,0,1)</f>
        <v>1</v>
      </c>
      <c r="BY56">
        <f t="shared" ref="BY56:BY87" si="112">IF(AE56=0,0,1)</f>
        <v>0</v>
      </c>
      <c r="BZ56">
        <f t="shared" ref="BZ56:BZ87" si="113">IF(AF56=0,0,1)</f>
        <v>1</v>
      </c>
      <c r="CA56">
        <f t="shared" ref="CA56:CA87" si="114">IF(AG56=0,0,1)</f>
        <v>0</v>
      </c>
      <c r="CB56">
        <f t="shared" ref="CB56:CB87" si="115">IF(AH56=0,0,1)</f>
        <v>0</v>
      </c>
      <c r="CC56">
        <f t="shared" ref="CC56:CC87" si="116">IF(AI56=0,0,1)</f>
        <v>0</v>
      </c>
      <c r="CD56">
        <f t="shared" ref="CD56:CD87" si="117">IF(AJ56=0,0,1)</f>
        <v>0</v>
      </c>
      <c r="CE56">
        <f t="shared" ref="CE56:CE87" si="118">IF(AK56=0,0,1)</f>
        <v>0</v>
      </c>
      <c r="CF56">
        <f t="shared" ref="CF56:CF87" si="119">IF(AL56=0,0,1)</f>
        <v>0</v>
      </c>
      <c r="CG56">
        <f t="shared" ref="CG56:CG87" si="120">IF(AM56=0,0,1)</f>
        <v>0</v>
      </c>
      <c r="CH56">
        <f t="shared" si="85"/>
        <v>0</v>
      </c>
      <c r="CI56">
        <f t="shared" si="86"/>
        <v>2</v>
      </c>
      <c r="CJ56">
        <f t="shared" si="87"/>
        <v>3</v>
      </c>
      <c r="CK56">
        <f t="shared" si="88"/>
        <v>2</v>
      </c>
      <c r="CL56">
        <f t="shared" si="89"/>
        <v>7</v>
      </c>
    </row>
    <row r="57" spans="1:90">
      <c r="A57">
        <v>101</v>
      </c>
      <c r="B57">
        <v>1</v>
      </c>
      <c r="C57">
        <v>1</v>
      </c>
      <c r="D57">
        <v>1</v>
      </c>
      <c r="E57">
        <v>1</v>
      </c>
      <c r="F57" s="1">
        <v>13</v>
      </c>
      <c r="G57">
        <v>6</v>
      </c>
      <c r="H57">
        <v>3</v>
      </c>
      <c r="I57">
        <v>0</v>
      </c>
      <c r="J57">
        <v>0</v>
      </c>
      <c r="K57">
        <v>0</v>
      </c>
      <c r="L57">
        <v>0.13807559999999999</v>
      </c>
      <c r="M57">
        <v>0</v>
      </c>
      <c r="N57">
        <v>0</v>
      </c>
      <c r="O57">
        <v>0</v>
      </c>
      <c r="P57">
        <v>5.6624483999999988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6.2023919999999997</v>
      </c>
      <c r="X57" s="1">
        <v>1.2467000000000001E-2</v>
      </c>
      <c r="Y57">
        <v>0</v>
      </c>
      <c r="Z57">
        <v>0</v>
      </c>
      <c r="AA57">
        <v>0</v>
      </c>
      <c r="AB57">
        <v>0</v>
      </c>
      <c r="AC57">
        <v>0</v>
      </c>
      <c r="AD57" s="1">
        <v>0</v>
      </c>
      <c r="AE57" s="4">
        <v>0</v>
      </c>
      <c r="AF57" s="1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>
        <v>0</v>
      </c>
      <c r="AO57">
        <v>2</v>
      </c>
      <c r="AP57">
        <v>2</v>
      </c>
      <c r="AQ57">
        <v>0</v>
      </c>
      <c r="AR57">
        <v>4</v>
      </c>
      <c r="AS57">
        <f t="shared" ref="AS57:AS88" si="121">SUM(I57:P57)</f>
        <v>5.8005239999999985</v>
      </c>
      <c r="AT57">
        <f t="shared" si="46"/>
        <v>6.2148589999999997</v>
      </c>
      <c r="AU57">
        <f t="shared" si="50"/>
        <v>0</v>
      </c>
      <c r="AV57">
        <f t="shared" ref="AV57:AV88" si="122">SUM(I57:AL57)</f>
        <v>12.015382999999998</v>
      </c>
      <c r="AW57">
        <f t="shared" ref="AW57:AW91" si="123">(I57/AV57)^2+(J57/AV57)^2+(K57/AV57)^2+(L57/AV57)^2+(M57/AV57)^2+(N57/AV57)^2+(O57/AV57)^2+(P57/AV57)^2+(Q57/AV57)^2+(R57/AV57)^2+(S57/AV57)^2+(T57/AV57)^2+(U57/AV57)^2+(V57/AV57)^2+(W57/AV57)^2+(X57/AV57)^2+(Y57/AV57)^2+(Z57/AV57)^2+(AA57/AV57)^2+(AB57/AV57)^2+(AC57/AV57)^2+(AD57/AV57)^2+(AE57/AV57)^2+(AF57/AV57)^2+(AG57/AV57)^2+(AH57/AV57)^2+(AI57/AV57)^2+(AJ57/AV57)^2+(AK57/AV57)^2+(AL57/AV57)^2</f>
        <v>0.4886921654256744</v>
      </c>
      <c r="AX57">
        <f t="shared" si="90"/>
        <v>2.0462779449900776</v>
      </c>
      <c r="AY57">
        <f t="shared" si="52"/>
        <v>4</v>
      </c>
      <c r="AZ57">
        <f t="shared" ref="AZ57:AZ88" si="124">SUM(I57:AF57)</f>
        <v>12.015382999999998</v>
      </c>
      <c r="BA57">
        <f t="shared" ref="BA57:BA91" si="125">(M57/AZ57)^2+(N57/AZ57)^2+(O57/AZ57)^2+(P57/AZ57)^2+(Q57/AZ57)^2+(R57/AZ57)^2+(S57/AZ57)^2+(T57/AZ57)^2+(U57/AZ57)^2+(V57/AZ57)^2+(W57/AZ57)^2+(X57/AZ57)^2+(Y57/AZ57)^2+(Z57/AZ57)^2+(AA57/AZ57)^2+(AB57/AZ57)^2+(AC57/AZ57)^2+(AD57/AZ57)^2+(AE57/AZ57)^2+(AF57/AZ57)^2+(I57/AZ57)^2+(J57/AZ57)^2+(K57/AZ57)^2+(L57/AZ57)^2</f>
        <v>0.4886921654256744</v>
      </c>
      <c r="BB57">
        <f t="shared" si="91"/>
        <v>2.0462779449900776</v>
      </c>
      <c r="BC57">
        <f t="shared" ref="BC57:BC88" si="126">IF(I57=0,0,1)</f>
        <v>0</v>
      </c>
      <c r="BD57">
        <f t="shared" si="92"/>
        <v>0</v>
      </c>
      <c r="BE57">
        <f t="shared" si="93"/>
        <v>0</v>
      </c>
      <c r="BF57">
        <f t="shared" si="94"/>
        <v>1</v>
      </c>
      <c r="BG57">
        <f t="shared" si="95"/>
        <v>0</v>
      </c>
      <c r="BH57">
        <f t="shared" si="96"/>
        <v>0</v>
      </c>
      <c r="BI57">
        <f t="shared" si="97"/>
        <v>0</v>
      </c>
      <c r="BJ57">
        <f t="shared" si="98"/>
        <v>1</v>
      </c>
      <c r="BK57">
        <f t="shared" si="99"/>
        <v>0</v>
      </c>
      <c r="BL57">
        <f t="shared" ref="BL57:BL91" si="127">IF(R57=0,0,1)</f>
        <v>0</v>
      </c>
      <c r="BM57">
        <f t="shared" si="100"/>
        <v>0</v>
      </c>
      <c r="BN57">
        <f t="shared" si="101"/>
        <v>0</v>
      </c>
      <c r="BO57">
        <f t="shared" si="102"/>
        <v>0</v>
      </c>
      <c r="BP57">
        <f t="shared" si="103"/>
        <v>0</v>
      </c>
      <c r="BQ57">
        <f t="shared" si="104"/>
        <v>1</v>
      </c>
      <c r="BR57">
        <f t="shared" si="105"/>
        <v>1</v>
      </c>
      <c r="BS57">
        <f t="shared" si="106"/>
        <v>0</v>
      </c>
      <c r="BT57">
        <f t="shared" si="107"/>
        <v>0</v>
      </c>
      <c r="BU57">
        <f t="shared" si="108"/>
        <v>0</v>
      </c>
      <c r="BV57">
        <f t="shared" si="109"/>
        <v>0</v>
      </c>
      <c r="BW57">
        <f t="shared" si="110"/>
        <v>0</v>
      </c>
      <c r="BX57">
        <f t="shared" si="111"/>
        <v>0</v>
      </c>
      <c r="BY57">
        <f t="shared" si="112"/>
        <v>0</v>
      </c>
      <c r="BZ57">
        <f t="shared" si="113"/>
        <v>0</v>
      </c>
      <c r="CA57">
        <f t="shared" si="114"/>
        <v>0</v>
      </c>
      <c r="CB57">
        <f t="shared" si="115"/>
        <v>0</v>
      </c>
      <c r="CC57">
        <f t="shared" si="116"/>
        <v>0</v>
      </c>
      <c r="CD57">
        <f t="shared" si="117"/>
        <v>0</v>
      </c>
      <c r="CE57">
        <f t="shared" si="118"/>
        <v>0</v>
      </c>
      <c r="CF57">
        <f t="shared" si="119"/>
        <v>0</v>
      </c>
      <c r="CG57">
        <f t="shared" si="120"/>
        <v>0</v>
      </c>
      <c r="CH57">
        <f t="shared" si="85"/>
        <v>0</v>
      </c>
      <c r="CI57">
        <f t="shared" si="86"/>
        <v>2</v>
      </c>
      <c r="CJ57">
        <f t="shared" si="87"/>
        <v>2</v>
      </c>
      <c r="CK57">
        <f t="shared" si="88"/>
        <v>0</v>
      </c>
      <c r="CL57">
        <f t="shared" si="89"/>
        <v>4</v>
      </c>
    </row>
    <row r="58" spans="1:90">
      <c r="A58">
        <v>1</v>
      </c>
      <c r="B58">
        <v>1</v>
      </c>
      <c r="C58">
        <v>1</v>
      </c>
      <c r="D58">
        <v>1</v>
      </c>
      <c r="E58">
        <v>0</v>
      </c>
      <c r="F58" s="1">
        <v>14</v>
      </c>
      <c r="G58">
        <v>6</v>
      </c>
      <c r="H58">
        <v>3</v>
      </c>
      <c r="I58">
        <v>0</v>
      </c>
      <c r="J58">
        <v>0</v>
      </c>
      <c r="K58">
        <v>0</v>
      </c>
      <c r="L58">
        <v>0.148059528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0.82617333333333332</v>
      </c>
      <c r="U58" s="4">
        <v>0</v>
      </c>
      <c r="V58" s="4">
        <v>0</v>
      </c>
      <c r="W58" s="4">
        <v>0</v>
      </c>
      <c r="X58" s="4">
        <v>1.0644</v>
      </c>
      <c r="Y58" s="4">
        <v>0</v>
      </c>
      <c r="Z58" s="4">
        <v>1.9430000000000001E-4</v>
      </c>
      <c r="AA58" s="1">
        <v>4.0667000000000002E-2</v>
      </c>
      <c r="AB58" s="4">
        <v>0</v>
      </c>
      <c r="AC58" s="4">
        <v>4.1000000000000003E-3</v>
      </c>
      <c r="AD58" s="4">
        <v>0</v>
      </c>
      <c r="AE58" s="4">
        <v>0</v>
      </c>
      <c r="AF58" s="4">
        <v>0</v>
      </c>
      <c r="AG58" s="2">
        <v>0</v>
      </c>
      <c r="AH58" s="2">
        <v>0</v>
      </c>
      <c r="AI58" s="2">
        <v>0</v>
      </c>
      <c r="AJ58" s="2">
        <v>0</v>
      </c>
      <c r="AK58" s="2">
        <v>4.3880000000000002E-2</v>
      </c>
      <c r="AL58" s="2">
        <v>0</v>
      </c>
      <c r="AM58" s="2">
        <v>0</v>
      </c>
      <c r="AN58">
        <v>1</v>
      </c>
      <c r="AO58">
        <v>1</v>
      </c>
      <c r="AP58">
        <v>2</v>
      </c>
      <c r="AQ58">
        <v>3</v>
      </c>
      <c r="AR58">
        <v>7</v>
      </c>
      <c r="AS58">
        <f t="shared" si="121"/>
        <v>0.148059528</v>
      </c>
      <c r="AT58">
        <f t="shared" si="46"/>
        <v>1.8905733333333332</v>
      </c>
      <c r="AU58">
        <f t="shared" si="50"/>
        <v>4.4961300000000003E-2</v>
      </c>
      <c r="AV58">
        <f t="shared" si="122"/>
        <v>2.1274741613333337</v>
      </c>
      <c r="AW58">
        <f t="shared" si="123"/>
        <v>0.40675385695764321</v>
      </c>
      <c r="AX58">
        <f t="shared" si="90"/>
        <v>2.4584892875499733</v>
      </c>
      <c r="AY58">
        <f t="shared" si="52"/>
        <v>6</v>
      </c>
      <c r="AZ58">
        <f t="shared" si="124"/>
        <v>2.0835941613333335</v>
      </c>
      <c r="BA58">
        <f t="shared" si="125"/>
        <v>0.4236230241612996</v>
      </c>
      <c r="BB58">
        <f t="shared" si="91"/>
        <v>2.3605893517705447</v>
      </c>
      <c r="BC58">
        <f t="shared" si="126"/>
        <v>0</v>
      </c>
      <c r="BD58">
        <f t="shared" si="92"/>
        <v>0</v>
      </c>
      <c r="BE58">
        <f t="shared" si="93"/>
        <v>0</v>
      </c>
      <c r="BF58">
        <f t="shared" si="94"/>
        <v>1</v>
      </c>
      <c r="BG58">
        <f t="shared" si="95"/>
        <v>0</v>
      </c>
      <c r="BH58">
        <f t="shared" si="96"/>
        <v>0</v>
      </c>
      <c r="BI58">
        <f t="shared" si="97"/>
        <v>0</v>
      </c>
      <c r="BJ58">
        <f t="shared" si="98"/>
        <v>0</v>
      </c>
      <c r="BK58">
        <f t="shared" si="99"/>
        <v>0</v>
      </c>
      <c r="BL58">
        <f t="shared" si="127"/>
        <v>0</v>
      </c>
      <c r="BM58">
        <f t="shared" si="100"/>
        <v>0</v>
      </c>
      <c r="BN58">
        <f t="shared" si="101"/>
        <v>1</v>
      </c>
      <c r="BO58">
        <f t="shared" si="102"/>
        <v>0</v>
      </c>
      <c r="BP58">
        <f t="shared" si="103"/>
        <v>0</v>
      </c>
      <c r="BQ58">
        <f t="shared" si="104"/>
        <v>0</v>
      </c>
      <c r="BR58">
        <f t="shared" si="105"/>
        <v>1</v>
      </c>
      <c r="BS58">
        <f t="shared" si="106"/>
        <v>0</v>
      </c>
      <c r="BT58">
        <f t="shared" si="107"/>
        <v>1</v>
      </c>
      <c r="BU58">
        <f t="shared" si="108"/>
        <v>1</v>
      </c>
      <c r="BV58">
        <f t="shared" si="109"/>
        <v>0</v>
      </c>
      <c r="BW58">
        <f t="shared" si="110"/>
        <v>1</v>
      </c>
      <c r="BX58">
        <f t="shared" si="111"/>
        <v>0</v>
      </c>
      <c r="BY58">
        <f t="shared" si="112"/>
        <v>0</v>
      </c>
      <c r="BZ58">
        <f t="shared" si="113"/>
        <v>0</v>
      </c>
      <c r="CA58">
        <f t="shared" si="114"/>
        <v>0</v>
      </c>
      <c r="CB58">
        <f t="shared" si="115"/>
        <v>0</v>
      </c>
      <c r="CC58">
        <f t="shared" si="116"/>
        <v>0</v>
      </c>
      <c r="CD58">
        <f t="shared" si="117"/>
        <v>0</v>
      </c>
      <c r="CE58">
        <f t="shared" si="118"/>
        <v>1</v>
      </c>
      <c r="CF58">
        <f t="shared" si="119"/>
        <v>0</v>
      </c>
      <c r="CG58">
        <f t="shared" si="120"/>
        <v>0</v>
      </c>
      <c r="CH58">
        <f t="shared" si="85"/>
        <v>1</v>
      </c>
      <c r="CI58">
        <f t="shared" si="86"/>
        <v>1</v>
      </c>
      <c r="CJ58">
        <f t="shared" si="87"/>
        <v>2</v>
      </c>
      <c r="CK58">
        <f t="shared" si="88"/>
        <v>3</v>
      </c>
      <c r="CL58">
        <f t="shared" si="89"/>
        <v>7</v>
      </c>
    </row>
    <row r="59" spans="1:90">
      <c r="A59">
        <v>14</v>
      </c>
      <c r="B59">
        <v>1</v>
      </c>
      <c r="C59">
        <v>1</v>
      </c>
      <c r="D59">
        <v>1</v>
      </c>
      <c r="E59">
        <v>1</v>
      </c>
      <c r="F59" s="1">
        <v>14</v>
      </c>
      <c r="G59">
        <v>6</v>
      </c>
      <c r="H59">
        <v>3</v>
      </c>
      <c r="I59">
        <v>0</v>
      </c>
      <c r="J59">
        <v>0</v>
      </c>
      <c r="K59">
        <v>0</v>
      </c>
      <c r="L59">
        <v>0.212424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7.252666666666667E-2</v>
      </c>
      <c r="U59">
        <v>0</v>
      </c>
      <c r="V59">
        <v>0</v>
      </c>
      <c r="W59">
        <v>0</v>
      </c>
      <c r="X59">
        <v>2.1140030000000003</v>
      </c>
      <c r="Y59">
        <v>0</v>
      </c>
      <c r="Z59">
        <v>1.3600999999999999E-3</v>
      </c>
      <c r="AA59">
        <v>0</v>
      </c>
      <c r="AB59">
        <v>0</v>
      </c>
      <c r="AC59">
        <v>2.0500000000000001E-2</v>
      </c>
      <c r="AD59">
        <v>0</v>
      </c>
      <c r="AE59">
        <v>0</v>
      </c>
      <c r="AF59">
        <v>0</v>
      </c>
      <c r="AG59" s="2">
        <v>1.3584000000000001E-2</v>
      </c>
      <c r="AH59" s="2">
        <v>0</v>
      </c>
      <c r="AI59" s="2">
        <v>0</v>
      </c>
      <c r="AJ59" s="2">
        <v>0</v>
      </c>
      <c r="AK59" s="2">
        <v>0.13164000000000001</v>
      </c>
      <c r="AL59" s="2">
        <v>0</v>
      </c>
      <c r="AM59" s="2">
        <v>0</v>
      </c>
      <c r="AN59">
        <v>2</v>
      </c>
      <c r="AO59">
        <v>1</v>
      </c>
      <c r="AP59">
        <v>2</v>
      </c>
      <c r="AQ59">
        <v>2</v>
      </c>
      <c r="AR59">
        <v>7</v>
      </c>
      <c r="AS59">
        <f t="shared" si="121"/>
        <v>0.212424</v>
      </c>
      <c r="AT59">
        <f t="shared" si="46"/>
        <v>2.1865296666666669</v>
      </c>
      <c r="AU59">
        <f t="shared" si="50"/>
        <v>2.18601E-2</v>
      </c>
      <c r="AV59">
        <f t="shared" si="122"/>
        <v>2.5660377666666667</v>
      </c>
      <c r="AW59">
        <f t="shared" si="123"/>
        <v>0.68908711996328853</v>
      </c>
      <c r="AX59">
        <f t="shared" si="90"/>
        <v>1.4511953148293868</v>
      </c>
      <c r="AY59">
        <f t="shared" si="52"/>
        <v>5</v>
      </c>
      <c r="AZ59">
        <f t="shared" si="124"/>
        <v>2.4208137666666669</v>
      </c>
      <c r="BA59">
        <f t="shared" si="125"/>
        <v>0.77125480815145309</v>
      </c>
      <c r="BB59">
        <f t="shared" si="91"/>
        <v>1.2965883511271772</v>
      </c>
      <c r="BC59">
        <f t="shared" si="126"/>
        <v>0</v>
      </c>
      <c r="BD59">
        <f t="shared" si="92"/>
        <v>0</v>
      </c>
      <c r="BE59">
        <f t="shared" si="93"/>
        <v>0</v>
      </c>
      <c r="BF59">
        <f t="shared" si="94"/>
        <v>1</v>
      </c>
      <c r="BG59">
        <f t="shared" si="95"/>
        <v>0</v>
      </c>
      <c r="BH59">
        <f t="shared" si="96"/>
        <v>0</v>
      </c>
      <c r="BI59">
        <f t="shared" si="97"/>
        <v>0</v>
      </c>
      <c r="BJ59">
        <f t="shared" si="98"/>
        <v>0</v>
      </c>
      <c r="BK59">
        <f t="shared" si="99"/>
        <v>0</v>
      </c>
      <c r="BL59">
        <f t="shared" si="127"/>
        <v>0</v>
      </c>
      <c r="BM59">
        <f t="shared" si="100"/>
        <v>0</v>
      </c>
      <c r="BN59">
        <f t="shared" si="101"/>
        <v>1</v>
      </c>
      <c r="BO59">
        <f t="shared" si="102"/>
        <v>0</v>
      </c>
      <c r="BP59">
        <f t="shared" si="103"/>
        <v>0</v>
      </c>
      <c r="BQ59">
        <f t="shared" si="104"/>
        <v>0</v>
      </c>
      <c r="BR59">
        <f t="shared" si="105"/>
        <v>1</v>
      </c>
      <c r="BS59">
        <f t="shared" si="106"/>
        <v>0</v>
      </c>
      <c r="BT59">
        <f t="shared" si="107"/>
        <v>1</v>
      </c>
      <c r="BU59">
        <f t="shared" si="108"/>
        <v>0</v>
      </c>
      <c r="BV59">
        <f t="shared" si="109"/>
        <v>0</v>
      </c>
      <c r="BW59">
        <f t="shared" si="110"/>
        <v>1</v>
      </c>
      <c r="BX59">
        <f t="shared" si="111"/>
        <v>0</v>
      </c>
      <c r="BY59">
        <f t="shared" si="112"/>
        <v>0</v>
      </c>
      <c r="BZ59">
        <f t="shared" si="113"/>
        <v>0</v>
      </c>
      <c r="CA59">
        <f t="shared" si="114"/>
        <v>1</v>
      </c>
      <c r="CB59">
        <f t="shared" si="115"/>
        <v>0</v>
      </c>
      <c r="CC59">
        <f t="shared" si="116"/>
        <v>0</v>
      </c>
      <c r="CD59">
        <f t="shared" si="117"/>
        <v>0</v>
      </c>
      <c r="CE59">
        <f t="shared" si="118"/>
        <v>1</v>
      </c>
      <c r="CF59">
        <f t="shared" si="119"/>
        <v>0</v>
      </c>
      <c r="CG59">
        <f t="shared" si="120"/>
        <v>0</v>
      </c>
      <c r="CH59">
        <f t="shared" si="85"/>
        <v>2</v>
      </c>
      <c r="CI59">
        <f t="shared" si="86"/>
        <v>1</v>
      </c>
      <c r="CJ59">
        <f t="shared" si="87"/>
        <v>2</v>
      </c>
      <c r="CK59">
        <f t="shared" si="88"/>
        <v>2</v>
      </c>
      <c r="CL59">
        <f t="shared" si="89"/>
        <v>7</v>
      </c>
    </row>
    <row r="60" spans="1:90">
      <c r="A60">
        <v>73</v>
      </c>
      <c r="B60">
        <v>1</v>
      </c>
      <c r="C60">
        <v>1</v>
      </c>
      <c r="D60">
        <v>1</v>
      </c>
      <c r="E60">
        <v>0</v>
      </c>
      <c r="F60" s="1">
        <v>14</v>
      </c>
      <c r="G60">
        <v>6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0.84194000000000002</v>
      </c>
      <c r="U60">
        <v>0</v>
      </c>
      <c r="V60">
        <v>0</v>
      </c>
      <c r="W60">
        <v>0</v>
      </c>
      <c r="X60">
        <v>0.56181300000000001</v>
      </c>
      <c r="Y60">
        <v>0</v>
      </c>
      <c r="Z60">
        <v>1.9430000000000001E-3</v>
      </c>
      <c r="AA60">
        <v>0</v>
      </c>
      <c r="AB60">
        <v>0</v>
      </c>
      <c r="AC60">
        <v>1.2300000000000002E-2</v>
      </c>
      <c r="AD60">
        <v>0</v>
      </c>
      <c r="AE60">
        <v>0</v>
      </c>
      <c r="AF60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>
        <v>0</v>
      </c>
      <c r="AO60">
        <v>0</v>
      </c>
      <c r="AP60">
        <v>2</v>
      </c>
      <c r="AQ60">
        <v>2</v>
      </c>
      <c r="AR60">
        <v>4</v>
      </c>
      <c r="AS60">
        <f t="shared" si="121"/>
        <v>0</v>
      </c>
      <c r="AT60">
        <f t="shared" si="46"/>
        <v>1.403753</v>
      </c>
      <c r="AU60">
        <f t="shared" si="50"/>
        <v>1.4243000000000002E-2</v>
      </c>
      <c r="AV60">
        <f t="shared" si="122"/>
        <v>1.417996</v>
      </c>
      <c r="AW60">
        <f t="shared" si="123"/>
        <v>0.50959637258574375</v>
      </c>
      <c r="AX60">
        <f t="shared" si="90"/>
        <v>1.9623373591258086</v>
      </c>
      <c r="AY60">
        <f t="shared" si="52"/>
        <v>4</v>
      </c>
      <c r="AZ60">
        <f t="shared" si="124"/>
        <v>1.417996</v>
      </c>
      <c r="BA60">
        <f t="shared" si="125"/>
        <v>0.50959637258574375</v>
      </c>
      <c r="BB60">
        <f t="shared" si="91"/>
        <v>1.9623373591258086</v>
      </c>
      <c r="BC60">
        <f t="shared" si="126"/>
        <v>0</v>
      </c>
      <c r="BD60">
        <f t="shared" si="92"/>
        <v>0</v>
      </c>
      <c r="BE60">
        <f t="shared" si="93"/>
        <v>0</v>
      </c>
      <c r="BF60">
        <f t="shared" si="94"/>
        <v>0</v>
      </c>
      <c r="BG60">
        <f t="shared" si="95"/>
        <v>0</v>
      </c>
      <c r="BH60">
        <f t="shared" si="96"/>
        <v>0</v>
      </c>
      <c r="BI60">
        <f t="shared" si="97"/>
        <v>0</v>
      </c>
      <c r="BJ60">
        <f t="shared" si="98"/>
        <v>0</v>
      </c>
      <c r="BK60">
        <f t="shared" si="99"/>
        <v>0</v>
      </c>
      <c r="BL60">
        <f t="shared" si="127"/>
        <v>0</v>
      </c>
      <c r="BM60">
        <f t="shared" si="100"/>
        <v>0</v>
      </c>
      <c r="BN60">
        <f t="shared" si="101"/>
        <v>1</v>
      </c>
      <c r="BO60">
        <f t="shared" si="102"/>
        <v>0</v>
      </c>
      <c r="BP60">
        <f t="shared" si="103"/>
        <v>0</v>
      </c>
      <c r="BQ60">
        <f t="shared" si="104"/>
        <v>0</v>
      </c>
      <c r="BR60">
        <f t="shared" si="105"/>
        <v>1</v>
      </c>
      <c r="BS60">
        <f t="shared" si="106"/>
        <v>0</v>
      </c>
      <c r="BT60">
        <f t="shared" si="107"/>
        <v>1</v>
      </c>
      <c r="BU60">
        <f t="shared" si="108"/>
        <v>0</v>
      </c>
      <c r="BV60">
        <f t="shared" si="109"/>
        <v>0</v>
      </c>
      <c r="BW60">
        <f t="shared" si="110"/>
        <v>1</v>
      </c>
      <c r="BX60">
        <f t="shared" si="111"/>
        <v>0</v>
      </c>
      <c r="BY60">
        <f t="shared" si="112"/>
        <v>0</v>
      </c>
      <c r="BZ60">
        <f t="shared" si="113"/>
        <v>0</v>
      </c>
      <c r="CA60">
        <f t="shared" si="114"/>
        <v>0</v>
      </c>
      <c r="CB60">
        <f t="shared" si="115"/>
        <v>0</v>
      </c>
      <c r="CC60">
        <f t="shared" si="116"/>
        <v>0</v>
      </c>
      <c r="CD60">
        <f t="shared" si="117"/>
        <v>0</v>
      </c>
      <c r="CE60">
        <f t="shared" si="118"/>
        <v>0</v>
      </c>
      <c r="CF60">
        <f t="shared" si="119"/>
        <v>0</v>
      </c>
      <c r="CG60">
        <f t="shared" si="120"/>
        <v>0</v>
      </c>
      <c r="CH60">
        <f t="shared" si="85"/>
        <v>0</v>
      </c>
      <c r="CI60">
        <f t="shared" si="86"/>
        <v>0</v>
      </c>
      <c r="CJ60">
        <f t="shared" si="87"/>
        <v>2</v>
      </c>
      <c r="CK60">
        <f t="shared" si="88"/>
        <v>2</v>
      </c>
      <c r="CL60">
        <f t="shared" si="89"/>
        <v>4</v>
      </c>
    </row>
    <row r="61" spans="1:90">
      <c r="A61">
        <v>105</v>
      </c>
      <c r="B61">
        <v>1</v>
      </c>
      <c r="C61">
        <v>1</v>
      </c>
      <c r="D61">
        <v>1</v>
      </c>
      <c r="E61">
        <v>1</v>
      </c>
      <c r="F61" s="1">
        <v>14</v>
      </c>
      <c r="G61">
        <v>6</v>
      </c>
      <c r="H61">
        <v>3</v>
      </c>
      <c r="I61">
        <v>0</v>
      </c>
      <c r="J61">
        <v>0</v>
      </c>
      <c r="K61">
        <v>0</v>
      </c>
      <c r="L61">
        <v>1.0621200000000001E-2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0.60228666666666664</v>
      </c>
      <c r="U61">
        <v>0</v>
      </c>
      <c r="V61">
        <v>0</v>
      </c>
      <c r="W61">
        <v>0</v>
      </c>
      <c r="X61">
        <v>2.2442320000000002</v>
      </c>
      <c r="Y61">
        <v>0</v>
      </c>
      <c r="Z61">
        <v>2.1373E-3</v>
      </c>
      <c r="AA61" s="1">
        <v>4.0667000000000002E-2</v>
      </c>
      <c r="AB61">
        <v>0</v>
      </c>
      <c r="AC61">
        <v>1.2300000000000002E-2</v>
      </c>
      <c r="AD61">
        <v>0</v>
      </c>
      <c r="AE61">
        <v>0</v>
      </c>
      <c r="AF61">
        <v>0</v>
      </c>
      <c r="AG61" s="2">
        <v>0</v>
      </c>
      <c r="AH61" s="2">
        <v>0</v>
      </c>
      <c r="AI61" s="2">
        <v>0</v>
      </c>
      <c r="AJ61" s="2">
        <v>0</v>
      </c>
      <c r="AK61" s="2">
        <v>4.3880000000000002E-2</v>
      </c>
      <c r="AL61" s="2">
        <v>0</v>
      </c>
      <c r="AM61" s="2">
        <v>0</v>
      </c>
      <c r="AN61">
        <v>1</v>
      </c>
      <c r="AO61">
        <v>1</v>
      </c>
      <c r="AP61">
        <v>2</v>
      </c>
      <c r="AQ61">
        <v>3</v>
      </c>
      <c r="AR61">
        <v>7</v>
      </c>
      <c r="AS61">
        <f t="shared" si="121"/>
        <v>1.0621200000000001E-2</v>
      </c>
      <c r="AT61">
        <f t="shared" si="46"/>
        <v>2.8465186666666669</v>
      </c>
      <c r="AU61">
        <f t="shared" si="50"/>
        <v>5.5104300000000009E-2</v>
      </c>
      <c r="AV61">
        <f t="shared" si="122"/>
        <v>2.9561241666666671</v>
      </c>
      <c r="AW61">
        <f t="shared" si="123"/>
        <v>0.61830626068075178</v>
      </c>
      <c r="AX61">
        <f t="shared" si="90"/>
        <v>1.6173214854706557</v>
      </c>
      <c r="AY61">
        <f t="shared" si="52"/>
        <v>6</v>
      </c>
      <c r="AZ61">
        <f t="shared" si="124"/>
        <v>2.912244166666667</v>
      </c>
      <c r="BA61">
        <f t="shared" si="125"/>
        <v>0.63685216355251206</v>
      </c>
      <c r="BB61">
        <f t="shared" si="91"/>
        <v>1.5702231337674404</v>
      </c>
      <c r="BC61">
        <f t="shared" si="126"/>
        <v>0</v>
      </c>
      <c r="BD61">
        <f t="shared" si="92"/>
        <v>0</v>
      </c>
      <c r="BE61">
        <f t="shared" si="93"/>
        <v>0</v>
      </c>
      <c r="BF61">
        <f t="shared" si="94"/>
        <v>1</v>
      </c>
      <c r="BG61">
        <f t="shared" si="95"/>
        <v>0</v>
      </c>
      <c r="BH61">
        <f t="shared" si="96"/>
        <v>0</v>
      </c>
      <c r="BI61">
        <f t="shared" si="97"/>
        <v>0</v>
      </c>
      <c r="BJ61">
        <f t="shared" si="98"/>
        <v>0</v>
      </c>
      <c r="BK61">
        <f t="shared" si="99"/>
        <v>0</v>
      </c>
      <c r="BL61">
        <f t="shared" si="127"/>
        <v>0</v>
      </c>
      <c r="BM61">
        <f t="shared" si="100"/>
        <v>0</v>
      </c>
      <c r="BN61">
        <f t="shared" si="101"/>
        <v>1</v>
      </c>
      <c r="BO61">
        <f t="shared" si="102"/>
        <v>0</v>
      </c>
      <c r="BP61">
        <f t="shared" si="103"/>
        <v>0</v>
      </c>
      <c r="BQ61">
        <f t="shared" si="104"/>
        <v>0</v>
      </c>
      <c r="BR61">
        <f t="shared" si="105"/>
        <v>1</v>
      </c>
      <c r="BS61">
        <f t="shared" si="106"/>
        <v>0</v>
      </c>
      <c r="BT61">
        <f t="shared" si="107"/>
        <v>1</v>
      </c>
      <c r="BU61">
        <f t="shared" si="108"/>
        <v>1</v>
      </c>
      <c r="BV61">
        <f t="shared" si="109"/>
        <v>0</v>
      </c>
      <c r="BW61">
        <f t="shared" si="110"/>
        <v>1</v>
      </c>
      <c r="BX61">
        <f t="shared" si="111"/>
        <v>0</v>
      </c>
      <c r="BY61">
        <f t="shared" si="112"/>
        <v>0</v>
      </c>
      <c r="BZ61">
        <f t="shared" si="113"/>
        <v>0</v>
      </c>
      <c r="CA61">
        <f t="shared" si="114"/>
        <v>0</v>
      </c>
      <c r="CB61">
        <f t="shared" si="115"/>
        <v>0</v>
      </c>
      <c r="CC61">
        <f t="shared" si="116"/>
        <v>0</v>
      </c>
      <c r="CD61">
        <f t="shared" si="117"/>
        <v>0</v>
      </c>
      <c r="CE61">
        <f t="shared" si="118"/>
        <v>1</v>
      </c>
      <c r="CF61">
        <f t="shared" si="119"/>
        <v>0</v>
      </c>
      <c r="CG61">
        <f t="shared" si="120"/>
        <v>0</v>
      </c>
      <c r="CH61">
        <f t="shared" si="85"/>
        <v>1</v>
      </c>
      <c r="CI61">
        <f t="shared" si="86"/>
        <v>1</v>
      </c>
      <c r="CJ61">
        <f t="shared" si="87"/>
        <v>2</v>
      </c>
      <c r="CK61">
        <f t="shared" si="88"/>
        <v>3</v>
      </c>
      <c r="CL61">
        <f t="shared" si="89"/>
        <v>7</v>
      </c>
    </row>
    <row r="62" spans="1:90">
      <c r="A62">
        <v>2</v>
      </c>
      <c r="B62">
        <v>1</v>
      </c>
      <c r="C62">
        <v>1</v>
      </c>
      <c r="D62">
        <v>1</v>
      </c>
      <c r="E62">
        <v>0</v>
      </c>
      <c r="F62" s="1">
        <v>15</v>
      </c>
      <c r="G62">
        <v>6</v>
      </c>
      <c r="H62">
        <v>3</v>
      </c>
      <c r="I62">
        <v>2.8007083500000003</v>
      </c>
      <c r="J62">
        <v>0</v>
      </c>
      <c r="K62">
        <v>2.265644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1">
        <v>1.0076E-2</v>
      </c>
      <c r="T62">
        <v>0</v>
      </c>
      <c r="U62" s="4">
        <v>1.6E-2</v>
      </c>
      <c r="V62" s="1">
        <v>2.1940000000000002E-3</v>
      </c>
      <c r="W62" s="1">
        <v>0.26433299999999998</v>
      </c>
      <c r="X62" s="1">
        <v>9.1673000000000004E-2</v>
      </c>
      <c r="Y62" s="4">
        <v>6.8199999999999997E-2</v>
      </c>
      <c r="Z62" s="4">
        <v>9.7150000000000003E-4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2">
        <v>1.2021840000000001</v>
      </c>
      <c r="AH62" s="2">
        <v>0</v>
      </c>
      <c r="AI62" s="2">
        <v>0</v>
      </c>
      <c r="AJ62" s="2">
        <v>7.8674999999999995E-2</v>
      </c>
      <c r="AK62" s="2">
        <v>0</v>
      </c>
      <c r="AL62" s="2">
        <v>0</v>
      </c>
      <c r="AM62" s="2">
        <v>0</v>
      </c>
      <c r="AN62">
        <v>2</v>
      </c>
      <c r="AO62">
        <v>2</v>
      </c>
      <c r="AP62">
        <v>5</v>
      </c>
      <c r="AQ62">
        <v>2</v>
      </c>
      <c r="AR62">
        <v>11</v>
      </c>
      <c r="AS62">
        <f t="shared" si="121"/>
        <v>5.0663523500000007</v>
      </c>
      <c r="AT62">
        <f t="shared" si="46"/>
        <v>0.38427600000000001</v>
      </c>
      <c r="AU62">
        <f t="shared" si="50"/>
        <v>6.9171499999999997E-2</v>
      </c>
      <c r="AV62">
        <f t="shared" si="122"/>
        <v>6.8006588500000005</v>
      </c>
      <c r="AW62">
        <f t="shared" si="123"/>
        <v>0.31377648859248503</v>
      </c>
      <c r="AX62">
        <f t="shared" si="90"/>
        <v>3.1869819325397031</v>
      </c>
      <c r="AY62">
        <f t="shared" si="52"/>
        <v>9</v>
      </c>
      <c r="AZ62">
        <f t="shared" si="124"/>
        <v>5.519799850000001</v>
      </c>
      <c r="BA62">
        <f t="shared" si="125"/>
        <v>0.42865691164811526</v>
      </c>
      <c r="BB62">
        <f t="shared" si="91"/>
        <v>2.3328680182833508</v>
      </c>
      <c r="BC62">
        <f t="shared" si="126"/>
        <v>1</v>
      </c>
      <c r="BD62">
        <f t="shared" si="92"/>
        <v>0</v>
      </c>
      <c r="BE62">
        <f t="shared" si="93"/>
        <v>1</v>
      </c>
      <c r="BF62">
        <f t="shared" si="94"/>
        <v>0</v>
      </c>
      <c r="BG62">
        <f t="shared" si="95"/>
        <v>0</v>
      </c>
      <c r="BH62">
        <f t="shared" si="96"/>
        <v>0</v>
      </c>
      <c r="BI62">
        <f t="shared" si="97"/>
        <v>0</v>
      </c>
      <c r="BJ62">
        <f t="shared" si="98"/>
        <v>0</v>
      </c>
      <c r="BK62">
        <f t="shared" si="99"/>
        <v>0</v>
      </c>
      <c r="BL62">
        <f t="shared" si="127"/>
        <v>0</v>
      </c>
      <c r="BM62">
        <f t="shared" si="100"/>
        <v>1</v>
      </c>
      <c r="BN62">
        <f t="shared" si="101"/>
        <v>0</v>
      </c>
      <c r="BO62">
        <f t="shared" si="102"/>
        <v>1</v>
      </c>
      <c r="BP62">
        <f t="shared" si="103"/>
        <v>1</v>
      </c>
      <c r="BQ62">
        <f t="shared" si="104"/>
        <v>1</v>
      </c>
      <c r="BR62">
        <f t="shared" si="105"/>
        <v>1</v>
      </c>
      <c r="BS62">
        <f t="shared" si="106"/>
        <v>1</v>
      </c>
      <c r="BT62">
        <f t="shared" si="107"/>
        <v>1</v>
      </c>
      <c r="BU62">
        <f t="shared" si="108"/>
        <v>0</v>
      </c>
      <c r="BV62">
        <f t="shared" si="109"/>
        <v>0</v>
      </c>
      <c r="BW62">
        <f t="shared" si="110"/>
        <v>0</v>
      </c>
      <c r="BX62">
        <f t="shared" si="111"/>
        <v>0</v>
      </c>
      <c r="BY62">
        <f t="shared" si="112"/>
        <v>0</v>
      </c>
      <c r="BZ62">
        <f t="shared" si="113"/>
        <v>0</v>
      </c>
      <c r="CA62">
        <f t="shared" si="114"/>
        <v>1</v>
      </c>
      <c r="CB62">
        <f t="shared" si="115"/>
        <v>0</v>
      </c>
      <c r="CC62">
        <f t="shared" si="116"/>
        <v>0</v>
      </c>
      <c r="CD62">
        <f t="shared" si="117"/>
        <v>1</v>
      </c>
      <c r="CE62">
        <f t="shared" si="118"/>
        <v>0</v>
      </c>
      <c r="CF62">
        <f t="shared" si="119"/>
        <v>0</v>
      </c>
      <c r="CG62">
        <f t="shared" si="120"/>
        <v>0</v>
      </c>
      <c r="CH62">
        <f t="shared" si="85"/>
        <v>2</v>
      </c>
      <c r="CI62">
        <f t="shared" si="86"/>
        <v>2</v>
      </c>
      <c r="CJ62">
        <f t="shared" si="87"/>
        <v>5</v>
      </c>
      <c r="CK62">
        <f t="shared" si="88"/>
        <v>2</v>
      </c>
      <c r="CL62">
        <f t="shared" si="89"/>
        <v>11</v>
      </c>
    </row>
    <row r="63" spans="1:90">
      <c r="A63">
        <v>53</v>
      </c>
      <c r="B63">
        <v>1</v>
      </c>
      <c r="C63">
        <v>1</v>
      </c>
      <c r="D63">
        <v>1</v>
      </c>
      <c r="E63">
        <v>1</v>
      </c>
      <c r="F63" s="1">
        <v>15</v>
      </c>
      <c r="G63">
        <v>6</v>
      </c>
      <c r="H63">
        <v>3</v>
      </c>
      <c r="I63">
        <v>0.59861249999999999</v>
      </c>
      <c r="J63">
        <v>0</v>
      </c>
      <c r="K63">
        <v>3.2488480000000002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1">
        <v>0</v>
      </c>
      <c r="T63">
        <v>0</v>
      </c>
      <c r="U63">
        <v>0</v>
      </c>
      <c r="V63">
        <v>0</v>
      </c>
      <c r="W63" s="1">
        <v>2.378997</v>
      </c>
      <c r="X63">
        <v>0</v>
      </c>
      <c r="Y63">
        <v>4.5899999999999996E-2</v>
      </c>
      <c r="Z63">
        <v>1.9430000000000001E-4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2">
        <v>0</v>
      </c>
      <c r="AH63" s="2">
        <v>0</v>
      </c>
      <c r="AI63" s="2">
        <v>0</v>
      </c>
      <c r="AJ63" s="2">
        <v>2.6224999999999998E-2</v>
      </c>
      <c r="AK63" s="2">
        <v>0</v>
      </c>
      <c r="AL63" s="2">
        <v>0</v>
      </c>
      <c r="AM63" s="2">
        <v>0</v>
      </c>
      <c r="AN63">
        <v>1</v>
      </c>
      <c r="AO63">
        <v>2</v>
      </c>
      <c r="AP63">
        <v>1</v>
      </c>
      <c r="AQ63">
        <v>2</v>
      </c>
      <c r="AR63">
        <v>6</v>
      </c>
      <c r="AS63">
        <f t="shared" si="121"/>
        <v>3.8474605000000004</v>
      </c>
      <c r="AT63">
        <f t="shared" si="46"/>
        <v>2.378997</v>
      </c>
      <c r="AU63">
        <f t="shared" si="50"/>
        <v>4.6094299999999998E-2</v>
      </c>
      <c r="AV63">
        <f t="shared" si="122"/>
        <v>6.2987768000000006</v>
      </c>
      <c r="AW63">
        <f t="shared" si="123"/>
        <v>0.41779314974186532</v>
      </c>
      <c r="AX63">
        <f t="shared" si="90"/>
        <v>2.3935289523484355</v>
      </c>
      <c r="AY63">
        <f t="shared" si="52"/>
        <v>5</v>
      </c>
      <c r="AZ63">
        <f t="shared" si="124"/>
        <v>6.2725518000000005</v>
      </c>
      <c r="BA63">
        <f t="shared" si="125"/>
        <v>0.42127648724762379</v>
      </c>
      <c r="BB63">
        <f t="shared" si="91"/>
        <v>2.3737379850782081</v>
      </c>
      <c r="BC63">
        <f t="shared" si="126"/>
        <v>1</v>
      </c>
      <c r="BD63">
        <f t="shared" si="92"/>
        <v>0</v>
      </c>
      <c r="BE63">
        <f t="shared" si="93"/>
        <v>1</v>
      </c>
      <c r="BF63">
        <f t="shared" si="94"/>
        <v>0</v>
      </c>
      <c r="BG63">
        <f t="shared" si="95"/>
        <v>0</v>
      </c>
      <c r="BH63">
        <f t="shared" si="96"/>
        <v>0</v>
      </c>
      <c r="BI63">
        <f t="shared" si="97"/>
        <v>0</v>
      </c>
      <c r="BJ63">
        <f t="shared" si="98"/>
        <v>0</v>
      </c>
      <c r="BK63">
        <f t="shared" si="99"/>
        <v>0</v>
      </c>
      <c r="BL63">
        <f t="shared" si="127"/>
        <v>0</v>
      </c>
      <c r="BM63">
        <f t="shared" si="100"/>
        <v>0</v>
      </c>
      <c r="BN63">
        <f t="shared" si="101"/>
        <v>0</v>
      </c>
      <c r="BO63">
        <f t="shared" si="102"/>
        <v>0</v>
      </c>
      <c r="BP63">
        <f t="shared" si="103"/>
        <v>0</v>
      </c>
      <c r="BQ63">
        <f t="shared" si="104"/>
        <v>1</v>
      </c>
      <c r="BR63">
        <f t="shared" si="105"/>
        <v>0</v>
      </c>
      <c r="BS63">
        <f t="shared" si="106"/>
        <v>1</v>
      </c>
      <c r="BT63">
        <f t="shared" si="107"/>
        <v>1</v>
      </c>
      <c r="BU63">
        <f t="shared" si="108"/>
        <v>0</v>
      </c>
      <c r="BV63">
        <f t="shared" si="109"/>
        <v>0</v>
      </c>
      <c r="BW63">
        <f t="shared" si="110"/>
        <v>0</v>
      </c>
      <c r="BX63">
        <f t="shared" si="111"/>
        <v>0</v>
      </c>
      <c r="BY63">
        <f t="shared" si="112"/>
        <v>0</v>
      </c>
      <c r="BZ63">
        <f t="shared" si="113"/>
        <v>0</v>
      </c>
      <c r="CA63">
        <f t="shared" si="114"/>
        <v>0</v>
      </c>
      <c r="CB63">
        <f t="shared" si="115"/>
        <v>0</v>
      </c>
      <c r="CC63">
        <f t="shared" si="116"/>
        <v>0</v>
      </c>
      <c r="CD63">
        <f t="shared" si="117"/>
        <v>1</v>
      </c>
      <c r="CE63">
        <f t="shared" si="118"/>
        <v>0</v>
      </c>
      <c r="CF63">
        <f t="shared" si="119"/>
        <v>0</v>
      </c>
      <c r="CG63">
        <f t="shared" si="120"/>
        <v>0</v>
      </c>
      <c r="CH63">
        <f t="shared" si="85"/>
        <v>1</v>
      </c>
      <c r="CI63">
        <f t="shared" si="86"/>
        <v>2</v>
      </c>
      <c r="CJ63">
        <f t="shared" si="87"/>
        <v>1</v>
      </c>
      <c r="CK63">
        <f t="shared" si="88"/>
        <v>2</v>
      </c>
      <c r="CL63">
        <f t="shared" si="89"/>
        <v>6</v>
      </c>
    </row>
    <row r="64" spans="1:90">
      <c r="A64">
        <v>65</v>
      </c>
      <c r="B64">
        <v>1</v>
      </c>
      <c r="C64">
        <v>1</v>
      </c>
      <c r="D64">
        <v>1</v>
      </c>
      <c r="E64">
        <v>0</v>
      </c>
      <c r="F64" s="1">
        <v>15</v>
      </c>
      <c r="G64">
        <v>6</v>
      </c>
      <c r="H64">
        <v>3</v>
      </c>
      <c r="I64">
        <v>2.5939874999999999</v>
      </c>
      <c r="J64">
        <v>0</v>
      </c>
      <c r="K64">
        <v>1.8103778000000001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1">
        <v>0</v>
      </c>
      <c r="T64">
        <v>0</v>
      </c>
      <c r="U64">
        <v>4.8000000000000001E-2</v>
      </c>
      <c r="V64">
        <v>0</v>
      </c>
      <c r="W64">
        <v>0</v>
      </c>
      <c r="X64" s="1">
        <v>0.19162200000000001</v>
      </c>
      <c r="Y64">
        <v>6.1199999999999997E-2</v>
      </c>
      <c r="Z64">
        <v>5.8290000000000002E-4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2">
        <v>0</v>
      </c>
      <c r="AH64" s="2">
        <v>0</v>
      </c>
      <c r="AI64" s="2">
        <v>0</v>
      </c>
      <c r="AJ64" s="2">
        <v>0.62939999999999996</v>
      </c>
      <c r="AK64" s="2">
        <v>0</v>
      </c>
      <c r="AL64" s="2">
        <v>0</v>
      </c>
      <c r="AM64" s="2">
        <v>0</v>
      </c>
      <c r="AN64">
        <v>1</v>
      </c>
      <c r="AO64">
        <v>2</v>
      </c>
      <c r="AP64">
        <v>2</v>
      </c>
      <c r="AQ64">
        <v>2</v>
      </c>
      <c r="AR64">
        <v>7</v>
      </c>
      <c r="AS64">
        <f t="shared" si="121"/>
        <v>4.4043653000000003</v>
      </c>
      <c r="AT64">
        <f t="shared" ref="AT64:AT95" si="128">SUM(Q64:X64)</f>
        <v>0.239622</v>
      </c>
      <c r="AU64">
        <f t="shared" si="50"/>
        <v>6.1782899999999995E-2</v>
      </c>
      <c r="AV64">
        <f t="shared" si="122"/>
        <v>5.3351702000000003</v>
      </c>
      <c r="AW64">
        <f t="shared" si="123"/>
        <v>0.36695956264392587</v>
      </c>
      <c r="AX64">
        <f t="shared" si="90"/>
        <v>2.7250959010171267</v>
      </c>
      <c r="AY64">
        <f t="shared" si="52"/>
        <v>6</v>
      </c>
      <c r="AZ64">
        <f t="shared" si="124"/>
        <v>4.7057702000000008</v>
      </c>
      <c r="BA64">
        <f t="shared" si="125"/>
        <v>0.45379713391523807</v>
      </c>
      <c r="BB64">
        <f t="shared" si="91"/>
        <v>2.2036278443900081</v>
      </c>
      <c r="BC64">
        <f t="shared" si="126"/>
        <v>1</v>
      </c>
      <c r="BD64">
        <f t="shared" si="92"/>
        <v>0</v>
      </c>
      <c r="BE64">
        <f t="shared" si="93"/>
        <v>1</v>
      </c>
      <c r="BF64">
        <f t="shared" si="94"/>
        <v>0</v>
      </c>
      <c r="BG64">
        <f t="shared" si="95"/>
        <v>0</v>
      </c>
      <c r="BH64">
        <f t="shared" si="96"/>
        <v>0</v>
      </c>
      <c r="BI64">
        <f t="shared" si="97"/>
        <v>0</v>
      </c>
      <c r="BJ64">
        <f t="shared" si="98"/>
        <v>0</v>
      </c>
      <c r="BK64">
        <f t="shared" si="99"/>
        <v>0</v>
      </c>
      <c r="BL64">
        <f t="shared" si="127"/>
        <v>0</v>
      </c>
      <c r="BM64">
        <f t="shared" si="100"/>
        <v>0</v>
      </c>
      <c r="BN64">
        <f t="shared" si="101"/>
        <v>0</v>
      </c>
      <c r="BO64">
        <f t="shared" si="102"/>
        <v>1</v>
      </c>
      <c r="BP64">
        <f t="shared" si="103"/>
        <v>0</v>
      </c>
      <c r="BQ64">
        <f t="shared" si="104"/>
        <v>0</v>
      </c>
      <c r="BR64">
        <f t="shared" si="105"/>
        <v>1</v>
      </c>
      <c r="BS64">
        <f t="shared" si="106"/>
        <v>1</v>
      </c>
      <c r="BT64">
        <f t="shared" si="107"/>
        <v>1</v>
      </c>
      <c r="BU64">
        <f t="shared" si="108"/>
        <v>0</v>
      </c>
      <c r="BV64">
        <f t="shared" si="109"/>
        <v>0</v>
      </c>
      <c r="BW64">
        <f t="shared" si="110"/>
        <v>0</v>
      </c>
      <c r="BX64">
        <f t="shared" si="111"/>
        <v>0</v>
      </c>
      <c r="BY64">
        <f t="shared" si="112"/>
        <v>0</v>
      </c>
      <c r="BZ64">
        <f t="shared" si="113"/>
        <v>0</v>
      </c>
      <c r="CA64">
        <f t="shared" si="114"/>
        <v>0</v>
      </c>
      <c r="CB64">
        <f t="shared" si="115"/>
        <v>0</v>
      </c>
      <c r="CC64">
        <f t="shared" si="116"/>
        <v>0</v>
      </c>
      <c r="CD64">
        <f t="shared" si="117"/>
        <v>1</v>
      </c>
      <c r="CE64">
        <f t="shared" si="118"/>
        <v>0</v>
      </c>
      <c r="CF64">
        <f t="shared" si="119"/>
        <v>0</v>
      </c>
      <c r="CG64">
        <f t="shared" si="120"/>
        <v>0</v>
      </c>
      <c r="CH64">
        <f t="shared" si="85"/>
        <v>1</v>
      </c>
      <c r="CI64">
        <f t="shared" si="86"/>
        <v>2</v>
      </c>
      <c r="CJ64">
        <f t="shared" si="87"/>
        <v>2</v>
      </c>
      <c r="CK64">
        <f t="shared" si="88"/>
        <v>2</v>
      </c>
      <c r="CL64">
        <f t="shared" si="89"/>
        <v>7</v>
      </c>
    </row>
    <row r="65" spans="1:90">
      <c r="A65">
        <v>88</v>
      </c>
      <c r="B65">
        <v>1</v>
      </c>
      <c r="C65">
        <v>1</v>
      </c>
      <c r="D65">
        <v>1</v>
      </c>
      <c r="E65">
        <v>1</v>
      </c>
      <c r="F65" s="1">
        <v>15</v>
      </c>
      <c r="G65">
        <v>6</v>
      </c>
      <c r="H65">
        <v>3</v>
      </c>
      <c r="I65">
        <v>2.8573769999999996</v>
      </c>
      <c r="J65">
        <v>0</v>
      </c>
      <c r="K65">
        <v>1.8809120000000004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1">
        <v>1.5113999999999999E-2</v>
      </c>
      <c r="T65">
        <v>0</v>
      </c>
      <c r="U65">
        <v>6.4000000000000001E-2</v>
      </c>
      <c r="V65">
        <v>0</v>
      </c>
      <c r="W65">
        <v>0</v>
      </c>
      <c r="X65">
        <v>0</v>
      </c>
      <c r="Y65">
        <v>0.1071</v>
      </c>
      <c r="Z65">
        <v>2.4093200000000002E-2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2">
        <v>0</v>
      </c>
      <c r="AH65" s="2">
        <v>0</v>
      </c>
      <c r="AI65" s="2">
        <v>0</v>
      </c>
      <c r="AJ65" s="2">
        <v>7.8674999999999995E-2</v>
      </c>
      <c r="AK65" s="2">
        <v>0</v>
      </c>
      <c r="AL65" s="2">
        <v>0</v>
      </c>
      <c r="AM65" s="2">
        <v>0</v>
      </c>
      <c r="AN65">
        <v>1</v>
      </c>
      <c r="AO65">
        <v>2</v>
      </c>
      <c r="AP65">
        <v>2</v>
      </c>
      <c r="AQ65">
        <v>2</v>
      </c>
      <c r="AR65">
        <v>7</v>
      </c>
      <c r="AS65">
        <f t="shared" si="121"/>
        <v>4.738289</v>
      </c>
      <c r="AT65">
        <f t="shared" si="128"/>
        <v>7.9114000000000004E-2</v>
      </c>
      <c r="AU65">
        <f t="shared" si="50"/>
        <v>0.13119320000000001</v>
      </c>
      <c r="AV65">
        <f t="shared" si="122"/>
        <v>5.0272711999999995</v>
      </c>
      <c r="AW65">
        <f t="shared" si="123"/>
        <v>0.46392541184098812</v>
      </c>
      <c r="AX65">
        <f t="shared" si="90"/>
        <v>2.1555189141972528</v>
      </c>
      <c r="AY65">
        <f t="shared" si="52"/>
        <v>6</v>
      </c>
      <c r="AZ65">
        <f t="shared" si="124"/>
        <v>4.9485961999999999</v>
      </c>
      <c r="BA65">
        <f t="shared" si="125"/>
        <v>0.4785413014703741</v>
      </c>
      <c r="BB65">
        <f t="shared" si="91"/>
        <v>2.089683788896346</v>
      </c>
      <c r="BC65">
        <f t="shared" si="126"/>
        <v>1</v>
      </c>
      <c r="BD65">
        <f t="shared" si="92"/>
        <v>0</v>
      </c>
      <c r="BE65">
        <f t="shared" si="93"/>
        <v>1</v>
      </c>
      <c r="BF65">
        <f t="shared" si="94"/>
        <v>0</v>
      </c>
      <c r="BG65">
        <f t="shared" si="95"/>
        <v>0</v>
      </c>
      <c r="BH65">
        <f t="shared" si="96"/>
        <v>0</v>
      </c>
      <c r="BI65">
        <f t="shared" si="97"/>
        <v>0</v>
      </c>
      <c r="BJ65">
        <f t="shared" si="98"/>
        <v>0</v>
      </c>
      <c r="BK65">
        <f t="shared" si="99"/>
        <v>0</v>
      </c>
      <c r="BL65">
        <f t="shared" si="127"/>
        <v>0</v>
      </c>
      <c r="BM65">
        <f t="shared" si="100"/>
        <v>1</v>
      </c>
      <c r="BN65">
        <f t="shared" si="101"/>
        <v>0</v>
      </c>
      <c r="BO65">
        <f t="shared" si="102"/>
        <v>1</v>
      </c>
      <c r="BP65">
        <f t="shared" si="103"/>
        <v>0</v>
      </c>
      <c r="BQ65">
        <f t="shared" si="104"/>
        <v>0</v>
      </c>
      <c r="BR65">
        <f t="shared" si="105"/>
        <v>0</v>
      </c>
      <c r="BS65">
        <f t="shared" si="106"/>
        <v>1</v>
      </c>
      <c r="BT65">
        <f t="shared" si="107"/>
        <v>1</v>
      </c>
      <c r="BU65">
        <f t="shared" si="108"/>
        <v>0</v>
      </c>
      <c r="BV65">
        <f t="shared" si="109"/>
        <v>0</v>
      </c>
      <c r="BW65">
        <f t="shared" si="110"/>
        <v>0</v>
      </c>
      <c r="BX65">
        <f t="shared" si="111"/>
        <v>0</v>
      </c>
      <c r="BY65">
        <f t="shared" si="112"/>
        <v>0</v>
      </c>
      <c r="BZ65">
        <f t="shared" si="113"/>
        <v>0</v>
      </c>
      <c r="CA65">
        <f t="shared" si="114"/>
        <v>0</v>
      </c>
      <c r="CB65">
        <f t="shared" si="115"/>
        <v>0</v>
      </c>
      <c r="CC65">
        <f t="shared" si="116"/>
        <v>0</v>
      </c>
      <c r="CD65">
        <f t="shared" si="117"/>
        <v>1</v>
      </c>
      <c r="CE65">
        <f t="shared" si="118"/>
        <v>0</v>
      </c>
      <c r="CF65">
        <f t="shared" si="119"/>
        <v>0</v>
      </c>
      <c r="CG65">
        <f t="shared" si="120"/>
        <v>0</v>
      </c>
      <c r="CH65">
        <f t="shared" si="85"/>
        <v>1</v>
      </c>
      <c r="CI65">
        <f t="shared" si="86"/>
        <v>2</v>
      </c>
      <c r="CJ65">
        <f t="shared" si="87"/>
        <v>2</v>
      </c>
      <c r="CK65">
        <f t="shared" si="88"/>
        <v>2</v>
      </c>
      <c r="CL65">
        <f t="shared" si="89"/>
        <v>7</v>
      </c>
    </row>
    <row r="66" spans="1:90">
      <c r="A66">
        <v>24</v>
      </c>
      <c r="B66">
        <v>1</v>
      </c>
      <c r="C66">
        <v>1</v>
      </c>
      <c r="D66">
        <v>1</v>
      </c>
      <c r="E66">
        <v>0</v>
      </c>
      <c r="F66" s="1">
        <v>16</v>
      </c>
      <c r="G66">
        <v>6</v>
      </c>
      <c r="H66">
        <v>3</v>
      </c>
      <c r="I66">
        <v>1.6840965000000001</v>
      </c>
      <c r="J66">
        <v>2.9878740000000001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0.29025000000000001</v>
      </c>
      <c r="S66">
        <v>0</v>
      </c>
      <c r="T66">
        <v>0</v>
      </c>
      <c r="U66">
        <v>0</v>
      </c>
      <c r="V66">
        <v>0</v>
      </c>
      <c r="W66" s="1">
        <v>4.4724959999999996</v>
      </c>
      <c r="X66">
        <v>1.4676070000000001</v>
      </c>
      <c r="Y66">
        <v>0</v>
      </c>
      <c r="Z66">
        <v>0</v>
      </c>
      <c r="AA66">
        <v>0</v>
      </c>
      <c r="AB66">
        <v>6.1665999999999999E-2</v>
      </c>
      <c r="AC66">
        <v>0</v>
      </c>
      <c r="AD66">
        <v>0</v>
      </c>
      <c r="AE66">
        <v>0</v>
      </c>
      <c r="AF66">
        <v>0</v>
      </c>
      <c r="AG66" s="2">
        <v>0</v>
      </c>
      <c r="AH66" s="2">
        <v>0</v>
      </c>
      <c r="AI66" s="2">
        <v>0</v>
      </c>
      <c r="AJ66" s="2">
        <v>2.6224999999999998E-2</v>
      </c>
      <c r="AK66" s="2">
        <v>0</v>
      </c>
      <c r="AL66" s="2">
        <v>0</v>
      </c>
      <c r="AM66" s="2">
        <v>0</v>
      </c>
      <c r="AN66">
        <v>1</v>
      </c>
      <c r="AO66">
        <v>2</v>
      </c>
      <c r="AP66">
        <v>3</v>
      </c>
      <c r="AQ66">
        <v>1</v>
      </c>
      <c r="AR66">
        <v>7</v>
      </c>
      <c r="AS66">
        <f t="shared" si="121"/>
        <v>4.6719705000000005</v>
      </c>
      <c r="AT66">
        <f t="shared" si="128"/>
        <v>6.230353</v>
      </c>
      <c r="AU66">
        <f t="shared" ref="AU66:AU97" si="129">SUM(Y66:AF66)</f>
        <v>6.1665999999999999E-2</v>
      </c>
      <c r="AV66">
        <f t="shared" si="122"/>
        <v>10.990214500000002</v>
      </c>
      <c r="AW66">
        <f t="shared" si="123"/>
        <v>0.2815701494847217</v>
      </c>
      <c r="AX66">
        <f t="shared" si="90"/>
        <v>3.5515128355403354</v>
      </c>
      <c r="AY66">
        <f t="shared" ref="AY66:AY97" si="130">AO66+AP66+AQ66</f>
        <v>6</v>
      </c>
      <c r="AZ66">
        <f t="shared" si="124"/>
        <v>10.963989500000002</v>
      </c>
      <c r="BA66">
        <f t="shared" si="125"/>
        <v>0.28291302641606764</v>
      </c>
      <c r="BB66">
        <f t="shared" si="91"/>
        <v>3.5346552001085465</v>
      </c>
      <c r="BC66">
        <f t="shared" si="126"/>
        <v>1</v>
      </c>
      <c r="BD66">
        <f t="shared" si="92"/>
        <v>1</v>
      </c>
      <c r="BE66">
        <f t="shared" si="93"/>
        <v>0</v>
      </c>
      <c r="BF66">
        <f t="shared" si="94"/>
        <v>0</v>
      </c>
      <c r="BG66">
        <f t="shared" si="95"/>
        <v>0</v>
      </c>
      <c r="BH66">
        <f t="shared" si="96"/>
        <v>0</v>
      </c>
      <c r="BI66">
        <f t="shared" si="97"/>
        <v>0</v>
      </c>
      <c r="BJ66">
        <f t="shared" si="98"/>
        <v>0</v>
      </c>
      <c r="BK66">
        <f t="shared" si="99"/>
        <v>0</v>
      </c>
      <c r="BL66">
        <f t="shared" si="127"/>
        <v>1</v>
      </c>
      <c r="BM66">
        <f t="shared" si="100"/>
        <v>0</v>
      </c>
      <c r="BN66">
        <f t="shared" si="101"/>
        <v>0</v>
      </c>
      <c r="BO66">
        <f t="shared" si="102"/>
        <v>0</v>
      </c>
      <c r="BP66">
        <f t="shared" si="103"/>
        <v>0</v>
      </c>
      <c r="BQ66">
        <f t="shared" si="104"/>
        <v>1</v>
      </c>
      <c r="BR66">
        <f t="shared" si="105"/>
        <v>1</v>
      </c>
      <c r="BS66">
        <f t="shared" si="106"/>
        <v>0</v>
      </c>
      <c r="BT66">
        <f t="shared" si="107"/>
        <v>0</v>
      </c>
      <c r="BU66">
        <f t="shared" si="108"/>
        <v>0</v>
      </c>
      <c r="BV66">
        <f t="shared" si="109"/>
        <v>1</v>
      </c>
      <c r="BW66">
        <f t="shared" si="110"/>
        <v>0</v>
      </c>
      <c r="BX66">
        <f t="shared" si="111"/>
        <v>0</v>
      </c>
      <c r="BY66">
        <f t="shared" si="112"/>
        <v>0</v>
      </c>
      <c r="BZ66">
        <f t="shared" si="113"/>
        <v>0</v>
      </c>
      <c r="CA66">
        <f t="shared" si="114"/>
        <v>0</v>
      </c>
      <c r="CB66">
        <f t="shared" si="115"/>
        <v>0</v>
      </c>
      <c r="CC66">
        <f t="shared" si="116"/>
        <v>0</v>
      </c>
      <c r="CD66">
        <f t="shared" si="117"/>
        <v>1</v>
      </c>
      <c r="CE66">
        <f t="shared" si="118"/>
        <v>0</v>
      </c>
      <c r="CF66">
        <f t="shared" si="119"/>
        <v>0</v>
      </c>
      <c r="CG66">
        <f t="shared" si="120"/>
        <v>0</v>
      </c>
      <c r="CH66">
        <f t="shared" ref="CH66:CH97" si="131">CA66+CB66+CC66+CD66+CE66+CF66+CG66</f>
        <v>1</v>
      </c>
      <c r="CI66">
        <f t="shared" ref="CI66:CI97" si="132">SUM(BC66:BJ66)</f>
        <v>2</v>
      </c>
      <c r="CJ66">
        <f t="shared" ref="CJ66:CJ97" si="133">SUM(BK66:BR66)</f>
        <v>3</v>
      </c>
      <c r="CK66">
        <f t="shared" ref="CK66:CK97" si="134">SUM(BS66:BZ66)</f>
        <v>1</v>
      </c>
      <c r="CL66">
        <f t="shared" ref="CL66:CL97" si="135">SUM(CH66:CK66)</f>
        <v>7</v>
      </c>
    </row>
    <row r="67" spans="1:90">
      <c r="A67">
        <v>47</v>
      </c>
      <c r="B67">
        <v>1</v>
      </c>
      <c r="C67">
        <v>1</v>
      </c>
      <c r="D67">
        <v>1</v>
      </c>
      <c r="E67">
        <v>1</v>
      </c>
      <c r="F67" s="1">
        <v>16</v>
      </c>
      <c r="G67">
        <v>6</v>
      </c>
      <c r="H67">
        <v>3</v>
      </c>
      <c r="I67">
        <v>1.8916154999999999</v>
      </c>
      <c r="J67">
        <v>6.6120544999999993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0.30375000000000002</v>
      </c>
      <c r="S67">
        <v>0</v>
      </c>
      <c r="T67">
        <v>0</v>
      </c>
      <c r="U67">
        <v>0</v>
      </c>
      <c r="V67">
        <v>0</v>
      </c>
      <c r="W67">
        <v>0</v>
      </c>
      <c r="X67">
        <v>2.3155950000000001</v>
      </c>
      <c r="Y67">
        <v>0</v>
      </c>
      <c r="Z67">
        <v>0</v>
      </c>
      <c r="AA67">
        <v>0</v>
      </c>
      <c r="AB67">
        <v>0</v>
      </c>
      <c r="AC67">
        <v>4.1000000000000003E-3</v>
      </c>
      <c r="AD67">
        <v>0</v>
      </c>
      <c r="AE67">
        <v>0</v>
      </c>
      <c r="AF67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>
        <v>0</v>
      </c>
      <c r="AO67">
        <v>2</v>
      </c>
      <c r="AP67">
        <v>2</v>
      </c>
      <c r="AQ67">
        <v>1</v>
      </c>
      <c r="AR67">
        <v>5</v>
      </c>
      <c r="AS67">
        <f t="shared" si="121"/>
        <v>8.5036699999999996</v>
      </c>
      <c r="AT67">
        <f t="shared" si="128"/>
        <v>2.619345</v>
      </c>
      <c r="AU67">
        <f t="shared" si="129"/>
        <v>4.1000000000000003E-3</v>
      </c>
      <c r="AV67">
        <f t="shared" si="122"/>
        <v>11.127115</v>
      </c>
      <c r="AW67">
        <f t="shared" si="123"/>
        <v>0.42606081609526214</v>
      </c>
      <c r="AX67">
        <f t="shared" si="90"/>
        <v>2.3470827689923306</v>
      </c>
      <c r="AY67">
        <f t="shared" si="130"/>
        <v>5</v>
      </c>
      <c r="AZ67">
        <f t="shared" si="124"/>
        <v>11.127115</v>
      </c>
      <c r="BA67">
        <f t="shared" si="125"/>
        <v>0.42606081609526214</v>
      </c>
      <c r="BB67">
        <f t="shared" si="91"/>
        <v>2.3470827689923306</v>
      </c>
      <c r="BC67">
        <f t="shared" si="126"/>
        <v>1</v>
      </c>
      <c r="BD67">
        <f t="shared" si="92"/>
        <v>1</v>
      </c>
      <c r="BE67">
        <f t="shared" si="93"/>
        <v>0</v>
      </c>
      <c r="BF67">
        <f t="shared" si="94"/>
        <v>0</v>
      </c>
      <c r="BG67">
        <f t="shared" si="95"/>
        <v>0</v>
      </c>
      <c r="BH67">
        <f t="shared" si="96"/>
        <v>0</v>
      </c>
      <c r="BI67">
        <f t="shared" si="97"/>
        <v>0</v>
      </c>
      <c r="BJ67">
        <f t="shared" si="98"/>
        <v>0</v>
      </c>
      <c r="BK67">
        <f t="shared" si="99"/>
        <v>0</v>
      </c>
      <c r="BL67">
        <f t="shared" si="127"/>
        <v>1</v>
      </c>
      <c r="BM67">
        <f t="shared" si="100"/>
        <v>0</v>
      </c>
      <c r="BN67">
        <f t="shared" si="101"/>
        <v>0</v>
      </c>
      <c r="BO67">
        <f t="shared" si="102"/>
        <v>0</v>
      </c>
      <c r="BP67">
        <f t="shared" si="103"/>
        <v>0</v>
      </c>
      <c r="BQ67">
        <f t="shared" si="104"/>
        <v>0</v>
      </c>
      <c r="BR67">
        <f t="shared" si="105"/>
        <v>1</v>
      </c>
      <c r="BS67">
        <f t="shared" si="106"/>
        <v>0</v>
      </c>
      <c r="BT67">
        <f t="shared" si="107"/>
        <v>0</v>
      </c>
      <c r="BU67">
        <f t="shared" si="108"/>
        <v>0</v>
      </c>
      <c r="BV67">
        <f t="shared" si="109"/>
        <v>0</v>
      </c>
      <c r="BW67">
        <f t="shared" si="110"/>
        <v>1</v>
      </c>
      <c r="BX67">
        <f t="shared" si="111"/>
        <v>0</v>
      </c>
      <c r="BY67">
        <f t="shared" si="112"/>
        <v>0</v>
      </c>
      <c r="BZ67">
        <f t="shared" si="113"/>
        <v>0</v>
      </c>
      <c r="CA67">
        <f t="shared" si="114"/>
        <v>0</v>
      </c>
      <c r="CB67">
        <f t="shared" si="115"/>
        <v>0</v>
      </c>
      <c r="CC67">
        <f t="shared" si="116"/>
        <v>0</v>
      </c>
      <c r="CD67">
        <f t="shared" si="117"/>
        <v>0</v>
      </c>
      <c r="CE67">
        <f t="shared" si="118"/>
        <v>0</v>
      </c>
      <c r="CF67">
        <f t="shared" si="119"/>
        <v>0</v>
      </c>
      <c r="CG67">
        <f t="shared" si="120"/>
        <v>0</v>
      </c>
      <c r="CH67">
        <f t="shared" si="131"/>
        <v>0</v>
      </c>
      <c r="CI67">
        <f t="shared" si="132"/>
        <v>2</v>
      </c>
      <c r="CJ67">
        <f t="shared" si="133"/>
        <v>2</v>
      </c>
      <c r="CK67">
        <f t="shared" si="134"/>
        <v>1</v>
      </c>
      <c r="CL67">
        <f t="shared" si="135"/>
        <v>5</v>
      </c>
    </row>
    <row r="68" spans="1:90">
      <c r="A68">
        <v>79</v>
      </c>
      <c r="B68">
        <v>1</v>
      </c>
      <c r="C68">
        <v>1</v>
      </c>
      <c r="D68">
        <v>1</v>
      </c>
      <c r="E68">
        <v>0</v>
      </c>
      <c r="F68" s="1">
        <v>16</v>
      </c>
      <c r="G68">
        <v>6</v>
      </c>
      <c r="H68">
        <v>3</v>
      </c>
      <c r="I68">
        <v>1.7319855</v>
      </c>
      <c r="J68">
        <v>3.4028565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0.50624999999999998</v>
      </c>
      <c r="S68">
        <v>0</v>
      </c>
      <c r="T68">
        <v>0</v>
      </c>
      <c r="U68">
        <v>0</v>
      </c>
      <c r="V68">
        <v>0</v>
      </c>
      <c r="W68">
        <v>0</v>
      </c>
      <c r="X68">
        <v>1.1135950000000001</v>
      </c>
      <c r="Y68">
        <v>0</v>
      </c>
      <c r="Z68">
        <v>0</v>
      </c>
      <c r="AA68">
        <v>0</v>
      </c>
      <c r="AB68">
        <v>3.0832999999999999E-2</v>
      </c>
      <c r="AC68">
        <v>6.150000000000001E-3</v>
      </c>
      <c r="AD68">
        <v>0</v>
      </c>
      <c r="AE68">
        <v>0</v>
      </c>
      <c r="AF68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>
        <v>0</v>
      </c>
      <c r="AO68">
        <v>2</v>
      </c>
      <c r="AP68">
        <v>2</v>
      </c>
      <c r="AQ68">
        <v>2</v>
      </c>
      <c r="AR68">
        <v>6</v>
      </c>
      <c r="AS68">
        <f t="shared" si="121"/>
        <v>5.1348419999999999</v>
      </c>
      <c r="AT68">
        <f t="shared" si="128"/>
        <v>1.6198450000000002</v>
      </c>
      <c r="AU68">
        <f t="shared" si="129"/>
        <v>3.6983000000000002E-2</v>
      </c>
      <c r="AV68">
        <f t="shared" si="122"/>
        <v>6.7916699999999999</v>
      </c>
      <c r="AW68">
        <f t="shared" si="123"/>
        <v>0.34853022540578099</v>
      </c>
      <c r="AX68">
        <f t="shared" ref="AX68:AX99" si="136">1/AW68</f>
        <v>2.8691916141153513</v>
      </c>
      <c r="AY68">
        <f t="shared" si="130"/>
        <v>6</v>
      </c>
      <c r="AZ68">
        <f t="shared" si="124"/>
        <v>6.7916699999999999</v>
      </c>
      <c r="BA68">
        <f t="shared" si="125"/>
        <v>0.34853022540578099</v>
      </c>
      <c r="BB68">
        <f t="shared" ref="BB68:BB99" si="137">1/BA68</f>
        <v>2.8691916141153513</v>
      </c>
      <c r="BC68">
        <f t="shared" si="126"/>
        <v>1</v>
      </c>
      <c r="BD68">
        <f t="shared" si="92"/>
        <v>1</v>
      </c>
      <c r="BE68">
        <f t="shared" si="93"/>
        <v>0</v>
      </c>
      <c r="BF68">
        <f t="shared" si="94"/>
        <v>0</v>
      </c>
      <c r="BG68">
        <f t="shared" si="95"/>
        <v>0</v>
      </c>
      <c r="BH68">
        <f t="shared" si="96"/>
        <v>0</v>
      </c>
      <c r="BI68">
        <f t="shared" si="97"/>
        <v>0</v>
      </c>
      <c r="BJ68">
        <f t="shared" si="98"/>
        <v>0</v>
      </c>
      <c r="BK68">
        <f t="shared" si="99"/>
        <v>0</v>
      </c>
      <c r="BL68">
        <f t="shared" si="127"/>
        <v>1</v>
      </c>
      <c r="BM68">
        <f t="shared" si="100"/>
        <v>0</v>
      </c>
      <c r="BN68">
        <f t="shared" si="101"/>
        <v>0</v>
      </c>
      <c r="BO68">
        <f t="shared" si="102"/>
        <v>0</v>
      </c>
      <c r="BP68">
        <f t="shared" si="103"/>
        <v>0</v>
      </c>
      <c r="BQ68">
        <f t="shared" si="104"/>
        <v>0</v>
      </c>
      <c r="BR68">
        <f t="shared" si="105"/>
        <v>1</v>
      </c>
      <c r="BS68">
        <f t="shared" si="106"/>
        <v>0</v>
      </c>
      <c r="BT68">
        <f t="shared" si="107"/>
        <v>0</v>
      </c>
      <c r="BU68">
        <f t="shared" si="108"/>
        <v>0</v>
      </c>
      <c r="BV68">
        <f t="shared" si="109"/>
        <v>1</v>
      </c>
      <c r="BW68">
        <f t="shared" si="110"/>
        <v>1</v>
      </c>
      <c r="BX68">
        <f t="shared" si="111"/>
        <v>0</v>
      </c>
      <c r="BY68">
        <f t="shared" si="112"/>
        <v>0</v>
      </c>
      <c r="BZ68">
        <f t="shared" si="113"/>
        <v>0</v>
      </c>
      <c r="CA68">
        <f t="shared" si="114"/>
        <v>0</v>
      </c>
      <c r="CB68">
        <f t="shared" si="115"/>
        <v>0</v>
      </c>
      <c r="CC68">
        <f t="shared" si="116"/>
        <v>0</v>
      </c>
      <c r="CD68">
        <f t="shared" si="117"/>
        <v>0</v>
      </c>
      <c r="CE68">
        <f t="shared" si="118"/>
        <v>0</v>
      </c>
      <c r="CF68">
        <f t="shared" si="119"/>
        <v>0</v>
      </c>
      <c r="CG68">
        <f t="shared" si="120"/>
        <v>0</v>
      </c>
      <c r="CH68">
        <f t="shared" si="131"/>
        <v>0</v>
      </c>
      <c r="CI68">
        <f t="shared" si="132"/>
        <v>2</v>
      </c>
      <c r="CJ68">
        <f t="shared" si="133"/>
        <v>2</v>
      </c>
      <c r="CK68">
        <f t="shared" si="134"/>
        <v>2</v>
      </c>
      <c r="CL68">
        <f t="shared" si="135"/>
        <v>6</v>
      </c>
    </row>
    <row r="69" spans="1:90">
      <c r="A69">
        <v>90</v>
      </c>
      <c r="B69">
        <v>1</v>
      </c>
      <c r="C69">
        <v>1</v>
      </c>
      <c r="D69">
        <v>1</v>
      </c>
      <c r="E69">
        <v>1</v>
      </c>
      <c r="F69" s="1">
        <v>16</v>
      </c>
      <c r="G69">
        <v>6</v>
      </c>
      <c r="H69">
        <v>3</v>
      </c>
      <c r="I69">
        <v>2.1390419999999999</v>
      </c>
      <c r="J69">
        <v>3.7901734999999994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0.57374999999999998</v>
      </c>
      <c r="S69">
        <v>0</v>
      </c>
      <c r="T69">
        <v>0</v>
      </c>
      <c r="U69">
        <v>0</v>
      </c>
      <c r="V69">
        <v>0</v>
      </c>
      <c r="W69">
        <v>0</v>
      </c>
      <c r="X69">
        <v>0.84262300000000012</v>
      </c>
      <c r="Y69">
        <v>0</v>
      </c>
      <c r="Z69">
        <v>0</v>
      </c>
      <c r="AA69">
        <v>0</v>
      </c>
      <c r="AB69">
        <v>0</v>
      </c>
      <c r="AC69">
        <v>6.150000000000001E-3</v>
      </c>
      <c r="AD69">
        <v>0</v>
      </c>
      <c r="AE69">
        <v>0</v>
      </c>
      <c r="AF69">
        <v>0</v>
      </c>
      <c r="AG69" s="2">
        <v>0</v>
      </c>
      <c r="AH69" s="2">
        <v>0</v>
      </c>
      <c r="AI69" s="2">
        <v>0</v>
      </c>
      <c r="AJ69" s="2">
        <v>0.15734999999999999</v>
      </c>
      <c r="AK69" s="2">
        <v>0</v>
      </c>
      <c r="AL69" s="2">
        <v>0</v>
      </c>
      <c r="AM69" s="2">
        <v>0</v>
      </c>
      <c r="AN69">
        <v>1</v>
      </c>
      <c r="AO69">
        <v>2</v>
      </c>
      <c r="AP69">
        <v>2</v>
      </c>
      <c r="AQ69">
        <v>1</v>
      </c>
      <c r="AR69">
        <v>6</v>
      </c>
      <c r="AS69">
        <f t="shared" si="121"/>
        <v>5.9292154999999998</v>
      </c>
      <c r="AT69">
        <f t="shared" si="128"/>
        <v>1.4163730000000001</v>
      </c>
      <c r="AU69">
        <f t="shared" si="129"/>
        <v>6.150000000000001E-3</v>
      </c>
      <c r="AV69">
        <f t="shared" si="122"/>
        <v>7.5090884999999998</v>
      </c>
      <c r="AW69">
        <f t="shared" si="123"/>
        <v>0.35478256604245106</v>
      </c>
      <c r="AX69">
        <f t="shared" si="136"/>
        <v>2.8186277898456438</v>
      </c>
      <c r="AY69">
        <f t="shared" si="130"/>
        <v>5</v>
      </c>
      <c r="AZ69">
        <f t="shared" si="124"/>
        <v>7.3517384999999997</v>
      </c>
      <c r="BA69">
        <f t="shared" si="125"/>
        <v>0.36967389066099127</v>
      </c>
      <c r="BB69">
        <f t="shared" si="137"/>
        <v>2.7050869029780849</v>
      </c>
      <c r="BC69">
        <f t="shared" si="126"/>
        <v>1</v>
      </c>
      <c r="BD69">
        <f t="shared" si="92"/>
        <v>1</v>
      </c>
      <c r="BE69">
        <f t="shared" si="93"/>
        <v>0</v>
      </c>
      <c r="BF69">
        <f t="shared" si="94"/>
        <v>0</v>
      </c>
      <c r="BG69">
        <f t="shared" si="95"/>
        <v>0</v>
      </c>
      <c r="BH69">
        <f t="shared" si="96"/>
        <v>0</v>
      </c>
      <c r="BI69">
        <f t="shared" si="97"/>
        <v>0</v>
      </c>
      <c r="BJ69">
        <f t="shared" si="98"/>
        <v>0</v>
      </c>
      <c r="BK69">
        <f t="shared" si="99"/>
        <v>0</v>
      </c>
      <c r="BL69">
        <f t="shared" si="127"/>
        <v>1</v>
      </c>
      <c r="BM69">
        <f t="shared" si="100"/>
        <v>0</v>
      </c>
      <c r="BN69">
        <f t="shared" si="101"/>
        <v>0</v>
      </c>
      <c r="BO69">
        <f t="shared" si="102"/>
        <v>0</v>
      </c>
      <c r="BP69">
        <f t="shared" si="103"/>
        <v>0</v>
      </c>
      <c r="BQ69">
        <f t="shared" si="104"/>
        <v>0</v>
      </c>
      <c r="BR69">
        <f t="shared" si="105"/>
        <v>1</v>
      </c>
      <c r="BS69">
        <f t="shared" si="106"/>
        <v>0</v>
      </c>
      <c r="BT69">
        <f t="shared" si="107"/>
        <v>0</v>
      </c>
      <c r="BU69">
        <f t="shared" si="108"/>
        <v>0</v>
      </c>
      <c r="BV69">
        <f t="shared" si="109"/>
        <v>0</v>
      </c>
      <c r="BW69">
        <f t="shared" si="110"/>
        <v>1</v>
      </c>
      <c r="BX69">
        <f t="shared" si="111"/>
        <v>0</v>
      </c>
      <c r="BY69">
        <f t="shared" si="112"/>
        <v>0</v>
      </c>
      <c r="BZ69">
        <f t="shared" si="113"/>
        <v>0</v>
      </c>
      <c r="CA69">
        <f t="shared" si="114"/>
        <v>0</v>
      </c>
      <c r="CB69">
        <f t="shared" si="115"/>
        <v>0</v>
      </c>
      <c r="CC69">
        <f t="shared" si="116"/>
        <v>0</v>
      </c>
      <c r="CD69">
        <f t="shared" si="117"/>
        <v>1</v>
      </c>
      <c r="CE69">
        <f t="shared" si="118"/>
        <v>0</v>
      </c>
      <c r="CF69">
        <f t="shared" si="119"/>
        <v>0</v>
      </c>
      <c r="CG69">
        <f t="shared" si="120"/>
        <v>0</v>
      </c>
      <c r="CH69">
        <f t="shared" si="131"/>
        <v>1</v>
      </c>
      <c r="CI69">
        <f t="shared" si="132"/>
        <v>2</v>
      </c>
      <c r="CJ69">
        <f t="shared" si="133"/>
        <v>2</v>
      </c>
      <c r="CK69">
        <f t="shared" si="134"/>
        <v>1</v>
      </c>
      <c r="CL69">
        <f t="shared" si="135"/>
        <v>6</v>
      </c>
    </row>
    <row r="70" spans="1:90">
      <c r="A70">
        <v>20</v>
      </c>
      <c r="B70">
        <v>1</v>
      </c>
      <c r="C70">
        <v>1</v>
      </c>
      <c r="D70">
        <v>1</v>
      </c>
      <c r="E70">
        <v>0</v>
      </c>
      <c r="F70" s="1">
        <v>17</v>
      </c>
      <c r="G70">
        <v>6</v>
      </c>
      <c r="H70">
        <v>3</v>
      </c>
      <c r="I70">
        <v>1.6840965000000001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0.46575000000000005</v>
      </c>
      <c r="S70">
        <v>0</v>
      </c>
      <c r="T70">
        <v>0</v>
      </c>
      <c r="U70">
        <v>0</v>
      </c>
      <c r="V70">
        <v>0</v>
      </c>
      <c r="W70">
        <v>27.529674</v>
      </c>
      <c r="X70">
        <v>0</v>
      </c>
      <c r="Y70">
        <v>0</v>
      </c>
      <c r="Z70">
        <v>0</v>
      </c>
      <c r="AA70">
        <v>8.1334000000000004E-2</v>
      </c>
      <c r="AB70">
        <v>0</v>
      </c>
      <c r="AC70">
        <v>0</v>
      </c>
      <c r="AD70">
        <v>7.6999999999999994E-3</v>
      </c>
      <c r="AE70">
        <v>0</v>
      </c>
      <c r="AF70">
        <v>0</v>
      </c>
      <c r="AG70" s="2">
        <v>0</v>
      </c>
      <c r="AH70" s="2">
        <v>0</v>
      </c>
      <c r="AI70" s="2">
        <v>0</v>
      </c>
      <c r="AJ70" s="2">
        <v>0.26224999999999998</v>
      </c>
      <c r="AK70" s="2">
        <v>0</v>
      </c>
      <c r="AL70" s="2">
        <v>0</v>
      </c>
      <c r="AM70" s="2">
        <v>0</v>
      </c>
      <c r="AN70">
        <v>1</v>
      </c>
      <c r="AO70">
        <v>1</v>
      </c>
      <c r="AP70">
        <v>2</v>
      </c>
      <c r="AQ70">
        <v>2</v>
      </c>
      <c r="AR70">
        <v>6</v>
      </c>
      <c r="AS70">
        <f t="shared" si="121"/>
        <v>1.6840965000000001</v>
      </c>
      <c r="AT70">
        <f t="shared" si="128"/>
        <v>27.995424</v>
      </c>
      <c r="AU70">
        <f t="shared" si="129"/>
        <v>8.9034000000000002E-2</v>
      </c>
      <c r="AV70">
        <f t="shared" si="122"/>
        <v>30.030804499999999</v>
      </c>
      <c r="AW70">
        <f t="shared" si="123"/>
        <v>0.84383452160199368</v>
      </c>
      <c r="AX70">
        <f t="shared" si="136"/>
        <v>1.1850664726320168</v>
      </c>
      <c r="AY70">
        <f t="shared" si="130"/>
        <v>5</v>
      </c>
      <c r="AZ70">
        <f t="shared" si="124"/>
        <v>29.768554499999997</v>
      </c>
      <c r="BA70">
        <f t="shared" si="125"/>
        <v>0.85869014428366108</v>
      </c>
      <c r="BB70">
        <f t="shared" si="137"/>
        <v>1.1645644318349815</v>
      </c>
      <c r="BC70">
        <f t="shared" si="126"/>
        <v>1</v>
      </c>
      <c r="BD70">
        <f t="shared" si="92"/>
        <v>0</v>
      </c>
      <c r="BE70">
        <f t="shared" si="93"/>
        <v>0</v>
      </c>
      <c r="BF70">
        <f t="shared" si="94"/>
        <v>0</v>
      </c>
      <c r="BG70">
        <f t="shared" si="95"/>
        <v>0</v>
      </c>
      <c r="BH70">
        <f t="shared" si="96"/>
        <v>0</v>
      </c>
      <c r="BI70">
        <f t="shared" si="97"/>
        <v>0</v>
      </c>
      <c r="BJ70">
        <f t="shared" si="98"/>
        <v>0</v>
      </c>
      <c r="BK70">
        <f t="shared" si="99"/>
        <v>0</v>
      </c>
      <c r="BL70">
        <f t="shared" si="127"/>
        <v>1</v>
      </c>
      <c r="BM70">
        <f t="shared" si="100"/>
        <v>0</v>
      </c>
      <c r="BN70">
        <f t="shared" si="101"/>
        <v>0</v>
      </c>
      <c r="BO70">
        <f t="shared" si="102"/>
        <v>0</v>
      </c>
      <c r="BP70">
        <f t="shared" si="103"/>
        <v>0</v>
      </c>
      <c r="BQ70">
        <f t="shared" si="104"/>
        <v>1</v>
      </c>
      <c r="BR70">
        <f t="shared" si="105"/>
        <v>0</v>
      </c>
      <c r="BS70">
        <f t="shared" si="106"/>
        <v>0</v>
      </c>
      <c r="BT70">
        <f t="shared" si="107"/>
        <v>0</v>
      </c>
      <c r="BU70">
        <f t="shared" si="108"/>
        <v>1</v>
      </c>
      <c r="BV70">
        <f t="shared" si="109"/>
        <v>0</v>
      </c>
      <c r="BW70">
        <f t="shared" si="110"/>
        <v>0</v>
      </c>
      <c r="BX70">
        <f t="shared" si="111"/>
        <v>1</v>
      </c>
      <c r="BY70">
        <f t="shared" si="112"/>
        <v>0</v>
      </c>
      <c r="BZ70">
        <f t="shared" si="113"/>
        <v>0</v>
      </c>
      <c r="CA70">
        <f t="shared" si="114"/>
        <v>0</v>
      </c>
      <c r="CB70">
        <f t="shared" si="115"/>
        <v>0</v>
      </c>
      <c r="CC70">
        <f t="shared" si="116"/>
        <v>0</v>
      </c>
      <c r="CD70">
        <f t="shared" si="117"/>
        <v>1</v>
      </c>
      <c r="CE70">
        <f t="shared" si="118"/>
        <v>0</v>
      </c>
      <c r="CF70">
        <f t="shared" si="119"/>
        <v>0</v>
      </c>
      <c r="CG70">
        <f t="shared" si="120"/>
        <v>0</v>
      </c>
      <c r="CH70">
        <f t="shared" si="131"/>
        <v>1</v>
      </c>
      <c r="CI70">
        <f t="shared" si="132"/>
        <v>1</v>
      </c>
      <c r="CJ70">
        <f t="shared" si="133"/>
        <v>2</v>
      </c>
      <c r="CK70">
        <f t="shared" si="134"/>
        <v>2</v>
      </c>
      <c r="CL70">
        <f t="shared" si="135"/>
        <v>6</v>
      </c>
    </row>
    <row r="71" spans="1:90">
      <c r="A71">
        <v>50</v>
      </c>
      <c r="B71">
        <v>1</v>
      </c>
      <c r="C71">
        <v>1</v>
      </c>
      <c r="D71">
        <v>1</v>
      </c>
      <c r="E71">
        <v>1</v>
      </c>
      <c r="F71" s="1">
        <v>17</v>
      </c>
      <c r="G71">
        <v>6</v>
      </c>
      <c r="H71">
        <v>3</v>
      </c>
      <c r="I71">
        <v>4.6053255000000002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0.64124999999999999</v>
      </c>
      <c r="S71">
        <v>0</v>
      </c>
      <c r="T71">
        <v>0</v>
      </c>
      <c r="U71">
        <v>0</v>
      </c>
      <c r="V71">
        <v>0</v>
      </c>
      <c r="W71">
        <v>12.358269</v>
      </c>
      <c r="X71" s="1">
        <v>0.45088700000000004</v>
      </c>
      <c r="Y71">
        <v>0</v>
      </c>
      <c r="Z71">
        <v>0</v>
      </c>
      <c r="AA71">
        <v>4.0667000000000002E-2</v>
      </c>
      <c r="AB71">
        <v>0</v>
      </c>
      <c r="AC71">
        <v>0</v>
      </c>
      <c r="AD71">
        <v>7.6999999999999996E-4</v>
      </c>
      <c r="AE71">
        <v>0</v>
      </c>
      <c r="AF71">
        <v>0</v>
      </c>
      <c r="AG71" s="2">
        <v>0</v>
      </c>
      <c r="AH71" s="2">
        <v>0</v>
      </c>
      <c r="AI71" s="2">
        <v>0</v>
      </c>
      <c r="AJ71" s="2">
        <v>0.34092499999999998</v>
      </c>
      <c r="AK71" s="2">
        <v>0</v>
      </c>
      <c r="AL71" s="2">
        <v>0</v>
      </c>
      <c r="AM71" s="2">
        <v>0</v>
      </c>
      <c r="AN71">
        <v>1</v>
      </c>
      <c r="AO71">
        <v>1</v>
      </c>
      <c r="AP71">
        <v>3</v>
      </c>
      <c r="AQ71">
        <v>2</v>
      </c>
      <c r="AR71">
        <v>7</v>
      </c>
      <c r="AS71">
        <f t="shared" si="121"/>
        <v>4.6053255000000002</v>
      </c>
      <c r="AT71">
        <f t="shared" si="128"/>
        <v>13.450405999999999</v>
      </c>
      <c r="AU71">
        <f t="shared" si="129"/>
        <v>4.1437000000000002E-2</v>
      </c>
      <c r="AV71">
        <f t="shared" si="122"/>
        <v>18.438093499999997</v>
      </c>
      <c r="AW71">
        <f t="shared" si="123"/>
        <v>0.51378553124435122</v>
      </c>
      <c r="AX71">
        <f t="shared" si="136"/>
        <v>1.9463374096543216</v>
      </c>
      <c r="AY71">
        <f t="shared" si="130"/>
        <v>6</v>
      </c>
      <c r="AZ71">
        <f t="shared" si="124"/>
        <v>18.097168499999999</v>
      </c>
      <c r="BA71">
        <f t="shared" si="125"/>
        <v>0.5329709596611476</v>
      </c>
      <c r="BB71">
        <f t="shared" si="137"/>
        <v>1.8762748361294961</v>
      </c>
      <c r="BC71">
        <f t="shared" si="126"/>
        <v>1</v>
      </c>
      <c r="BD71">
        <f t="shared" si="92"/>
        <v>0</v>
      </c>
      <c r="BE71">
        <f t="shared" si="93"/>
        <v>0</v>
      </c>
      <c r="BF71">
        <f t="shared" si="94"/>
        <v>0</v>
      </c>
      <c r="BG71">
        <f t="shared" si="95"/>
        <v>0</v>
      </c>
      <c r="BH71">
        <f t="shared" si="96"/>
        <v>0</v>
      </c>
      <c r="BI71">
        <f t="shared" si="97"/>
        <v>0</v>
      </c>
      <c r="BJ71">
        <f t="shared" si="98"/>
        <v>0</v>
      </c>
      <c r="BK71">
        <f t="shared" si="99"/>
        <v>0</v>
      </c>
      <c r="BL71">
        <f t="shared" si="127"/>
        <v>1</v>
      </c>
      <c r="BM71">
        <f t="shared" si="100"/>
        <v>0</v>
      </c>
      <c r="BN71">
        <f t="shared" si="101"/>
        <v>0</v>
      </c>
      <c r="BO71">
        <f t="shared" si="102"/>
        <v>0</v>
      </c>
      <c r="BP71">
        <f t="shared" si="103"/>
        <v>0</v>
      </c>
      <c r="BQ71">
        <f t="shared" si="104"/>
        <v>1</v>
      </c>
      <c r="BR71">
        <f t="shared" si="105"/>
        <v>1</v>
      </c>
      <c r="BS71">
        <f t="shared" si="106"/>
        <v>0</v>
      </c>
      <c r="BT71">
        <f t="shared" si="107"/>
        <v>0</v>
      </c>
      <c r="BU71">
        <f t="shared" si="108"/>
        <v>1</v>
      </c>
      <c r="BV71">
        <f t="shared" si="109"/>
        <v>0</v>
      </c>
      <c r="BW71">
        <f t="shared" si="110"/>
        <v>0</v>
      </c>
      <c r="BX71">
        <f t="shared" si="111"/>
        <v>1</v>
      </c>
      <c r="BY71">
        <f t="shared" si="112"/>
        <v>0</v>
      </c>
      <c r="BZ71">
        <f t="shared" si="113"/>
        <v>0</v>
      </c>
      <c r="CA71">
        <f t="shared" si="114"/>
        <v>0</v>
      </c>
      <c r="CB71">
        <f t="shared" si="115"/>
        <v>0</v>
      </c>
      <c r="CC71">
        <f t="shared" si="116"/>
        <v>0</v>
      </c>
      <c r="CD71">
        <f t="shared" si="117"/>
        <v>1</v>
      </c>
      <c r="CE71">
        <f t="shared" si="118"/>
        <v>0</v>
      </c>
      <c r="CF71">
        <f t="shared" si="119"/>
        <v>0</v>
      </c>
      <c r="CG71">
        <f t="shared" si="120"/>
        <v>0</v>
      </c>
      <c r="CH71">
        <f t="shared" si="131"/>
        <v>1</v>
      </c>
      <c r="CI71">
        <f t="shared" si="132"/>
        <v>1</v>
      </c>
      <c r="CJ71">
        <f t="shared" si="133"/>
        <v>3</v>
      </c>
      <c r="CK71">
        <f t="shared" si="134"/>
        <v>2</v>
      </c>
      <c r="CL71">
        <f t="shared" si="135"/>
        <v>7</v>
      </c>
    </row>
    <row r="72" spans="1:90">
      <c r="A72">
        <v>59</v>
      </c>
      <c r="B72">
        <v>1</v>
      </c>
      <c r="C72">
        <v>1</v>
      </c>
      <c r="D72">
        <v>1</v>
      </c>
      <c r="E72">
        <v>0</v>
      </c>
      <c r="F72" s="1">
        <v>17</v>
      </c>
      <c r="G72">
        <v>6</v>
      </c>
      <c r="H72">
        <v>3</v>
      </c>
      <c r="I72">
        <v>5.4992535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0.42525000000000002</v>
      </c>
      <c r="S72">
        <v>0</v>
      </c>
      <c r="T72">
        <v>0</v>
      </c>
      <c r="U72">
        <v>0</v>
      </c>
      <c r="V72">
        <v>0</v>
      </c>
      <c r="W72">
        <v>14.727080999999998</v>
      </c>
      <c r="X72" s="1">
        <v>0.39045600000000003</v>
      </c>
      <c r="Y72">
        <v>0</v>
      </c>
      <c r="Z72">
        <v>0</v>
      </c>
      <c r="AA72">
        <v>0.16266800000000001</v>
      </c>
      <c r="AB72">
        <v>0</v>
      </c>
      <c r="AC72">
        <v>0</v>
      </c>
      <c r="AD72">
        <v>5.7749999999999998E-3</v>
      </c>
      <c r="AE72">
        <v>0</v>
      </c>
      <c r="AF72">
        <v>0</v>
      </c>
      <c r="AG72" s="2">
        <v>0</v>
      </c>
      <c r="AH72" s="2">
        <v>0</v>
      </c>
      <c r="AI72" s="2">
        <v>0</v>
      </c>
      <c r="AJ72" s="2">
        <v>0.20979999999999999</v>
      </c>
      <c r="AK72" s="2">
        <v>0</v>
      </c>
      <c r="AL72" s="2">
        <v>0</v>
      </c>
      <c r="AM72" s="2">
        <v>0</v>
      </c>
      <c r="AN72">
        <v>1</v>
      </c>
      <c r="AO72">
        <v>1</v>
      </c>
      <c r="AP72">
        <v>3</v>
      </c>
      <c r="AQ72">
        <v>2</v>
      </c>
      <c r="AR72">
        <v>7</v>
      </c>
      <c r="AS72">
        <f t="shared" si="121"/>
        <v>5.4992535</v>
      </c>
      <c r="AT72">
        <f t="shared" si="128"/>
        <v>15.542786999999999</v>
      </c>
      <c r="AU72">
        <f t="shared" si="129"/>
        <v>0.16844300000000001</v>
      </c>
      <c r="AV72">
        <f t="shared" si="122"/>
        <v>21.4202835</v>
      </c>
      <c r="AW72">
        <f t="shared" si="123"/>
        <v>0.53948802910294091</v>
      </c>
      <c r="AX72">
        <f t="shared" si="136"/>
        <v>1.8536092481288176</v>
      </c>
      <c r="AY72">
        <f t="shared" si="130"/>
        <v>6</v>
      </c>
      <c r="AZ72">
        <f t="shared" si="124"/>
        <v>21.210483499999999</v>
      </c>
      <c r="BA72">
        <f t="shared" si="125"/>
        <v>0.55011548705788904</v>
      </c>
      <c r="BB72">
        <f t="shared" si="137"/>
        <v>1.8178001229308589</v>
      </c>
      <c r="BC72">
        <f t="shared" si="126"/>
        <v>1</v>
      </c>
      <c r="BD72">
        <f t="shared" si="92"/>
        <v>0</v>
      </c>
      <c r="BE72">
        <f t="shared" si="93"/>
        <v>0</v>
      </c>
      <c r="BF72">
        <f t="shared" si="94"/>
        <v>0</v>
      </c>
      <c r="BG72">
        <f t="shared" si="95"/>
        <v>0</v>
      </c>
      <c r="BH72">
        <f t="shared" si="96"/>
        <v>0</v>
      </c>
      <c r="BI72">
        <f t="shared" si="97"/>
        <v>0</v>
      </c>
      <c r="BJ72">
        <f t="shared" si="98"/>
        <v>0</v>
      </c>
      <c r="BK72">
        <f t="shared" si="99"/>
        <v>0</v>
      </c>
      <c r="BL72">
        <f t="shared" si="127"/>
        <v>1</v>
      </c>
      <c r="BM72">
        <f t="shared" si="100"/>
        <v>0</v>
      </c>
      <c r="BN72">
        <f t="shared" si="101"/>
        <v>0</v>
      </c>
      <c r="BO72">
        <f t="shared" si="102"/>
        <v>0</v>
      </c>
      <c r="BP72">
        <f t="shared" si="103"/>
        <v>0</v>
      </c>
      <c r="BQ72">
        <f t="shared" si="104"/>
        <v>1</v>
      </c>
      <c r="BR72">
        <f t="shared" si="105"/>
        <v>1</v>
      </c>
      <c r="BS72">
        <f t="shared" si="106"/>
        <v>0</v>
      </c>
      <c r="BT72">
        <f t="shared" si="107"/>
        <v>0</v>
      </c>
      <c r="BU72">
        <f t="shared" si="108"/>
        <v>1</v>
      </c>
      <c r="BV72">
        <f t="shared" si="109"/>
        <v>0</v>
      </c>
      <c r="BW72">
        <f t="shared" si="110"/>
        <v>0</v>
      </c>
      <c r="BX72">
        <f t="shared" si="111"/>
        <v>1</v>
      </c>
      <c r="BY72">
        <f t="shared" si="112"/>
        <v>0</v>
      </c>
      <c r="BZ72">
        <f t="shared" si="113"/>
        <v>0</v>
      </c>
      <c r="CA72">
        <f t="shared" si="114"/>
        <v>0</v>
      </c>
      <c r="CB72">
        <f t="shared" si="115"/>
        <v>0</v>
      </c>
      <c r="CC72">
        <f t="shared" si="116"/>
        <v>0</v>
      </c>
      <c r="CD72">
        <f t="shared" si="117"/>
        <v>1</v>
      </c>
      <c r="CE72">
        <f t="shared" si="118"/>
        <v>0</v>
      </c>
      <c r="CF72">
        <f t="shared" si="119"/>
        <v>0</v>
      </c>
      <c r="CG72">
        <f t="shared" si="120"/>
        <v>0</v>
      </c>
      <c r="CH72">
        <f t="shared" si="131"/>
        <v>1</v>
      </c>
      <c r="CI72">
        <f t="shared" si="132"/>
        <v>1</v>
      </c>
      <c r="CJ72">
        <f t="shared" si="133"/>
        <v>3</v>
      </c>
      <c r="CK72">
        <f t="shared" si="134"/>
        <v>2</v>
      </c>
      <c r="CL72">
        <f t="shared" si="135"/>
        <v>7</v>
      </c>
    </row>
    <row r="73" spans="1:90">
      <c r="A73">
        <v>86</v>
      </c>
      <c r="B73">
        <v>1</v>
      </c>
      <c r="C73">
        <v>1</v>
      </c>
      <c r="D73">
        <v>1</v>
      </c>
      <c r="E73">
        <v>1</v>
      </c>
      <c r="F73" s="1">
        <v>17</v>
      </c>
      <c r="G73">
        <v>6</v>
      </c>
      <c r="H73">
        <v>3</v>
      </c>
      <c r="I73">
        <v>3.3442485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0.70874999999999999</v>
      </c>
      <c r="S73">
        <v>0</v>
      </c>
      <c r="T73">
        <v>0</v>
      </c>
      <c r="U73">
        <v>0</v>
      </c>
      <c r="V73">
        <v>0</v>
      </c>
      <c r="W73">
        <v>22.126277999999999</v>
      </c>
      <c r="X73" s="1">
        <v>3.3210000000000002E-3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5.7749999999999998E-3</v>
      </c>
      <c r="AE73">
        <v>0</v>
      </c>
      <c r="AF73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>
        <v>0</v>
      </c>
      <c r="AO73">
        <v>1</v>
      </c>
      <c r="AP73">
        <v>3</v>
      </c>
      <c r="AQ73">
        <v>1</v>
      </c>
      <c r="AR73">
        <v>5</v>
      </c>
      <c r="AS73">
        <f t="shared" si="121"/>
        <v>3.3442485</v>
      </c>
      <c r="AT73">
        <f t="shared" si="128"/>
        <v>22.838348999999997</v>
      </c>
      <c r="AU73">
        <f t="shared" si="129"/>
        <v>5.7749999999999998E-3</v>
      </c>
      <c r="AV73">
        <f t="shared" si="122"/>
        <v>26.1883725</v>
      </c>
      <c r="AW73">
        <f t="shared" si="123"/>
        <v>0.7308778017734614</v>
      </c>
      <c r="AX73">
        <f t="shared" si="136"/>
        <v>1.3682177753565898</v>
      </c>
      <c r="AY73">
        <f t="shared" si="130"/>
        <v>5</v>
      </c>
      <c r="AZ73">
        <f t="shared" si="124"/>
        <v>26.1883725</v>
      </c>
      <c r="BA73">
        <f t="shared" si="125"/>
        <v>0.7308778017734614</v>
      </c>
      <c r="BB73">
        <f t="shared" si="137"/>
        <v>1.3682177753565898</v>
      </c>
      <c r="BC73">
        <f t="shared" si="126"/>
        <v>1</v>
      </c>
      <c r="BD73">
        <f t="shared" si="92"/>
        <v>0</v>
      </c>
      <c r="BE73">
        <f t="shared" si="93"/>
        <v>0</v>
      </c>
      <c r="BF73">
        <f t="shared" si="94"/>
        <v>0</v>
      </c>
      <c r="BG73">
        <f t="shared" si="95"/>
        <v>0</v>
      </c>
      <c r="BH73">
        <f t="shared" si="96"/>
        <v>0</v>
      </c>
      <c r="BI73">
        <f t="shared" si="97"/>
        <v>0</v>
      </c>
      <c r="BJ73">
        <f t="shared" si="98"/>
        <v>0</v>
      </c>
      <c r="BK73">
        <f t="shared" si="99"/>
        <v>0</v>
      </c>
      <c r="BL73">
        <f t="shared" si="127"/>
        <v>1</v>
      </c>
      <c r="BM73">
        <f t="shared" si="100"/>
        <v>0</v>
      </c>
      <c r="BN73">
        <f t="shared" si="101"/>
        <v>0</v>
      </c>
      <c r="BO73">
        <f t="shared" si="102"/>
        <v>0</v>
      </c>
      <c r="BP73">
        <f t="shared" si="103"/>
        <v>0</v>
      </c>
      <c r="BQ73">
        <f t="shared" si="104"/>
        <v>1</v>
      </c>
      <c r="BR73">
        <f t="shared" si="105"/>
        <v>1</v>
      </c>
      <c r="BS73">
        <f t="shared" si="106"/>
        <v>0</v>
      </c>
      <c r="BT73">
        <f t="shared" si="107"/>
        <v>0</v>
      </c>
      <c r="BU73">
        <f t="shared" si="108"/>
        <v>0</v>
      </c>
      <c r="BV73">
        <f t="shared" si="109"/>
        <v>0</v>
      </c>
      <c r="BW73">
        <f t="shared" si="110"/>
        <v>0</v>
      </c>
      <c r="BX73">
        <f t="shared" si="111"/>
        <v>1</v>
      </c>
      <c r="BY73">
        <f t="shared" si="112"/>
        <v>0</v>
      </c>
      <c r="BZ73">
        <f t="shared" si="113"/>
        <v>0</v>
      </c>
      <c r="CA73">
        <f t="shared" si="114"/>
        <v>0</v>
      </c>
      <c r="CB73">
        <f t="shared" si="115"/>
        <v>0</v>
      </c>
      <c r="CC73">
        <f t="shared" si="116"/>
        <v>0</v>
      </c>
      <c r="CD73">
        <f t="shared" si="117"/>
        <v>0</v>
      </c>
      <c r="CE73">
        <f t="shared" si="118"/>
        <v>0</v>
      </c>
      <c r="CF73">
        <f t="shared" si="119"/>
        <v>0</v>
      </c>
      <c r="CG73">
        <f t="shared" si="120"/>
        <v>0</v>
      </c>
      <c r="CH73">
        <f t="shared" si="131"/>
        <v>0</v>
      </c>
      <c r="CI73">
        <f t="shared" si="132"/>
        <v>1</v>
      </c>
      <c r="CJ73">
        <f t="shared" si="133"/>
        <v>3</v>
      </c>
      <c r="CK73">
        <f t="shared" si="134"/>
        <v>1</v>
      </c>
      <c r="CL73">
        <f t="shared" si="135"/>
        <v>5</v>
      </c>
    </row>
    <row r="74" spans="1:90">
      <c r="A74">
        <v>12</v>
      </c>
      <c r="B74">
        <v>1</v>
      </c>
      <c r="C74">
        <v>1</v>
      </c>
      <c r="D74">
        <v>1</v>
      </c>
      <c r="E74">
        <v>1</v>
      </c>
      <c r="F74" s="1">
        <v>18</v>
      </c>
      <c r="G74">
        <v>6</v>
      </c>
      <c r="H74">
        <v>3</v>
      </c>
      <c r="I74">
        <v>0</v>
      </c>
      <c r="J74">
        <v>0</v>
      </c>
      <c r="K74">
        <v>0</v>
      </c>
      <c r="L74">
        <v>0</v>
      </c>
      <c r="M74">
        <v>0</v>
      </c>
      <c r="N74">
        <v>2.5635103999999997</v>
      </c>
      <c r="O74">
        <v>0</v>
      </c>
      <c r="P74">
        <v>0</v>
      </c>
      <c r="Q74">
        <v>2.4975000000000001</v>
      </c>
      <c r="R74" s="4">
        <v>0</v>
      </c>
      <c r="S74">
        <v>0</v>
      </c>
      <c r="T74">
        <v>0</v>
      </c>
      <c r="U74">
        <v>0</v>
      </c>
      <c r="V74">
        <v>8.1178000000000014E-2</v>
      </c>
      <c r="W74">
        <v>0</v>
      </c>
      <c r="X74" s="1">
        <v>2.52E-2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4.3889999999999998E-2</v>
      </c>
      <c r="AE74">
        <v>0</v>
      </c>
      <c r="AF74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>
        <v>0</v>
      </c>
      <c r="AO74">
        <v>1</v>
      </c>
      <c r="AP74">
        <v>3</v>
      </c>
      <c r="AQ74">
        <v>1</v>
      </c>
      <c r="AR74">
        <v>5</v>
      </c>
      <c r="AS74">
        <f t="shared" si="121"/>
        <v>2.5635103999999997</v>
      </c>
      <c r="AT74">
        <f t="shared" si="128"/>
        <v>2.6038779999999999</v>
      </c>
      <c r="AU74">
        <f t="shared" si="129"/>
        <v>4.3889999999999998E-2</v>
      </c>
      <c r="AV74">
        <f t="shared" si="122"/>
        <v>5.2112784000000003</v>
      </c>
      <c r="AW74">
        <f t="shared" si="123"/>
        <v>0.47199777634580742</v>
      </c>
      <c r="AX74">
        <f t="shared" si="136"/>
        <v>2.1186540490549977</v>
      </c>
      <c r="AY74">
        <f t="shared" si="130"/>
        <v>5</v>
      </c>
      <c r="AZ74">
        <f t="shared" si="124"/>
        <v>5.2112784000000003</v>
      </c>
      <c r="BA74">
        <f t="shared" si="125"/>
        <v>0.47199777634580742</v>
      </c>
      <c r="BB74">
        <f t="shared" si="137"/>
        <v>2.1186540490549977</v>
      </c>
      <c r="BC74">
        <f t="shared" si="126"/>
        <v>0</v>
      </c>
      <c r="BD74">
        <f t="shared" si="92"/>
        <v>0</v>
      </c>
      <c r="BE74">
        <f t="shared" si="93"/>
        <v>0</v>
      </c>
      <c r="BF74">
        <f t="shared" si="94"/>
        <v>0</v>
      </c>
      <c r="BG74">
        <f t="shared" si="95"/>
        <v>0</v>
      </c>
      <c r="BH74">
        <f t="shared" si="96"/>
        <v>1</v>
      </c>
      <c r="BI74">
        <f t="shared" si="97"/>
        <v>0</v>
      </c>
      <c r="BJ74">
        <f t="shared" si="98"/>
        <v>0</v>
      </c>
      <c r="BK74">
        <f t="shared" si="99"/>
        <v>1</v>
      </c>
      <c r="BL74">
        <f t="shared" si="127"/>
        <v>0</v>
      </c>
      <c r="BM74">
        <f t="shared" si="100"/>
        <v>0</v>
      </c>
      <c r="BN74">
        <f t="shared" si="101"/>
        <v>0</v>
      </c>
      <c r="BO74">
        <f t="shared" si="102"/>
        <v>0</v>
      </c>
      <c r="BP74">
        <f t="shared" si="103"/>
        <v>1</v>
      </c>
      <c r="BQ74">
        <f t="shared" si="104"/>
        <v>0</v>
      </c>
      <c r="BR74">
        <f t="shared" si="105"/>
        <v>1</v>
      </c>
      <c r="BS74">
        <f t="shared" si="106"/>
        <v>0</v>
      </c>
      <c r="BT74">
        <f t="shared" si="107"/>
        <v>0</v>
      </c>
      <c r="BU74">
        <f t="shared" si="108"/>
        <v>0</v>
      </c>
      <c r="BV74">
        <f t="shared" si="109"/>
        <v>0</v>
      </c>
      <c r="BW74">
        <f t="shared" si="110"/>
        <v>0</v>
      </c>
      <c r="BX74">
        <f t="shared" si="111"/>
        <v>1</v>
      </c>
      <c r="BY74">
        <f t="shared" si="112"/>
        <v>0</v>
      </c>
      <c r="BZ74">
        <f t="shared" si="113"/>
        <v>0</v>
      </c>
      <c r="CA74">
        <f t="shared" si="114"/>
        <v>0</v>
      </c>
      <c r="CB74">
        <f t="shared" si="115"/>
        <v>0</v>
      </c>
      <c r="CC74">
        <f t="shared" si="116"/>
        <v>0</v>
      </c>
      <c r="CD74">
        <f t="shared" si="117"/>
        <v>0</v>
      </c>
      <c r="CE74">
        <f t="shared" si="118"/>
        <v>0</v>
      </c>
      <c r="CF74">
        <f t="shared" si="119"/>
        <v>0</v>
      </c>
      <c r="CG74">
        <f t="shared" si="120"/>
        <v>0</v>
      </c>
      <c r="CH74">
        <f t="shared" si="131"/>
        <v>0</v>
      </c>
      <c r="CI74">
        <f t="shared" si="132"/>
        <v>1</v>
      </c>
      <c r="CJ74">
        <f t="shared" si="133"/>
        <v>3</v>
      </c>
      <c r="CK74">
        <f t="shared" si="134"/>
        <v>1</v>
      </c>
      <c r="CL74">
        <f t="shared" si="135"/>
        <v>5</v>
      </c>
    </row>
    <row r="75" spans="1:90">
      <c r="A75">
        <v>15</v>
      </c>
      <c r="B75">
        <v>1</v>
      </c>
      <c r="C75">
        <v>1</v>
      </c>
      <c r="D75">
        <v>1</v>
      </c>
      <c r="E75">
        <v>0</v>
      </c>
      <c r="F75" s="1">
        <v>18</v>
      </c>
      <c r="G75">
        <v>6</v>
      </c>
      <c r="H75">
        <v>3</v>
      </c>
      <c r="I75">
        <v>0</v>
      </c>
      <c r="J75">
        <v>0</v>
      </c>
      <c r="K75">
        <v>0</v>
      </c>
      <c r="L75">
        <v>0</v>
      </c>
      <c r="M75">
        <v>0</v>
      </c>
      <c r="N75">
        <v>0.7673665999999999</v>
      </c>
      <c r="O75">
        <v>0</v>
      </c>
      <c r="P75">
        <v>0</v>
      </c>
      <c r="Q75">
        <v>1.99125</v>
      </c>
      <c r="R75" s="4">
        <v>0</v>
      </c>
      <c r="S75">
        <v>0</v>
      </c>
      <c r="T75">
        <v>0</v>
      </c>
      <c r="U75">
        <v>0</v>
      </c>
      <c r="V75">
        <v>0.20843000000000003</v>
      </c>
      <c r="W75">
        <v>0</v>
      </c>
      <c r="X75" s="1">
        <v>0.82894000000000001</v>
      </c>
      <c r="Y75">
        <v>0</v>
      </c>
      <c r="Z75">
        <v>0</v>
      </c>
      <c r="AA75">
        <v>0</v>
      </c>
      <c r="AB75">
        <v>0</v>
      </c>
      <c r="AC75">
        <v>6.150000000000001E-3</v>
      </c>
      <c r="AD75">
        <v>2.1174999999999999E-2</v>
      </c>
      <c r="AE75">
        <v>0</v>
      </c>
      <c r="AF75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>
        <v>0</v>
      </c>
      <c r="AO75">
        <v>1</v>
      </c>
      <c r="AP75">
        <v>3</v>
      </c>
      <c r="AQ75">
        <v>2</v>
      </c>
      <c r="AR75">
        <v>6</v>
      </c>
      <c r="AS75">
        <f t="shared" si="121"/>
        <v>0.7673665999999999</v>
      </c>
      <c r="AT75">
        <f t="shared" si="128"/>
        <v>3.0286200000000001</v>
      </c>
      <c r="AU75">
        <f t="shared" si="129"/>
        <v>2.7325000000000002E-2</v>
      </c>
      <c r="AV75">
        <f t="shared" si="122"/>
        <v>3.8233115999999998</v>
      </c>
      <c r="AW75">
        <f t="shared" si="123"/>
        <v>0.36154762119434075</v>
      </c>
      <c r="AX75">
        <f t="shared" si="136"/>
        <v>2.7658873724478896</v>
      </c>
      <c r="AY75">
        <f t="shared" si="130"/>
        <v>6</v>
      </c>
      <c r="AZ75">
        <f t="shared" si="124"/>
        <v>3.8233115999999998</v>
      </c>
      <c r="BA75">
        <f t="shared" si="125"/>
        <v>0.36154762119434075</v>
      </c>
      <c r="BB75">
        <f t="shared" si="137"/>
        <v>2.7658873724478896</v>
      </c>
      <c r="BC75">
        <f t="shared" si="126"/>
        <v>0</v>
      </c>
      <c r="BD75">
        <f t="shared" si="92"/>
        <v>0</v>
      </c>
      <c r="BE75">
        <f t="shared" si="93"/>
        <v>0</v>
      </c>
      <c r="BF75">
        <f t="shared" si="94"/>
        <v>0</v>
      </c>
      <c r="BG75">
        <f t="shared" si="95"/>
        <v>0</v>
      </c>
      <c r="BH75">
        <f t="shared" si="96"/>
        <v>1</v>
      </c>
      <c r="BI75">
        <f t="shared" si="97"/>
        <v>0</v>
      </c>
      <c r="BJ75">
        <f t="shared" si="98"/>
        <v>0</v>
      </c>
      <c r="BK75">
        <f t="shared" si="99"/>
        <v>1</v>
      </c>
      <c r="BL75">
        <f t="shared" si="127"/>
        <v>0</v>
      </c>
      <c r="BM75">
        <f t="shared" si="100"/>
        <v>0</v>
      </c>
      <c r="BN75">
        <f t="shared" si="101"/>
        <v>0</v>
      </c>
      <c r="BO75">
        <f t="shared" si="102"/>
        <v>0</v>
      </c>
      <c r="BP75">
        <f t="shared" si="103"/>
        <v>1</v>
      </c>
      <c r="BQ75">
        <f t="shared" si="104"/>
        <v>0</v>
      </c>
      <c r="BR75">
        <f t="shared" si="105"/>
        <v>1</v>
      </c>
      <c r="BS75">
        <f t="shared" si="106"/>
        <v>0</v>
      </c>
      <c r="BT75">
        <f t="shared" si="107"/>
        <v>0</v>
      </c>
      <c r="BU75">
        <f t="shared" si="108"/>
        <v>0</v>
      </c>
      <c r="BV75">
        <f t="shared" si="109"/>
        <v>0</v>
      </c>
      <c r="BW75">
        <f t="shared" si="110"/>
        <v>1</v>
      </c>
      <c r="BX75">
        <f t="shared" si="111"/>
        <v>1</v>
      </c>
      <c r="BY75">
        <f t="shared" si="112"/>
        <v>0</v>
      </c>
      <c r="BZ75">
        <f t="shared" si="113"/>
        <v>0</v>
      </c>
      <c r="CA75">
        <f t="shared" si="114"/>
        <v>0</v>
      </c>
      <c r="CB75">
        <f t="shared" si="115"/>
        <v>0</v>
      </c>
      <c r="CC75">
        <f t="shared" si="116"/>
        <v>0</v>
      </c>
      <c r="CD75">
        <f t="shared" si="117"/>
        <v>0</v>
      </c>
      <c r="CE75">
        <f t="shared" si="118"/>
        <v>0</v>
      </c>
      <c r="CF75">
        <f t="shared" si="119"/>
        <v>0</v>
      </c>
      <c r="CG75">
        <f t="shared" si="120"/>
        <v>0</v>
      </c>
      <c r="CH75">
        <f t="shared" si="131"/>
        <v>0</v>
      </c>
      <c r="CI75">
        <f t="shared" si="132"/>
        <v>1</v>
      </c>
      <c r="CJ75">
        <f t="shared" si="133"/>
        <v>3</v>
      </c>
      <c r="CK75">
        <f t="shared" si="134"/>
        <v>2</v>
      </c>
      <c r="CL75">
        <f t="shared" si="135"/>
        <v>6</v>
      </c>
    </row>
    <row r="76" spans="1:90">
      <c r="A76">
        <v>67</v>
      </c>
      <c r="B76">
        <v>1</v>
      </c>
      <c r="C76">
        <v>1</v>
      </c>
      <c r="D76">
        <v>1</v>
      </c>
      <c r="E76">
        <v>0</v>
      </c>
      <c r="F76" s="1">
        <v>18</v>
      </c>
      <c r="G76">
        <v>6</v>
      </c>
      <c r="H76">
        <v>3</v>
      </c>
      <c r="I76">
        <v>0</v>
      </c>
      <c r="J76">
        <v>0</v>
      </c>
      <c r="K76">
        <v>0</v>
      </c>
      <c r="L76">
        <v>0</v>
      </c>
      <c r="M76">
        <v>0</v>
      </c>
      <c r="N76">
        <v>3.0778989999999999</v>
      </c>
      <c r="O76">
        <v>0</v>
      </c>
      <c r="P76">
        <v>0</v>
      </c>
      <c r="Q76">
        <v>1.2150000000000001</v>
      </c>
      <c r="R76" s="4">
        <v>0</v>
      </c>
      <c r="S76">
        <v>0</v>
      </c>
      <c r="T76">
        <v>0</v>
      </c>
      <c r="U76">
        <v>0</v>
      </c>
      <c r="V76">
        <v>7.6790000000000011E-2</v>
      </c>
      <c r="W76" s="1">
        <v>0.26433299999999998</v>
      </c>
      <c r="X76">
        <v>0</v>
      </c>
      <c r="Y76">
        <v>0</v>
      </c>
      <c r="Z76">
        <v>0</v>
      </c>
      <c r="AA76" s="1">
        <v>4.0667000000000002E-2</v>
      </c>
      <c r="AB76">
        <v>0</v>
      </c>
      <c r="AC76">
        <v>2.0500000000000002E-3</v>
      </c>
      <c r="AD76">
        <v>5.7749999999999998E-3</v>
      </c>
      <c r="AE76">
        <v>0</v>
      </c>
      <c r="AF76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>
        <v>0</v>
      </c>
      <c r="AO76">
        <v>1</v>
      </c>
      <c r="AP76">
        <v>3</v>
      </c>
      <c r="AQ76">
        <v>3</v>
      </c>
      <c r="AR76">
        <v>7</v>
      </c>
      <c r="AS76">
        <f t="shared" si="121"/>
        <v>3.0778989999999999</v>
      </c>
      <c r="AT76">
        <f t="shared" si="128"/>
        <v>1.5561229999999999</v>
      </c>
      <c r="AU76">
        <f t="shared" si="129"/>
        <v>4.8492000000000007E-2</v>
      </c>
      <c r="AV76">
        <f t="shared" si="122"/>
        <v>4.6825139999999994</v>
      </c>
      <c r="AW76">
        <f t="shared" si="123"/>
        <v>0.50292706168277723</v>
      </c>
      <c r="AX76">
        <f t="shared" si="136"/>
        <v>1.98835989587443</v>
      </c>
      <c r="AY76">
        <f t="shared" si="130"/>
        <v>7</v>
      </c>
      <c r="AZ76">
        <f t="shared" si="124"/>
        <v>4.6825139999999994</v>
      </c>
      <c r="BA76">
        <f t="shared" si="125"/>
        <v>0.50292706168277723</v>
      </c>
      <c r="BB76">
        <f t="shared" si="137"/>
        <v>1.98835989587443</v>
      </c>
      <c r="BC76">
        <f t="shared" si="126"/>
        <v>0</v>
      </c>
      <c r="BD76">
        <f t="shared" si="92"/>
        <v>0</v>
      </c>
      <c r="BE76">
        <f t="shared" si="93"/>
        <v>0</v>
      </c>
      <c r="BF76">
        <f t="shared" si="94"/>
        <v>0</v>
      </c>
      <c r="BG76">
        <f t="shared" si="95"/>
        <v>0</v>
      </c>
      <c r="BH76">
        <f t="shared" si="96"/>
        <v>1</v>
      </c>
      <c r="BI76">
        <f t="shared" si="97"/>
        <v>0</v>
      </c>
      <c r="BJ76">
        <f t="shared" si="98"/>
        <v>0</v>
      </c>
      <c r="BK76">
        <f t="shared" si="99"/>
        <v>1</v>
      </c>
      <c r="BL76">
        <f t="shared" si="127"/>
        <v>0</v>
      </c>
      <c r="BM76">
        <f t="shared" si="100"/>
        <v>0</v>
      </c>
      <c r="BN76">
        <f t="shared" si="101"/>
        <v>0</v>
      </c>
      <c r="BO76">
        <f t="shared" si="102"/>
        <v>0</v>
      </c>
      <c r="BP76">
        <f t="shared" si="103"/>
        <v>1</v>
      </c>
      <c r="BQ76">
        <f t="shared" si="104"/>
        <v>1</v>
      </c>
      <c r="BR76">
        <f t="shared" si="105"/>
        <v>0</v>
      </c>
      <c r="BS76">
        <f t="shared" si="106"/>
        <v>0</v>
      </c>
      <c r="BT76">
        <f t="shared" si="107"/>
        <v>0</v>
      </c>
      <c r="BU76">
        <f t="shared" si="108"/>
        <v>1</v>
      </c>
      <c r="BV76">
        <f t="shared" si="109"/>
        <v>0</v>
      </c>
      <c r="BW76">
        <f t="shared" si="110"/>
        <v>1</v>
      </c>
      <c r="BX76">
        <f t="shared" si="111"/>
        <v>1</v>
      </c>
      <c r="BY76">
        <f t="shared" si="112"/>
        <v>0</v>
      </c>
      <c r="BZ76">
        <f t="shared" si="113"/>
        <v>0</v>
      </c>
      <c r="CA76">
        <f t="shared" si="114"/>
        <v>0</v>
      </c>
      <c r="CB76">
        <f t="shared" si="115"/>
        <v>0</v>
      </c>
      <c r="CC76">
        <f t="shared" si="116"/>
        <v>0</v>
      </c>
      <c r="CD76">
        <f t="shared" si="117"/>
        <v>0</v>
      </c>
      <c r="CE76">
        <f t="shared" si="118"/>
        <v>0</v>
      </c>
      <c r="CF76">
        <f t="shared" si="119"/>
        <v>0</v>
      </c>
      <c r="CG76">
        <f t="shared" si="120"/>
        <v>0</v>
      </c>
      <c r="CH76">
        <f t="shared" si="131"/>
        <v>0</v>
      </c>
      <c r="CI76">
        <f t="shared" si="132"/>
        <v>1</v>
      </c>
      <c r="CJ76">
        <f t="shared" si="133"/>
        <v>3</v>
      </c>
      <c r="CK76">
        <f t="shared" si="134"/>
        <v>3</v>
      </c>
      <c r="CL76">
        <f t="shared" si="135"/>
        <v>7</v>
      </c>
    </row>
    <row r="77" spans="1:90">
      <c r="A77">
        <v>83</v>
      </c>
      <c r="B77">
        <v>1</v>
      </c>
      <c r="C77">
        <v>1</v>
      </c>
      <c r="D77">
        <v>1</v>
      </c>
      <c r="E77">
        <v>1</v>
      </c>
      <c r="F77" s="1">
        <v>18</v>
      </c>
      <c r="G77">
        <v>6</v>
      </c>
      <c r="H77">
        <v>3</v>
      </c>
      <c r="I77">
        <v>0</v>
      </c>
      <c r="J77">
        <v>0</v>
      </c>
      <c r="K77">
        <v>0</v>
      </c>
      <c r="L77">
        <v>0</v>
      </c>
      <c r="M77">
        <v>0</v>
      </c>
      <c r="N77">
        <v>6.0208764000000006</v>
      </c>
      <c r="O77">
        <v>0</v>
      </c>
      <c r="P77">
        <v>0</v>
      </c>
      <c r="Q77">
        <v>2.1532499999999999</v>
      </c>
      <c r="R77" s="4">
        <v>0</v>
      </c>
      <c r="S77">
        <v>0</v>
      </c>
      <c r="T77">
        <v>0</v>
      </c>
      <c r="U77">
        <v>0</v>
      </c>
      <c r="V77">
        <v>8.7760000000000008E-3</v>
      </c>
      <c r="W77">
        <v>0</v>
      </c>
      <c r="X77" s="1">
        <v>2.52E-2</v>
      </c>
      <c r="Y77">
        <v>0</v>
      </c>
      <c r="Z77">
        <v>0</v>
      </c>
      <c r="AA77">
        <v>0</v>
      </c>
      <c r="AB77">
        <v>0</v>
      </c>
      <c r="AC77">
        <v>1.025E-2</v>
      </c>
      <c r="AD77">
        <v>6.1599999999999997E-3</v>
      </c>
      <c r="AE77">
        <v>0</v>
      </c>
      <c r="AF77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>
        <v>0</v>
      </c>
      <c r="AO77">
        <v>1</v>
      </c>
      <c r="AP77">
        <v>3</v>
      </c>
      <c r="AQ77">
        <v>2</v>
      </c>
      <c r="AR77">
        <v>6</v>
      </c>
      <c r="AS77">
        <f t="shared" si="121"/>
        <v>6.0208764000000006</v>
      </c>
      <c r="AT77">
        <f t="shared" si="128"/>
        <v>2.1872259999999999</v>
      </c>
      <c r="AU77">
        <f t="shared" si="129"/>
        <v>1.6410000000000001E-2</v>
      </c>
      <c r="AV77">
        <f t="shared" si="122"/>
        <v>8.2245123999999983</v>
      </c>
      <c r="AW77">
        <f t="shared" si="123"/>
        <v>0.6044754445175734</v>
      </c>
      <c r="AX77">
        <f t="shared" si="136"/>
        <v>1.6543269194302694</v>
      </c>
      <c r="AY77">
        <f t="shared" si="130"/>
        <v>6</v>
      </c>
      <c r="AZ77">
        <f t="shared" si="124"/>
        <v>8.2245123999999983</v>
      </c>
      <c r="BA77">
        <f t="shared" si="125"/>
        <v>0.6044754445175734</v>
      </c>
      <c r="BB77">
        <f t="shared" si="137"/>
        <v>1.6543269194302694</v>
      </c>
      <c r="BC77">
        <f t="shared" si="126"/>
        <v>0</v>
      </c>
      <c r="BD77">
        <f t="shared" si="92"/>
        <v>0</v>
      </c>
      <c r="BE77">
        <f t="shared" si="93"/>
        <v>0</v>
      </c>
      <c r="BF77">
        <f t="shared" si="94"/>
        <v>0</v>
      </c>
      <c r="BG77">
        <f t="shared" si="95"/>
        <v>0</v>
      </c>
      <c r="BH77">
        <f t="shared" si="96"/>
        <v>1</v>
      </c>
      <c r="BI77">
        <f t="shared" si="97"/>
        <v>0</v>
      </c>
      <c r="BJ77">
        <f t="shared" si="98"/>
        <v>0</v>
      </c>
      <c r="BK77">
        <f t="shared" si="99"/>
        <v>1</v>
      </c>
      <c r="BL77">
        <f t="shared" si="127"/>
        <v>0</v>
      </c>
      <c r="BM77">
        <f t="shared" si="100"/>
        <v>0</v>
      </c>
      <c r="BN77">
        <f t="shared" si="101"/>
        <v>0</v>
      </c>
      <c r="BO77">
        <f t="shared" si="102"/>
        <v>0</v>
      </c>
      <c r="BP77">
        <f t="shared" si="103"/>
        <v>1</v>
      </c>
      <c r="BQ77">
        <f t="shared" si="104"/>
        <v>0</v>
      </c>
      <c r="BR77">
        <f t="shared" si="105"/>
        <v>1</v>
      </c>
      <c r="BS77">
        <f t="shared" si="106"/>
        <v>0</v>
      </c>
      <c r="BT77">
        <f t="shared" si="107"/>
        <v>0</v>
      </c>
      <c r="BU77">
        <f t="shared" si="108"/>
        <v>0</v>
      </c>
      <c r="BV77">
        <f t="shared" si="109"/>
        <v>0</v>
      </c>
      <c r="BW77">
        <f t="shared" si="110"/>
        <v>1</v>
      </c>
      <c r="BX77">
        <f t="shared" si="111"/>
        <v>1</v>
      </c>
      <c r="BY77">
        <f t="shared" si="112"/>
        <v>0</v>
      </c>
      <c r="BZ77">
        <f t="shared" si="113"/>
        <v>0</v>
      </c>
      <c r="CA77">
        <f t="shared" si="114"/>
        <v>0</v>
      </c>
      <c r="CB77">
        <f t="shared" si="115"/>
        <v>0</v>
      </c>
      <c r="CC77">
        <f t="shared" si="116"/>
        <v>0</v>
      </c>
      <c r="CD77">
        <f t="shared" si="117"/>
        <v>0</v>
      </c>
      <c r="CE77">
        <f t="shared" si="118"/>
        <v>0</v>
      </c>
      <c r="CF77">
        <f t="shared" si="119"/>
        <v>0</v>
      </c>
      <c r="CG77">
        <f t="shared" si="120"/>
        <v>0</v>
      </c>
      <c r="CH77">
        <f t="shared" si="131"/>
        <v>0</v>
      </c>
      <c r="CI77">
        <f t="shared" si="132"/>
        <v>1</v>
      </c>
      <c r="CJ77">
        <f t="shared" si="133"/>
        <v>3</v>
      </c>
      <c r="CK77">
        <f t="shared" si="134"/>
        <v>2</v>
      </c>
      <c r="CL77">
        <f t="shared" si="135"/>
        <v>6</v>
      </c>
    </row>
    <row r="78" spans="1:90">
      <c r="A78">
        <v>21</v>
      </c>
      <c r="B78">
        <v>1</v>
      </c>
      <c r="C78">
        <v>1</v>
      </c>
      <c r="D78">
        <v>1</v>
      </c>
      <c r="E78">
        <v>0</v>
      </c>
      <c r="F78" s="1">
        <v>19</v>
      </c>
      <c r="G78">
        <v>6</v>
      </c>
      <c r="H78">
        <v>3</v>
      </c>
      <c r="I78">
        <v>1.4207069999999999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2.3422500000000004</v>
      </c>
      <c r="R78">
        <v>0</v>
      </c>
      <c r="S78">
        <v>0</v>
      </c>
      <c r="T78">
        <v>0</v>
      </c>
      <c r="U78">
        <v>0</v>
      </c>
      <c r="V78">
        <v>4.6074000000000004E-2</v>
      </c>
      <c r="W78">
        <v>0</v>
      </c>
      <c r="X78">
        <v>0</v>
      </c>
      <c r="Y78">
        <v>0</v>
      </c>
      <c r="Z78">
        <v>2.5259000000000002E-3</v>
      </c>
      <c r="AA78">
        <v>0.122001</v>
      </c>
      <c r="AB78">
        <v>0</v>
      </c>
      <c r="AC78">
        <v>0</v>
      </c>
      <c r="AD78">
        <v>0</v>
      </c>
      <c r="AE78">
        <v>0</v>
      </c>
      <c r="AF78">
        <v>0</v>
      </c>
      <c r="AG78" s="2">
        <v>0</v>
      </c>
      <c r="AH78" s="2">
        <v>0</v>
      </c>
      <c r="AI78" s="2">
        <v>0</v>
      </c>
      <c r="AJ78" s="2">
        <v>0.52449999999999997</v>
      </c>
      <c r="AK78" s="2">
        <v>0</v>
      </c>
      <c r="AL78" s="2">
        <v>0</v>
      </c>
      <c r="AM78" s="2">
        <v>0</v>
      </c>
      <c r="AN78">
        <v>1</v>
      </c>
      <c r="AO78">
        <v>1</v>
      </c>
      <c r="AP78">
        <v>2</v>
      </c>
      <c r="AQ78">
        <v>2</v>
      </c>
      <c r="AR78">
        <v>6</v>
      </c>
      <c r="AS78">
        <f t="shared" si="121"/>
        <v>1.4207069999999999</v>
      </c>
      <c r="AT78">
        <f t="shared" si="128"/>
        <v>2.3883240000000003</v>
      </c>
      <c r="AU78">
        <f t="shared" si="129"/>
        <v>0.1245269</v>
      </c>
      <c r="AV78">
        <f t="shared" si="122"/>
        <v>4.4580579</v>
      </c>
      <c r="AW78">
        <f t="shared" si="123"/>
        <v>0.392298842319934</v>
      </c>
      <c r="AX78">
        <f t="shared" si="136"/>
        <v>2.5490771119443263</v>
      </c>
      <c r="AY78">
        <f t="shared" si="130"/>
        <v>5</v>
      </c>
      <c r="AZ78">
        <f t="shared" si="124"/>
        <v>3.9335579000000003</v>
      </c>
      <c r="BA78">
        <f t="shared" si="125"/>
        <v>0.48611234446723667</v>
      </c>
      <c r="BB78">
        <f t="shared" si="137"/>
        <v>2.0571376377943404</v>
      </c>
      <c r="BC78">
        <f t="shared" si="126"/>
        <v>1</v>
      </c>
      <c r="BD78">
        <f t="shared" si="92"/>
        <v>0</v>
      </c>
      <c r="BE78">
        <f t="shared" si="93"/>
        <v>0</v>
      </c>
      <c r="BF78">
        <f t="shared" si="94"/>
        <v>0</v>
      </c>
      <c r="BG78">
        <f t="shared" si="95"/>
        <v>0</v>
      </c>
      <c r="BH78">
        <f t="shared" si="96"/>
        <v>0</v>
      </c>
      <c r="BI78">
        <f t="shared" si="97"/>
        <v>0</v>
      </c>
      <c r="BJ78">
        <f t="shared" si="98"/>
        <v>0</v>
      </c>
      <c r="BK78">
        <f t="shared" si="99"/>
        <v>1</v>
      </c>
      <c r="BL78">
        <f t="shared" si="127"/>
        <v>0</v>
      </c>
      <c r="BM78">
        <f t="shared" si="100"/>
        <v>0</v>
      </c>
      <c r="BN78">
        <f t="shared" si="101"/>
        <v>0</v>
      </c>
      <c r="BO78">
        <f t="shared" si="102"/>
        <v>0</v>
      </c>
      <c r="BP78">
        <f t="shared" si="103"/>
        <v>1</v>
      </c>
      <c r="BQ78">
        <f t="shared" si="104"/>
        <v>0</v>
      </c>
      <c r="BR78">
        <f t="shared" si="105"/>
        <v>0</v>
      </c>
      <c r="BS78">
        <f t="shared" si="106"/>
        <v>0</v>
      </c>
      <c r="BT78">
        <f t="shared" si="107"/>
        <v>1</v>
      </c>
      <c r="BU78">
        <f t="shared" si="108"/>
        <v>1</v>
      </c>
      <c r="BV78">
        <f t="shared" si="109"/>
        <v>0</v>
      </c>
      <c r="BW78">
        <f t="shared" si="110"/>
        <v>0</v>
      </c>
      <c r="BX78">
        <f t="shared" si="111"/>
        <v>0</v>
      </c>
      <c r="BY78">
        <f t="shared" si="112"/>
        <v>0</v>
      </c>
      <c r="BZ78">
        <f t="shared" si="113"/>
        <v>0</v>
      </c>
      <c r="CA78">
        <f t="shared" si="114"/>
        <v>0</v>
      </c>
      <c r="CB78">
        <f t="shared" si="115"/>
        <v>0</v>
      </c>
      <c r="CC78">
        <f t="shared" si="116"/>
        <v>0</v>
      </c>
      <c r="CD78">
        <f t="shared" si="117"/>
        <v>1</v>
      </c>
      <c r="CE78">
        <f t="shared" si="118"/>
        <v>0</v>
      </c>
      <c r="CF78">
        <f t="shared" si="119"/>
        <v>0</v>
      </c>
      <c r="CG78">
        <f t="shared" si="120"/>
        <v>0</v>
      </c>
      <c r="CH78">
        <f t="shared" si="131"/>
        <v>1</v>
      </c>
      <c r="CI78">
        <f t="shared" si="132"/>
        <v>1</v>
      </c>
      <c r="CJ78">
        <f t="shared" si="133"/>
        <v>2</v>
      </c>
      <c r="CK78">
        <f t="shared" si="134"/>
        <v>2</v>
      </c>
      <c r="CL78">
        <f t="shared" si="135"/>
        <v>6</v>
      </c>
    </row>
    <row r="79" spans="1:90">
      <c r="A79">
        <v>54</v>
      </c>
      <c r="B79">
        <v>1</v>
      </c>
      <c r="C79">
        <v>1</v>
      </c>
      <c r="D79">
        <v>1</v>
      </c>
      <c r="E79">
        <v>1</v>
      </c>
      <c r="F79" s="1">
        <v>19</v>
      </c>
      <c r="G79">
        <v>6</v>
      </c>
      <c r="H79">
        <v>3</v>
      </c>
      <c r="I79">
        <v>1.5164849999999999</v>
      </c>
      <c r="J79">
        <v>0</v>
      </c>
      <c r="K79">
        <v>0</v>
      </c>
      <c r="L79">
        <v>3.1863599999999999E-2</v>
      </c>
      <c r="M79">
        <v>0</v>
      </c>
      <c r="N79">
        <v>0</v>
      </c>
      <c r="O79">
        <v>0</v>
      </c>
      <c r="P79">
        <v>0</v>
      </c>
      <c r="Q79">
        <v>1.4175</v>
      </c>
      <c r="R79">
        <v>0</v>
      </c>
      <c r="S79">
        <v>0</v>
      </c>
      <c r="T79">
        <v>0</v>
      </c>
      <c r="U79">
        <v>0</v>
      </c>
      <c r="V79">
        <v>5.7044000000000004E-2</v>
      </c>
      <c r="W79">
        <v>0</v>
      </c>
      <c r="X79">
        <v>0</v>
      </c>
      <c r="Y79">
        <v>0</v>
      </c>
      <c r="Z79">
        <v>3.8860000000000001E-4</v>
      </c>
      <c r="AA79">
        <v>4.0667000000000002E-2</v>
      </c>
      <c r="AB79">
        <v>0</v>
      </c>
      <c r="AC79">
        <v>0</v>
      </c>
      <c r="AD79" s="1">
        <v>4.62E-3</v>
      </c>
      <c r="AE79">
        <v>0</v>
      </c>
      <c r="AF79">
        <v>0</v>
      </c>
      <c r="AG79" s="2">
        <v>0</v>
      </c>
      <c r="AH79" s="2">
        <v>0</v>
      </c>
      <c r="AI79" s="2">
        <v>0</v>
      </c>
      <c r="AJ79" s="2">
        <v>5.2449999999999997E-2</v>
      </c>
      <c r="AK79" s="2">
        <v>0</v>
      </c>
      <c r="AL79" s="2">
        <v>0</v>
      </c>
      <c r="AM79" s="2">
        <v>0</v>
      </c>
      <c r="AN79">
        <v>1</v>
      </c>
      <c r="AO79">
        <v>2</v>
      </c>
      <c r="AP79">
        <v>2</v>
      </c>
      <c r="AQ79">
        <v>3</v>
      </c>
      <c r="AR79">
        <v>8</v>
      </c>
      <c r="AS79">
        <f t="shared" si="121"/>
        <v>1.5483486</v>
      </c>
      <c r="AT79">
        <f t="shared" si="128"/>
        <v>1.4745440000000001</v>
      </c>
      <c r="AU79">
        <f t="shared" si="129"/>
        <v>4.5675600000000004E-2</v>
      </c>
      <c r="AV79">
        <f t="shared" si="122"/>
        <v>3.1210182</v>
      </c>
      <c r="AW79">
        <f t="shared" si="123"/>
        <v>0.44326428394651568</v>
      </c>
      <c r="AX79">
        <f t="shared" si="136"/>
        <v>2.2559904693802491</v>
      </c>
      <c r="AY79">
        <f t="shared" si="130"/>
        <v>7</v>
      </c>
      <c r="AZ79">
        <f t="shared" si="124"/>
        <v>3.0685682000000001</v>
      </c>
      <c r="BA79">
        <f t="shared" si="125"/>
        <v>0.4582547619722091</v>
      </c>
      <c r="BB79">
        <f t="shared" si="137"/>
        <v>2.1821922716007589</v>
      </c>
      <c r="BC79">
        <f t="shared" si="126"/>
        <v>1</v>
      </c>
      <c r="BD79">
        <f t="shared" si="92"/>
        <v>0</v>
      </c>
      <c r="BE79">
        <f t="shared" si="93"/>
        <v>0</v>
      </c>
      <c r="BF79">
        <f t="shared" si="94"/>
        <v>1</v>
      </c>
      <c r="BG79">
        <f t="shared" si="95"/>
        <v>0</v>
      </c>
      <c r="BH79">
        <f t="shared" si="96"/>
        <v>0</v>
      </c>
      <c r="BI79">
        <f t="shared" si="97"/>
        <v>0</v>
      </c>
      <c r="BJ79">
        <f t="shared" si="98"/>
        <v>0</v>
      </c>
      <c r="BK79">
        <f t="shared" si="99"/>
        <v>1</v>
      </c>
      <c r="BL79">
        <f t="shared" si="127"/>
        <v>0</v>
      </c>
      <c r="BM79">
        <f t="shared" si="100"/>
        <v>0</v>
      </c>
      <c r="BN79">
        <f t="shared" si="101"/>
        <v>0</v>
      </c>
      <c r="BO79">
        <f t="shared" si="102"/>
        <v>0</v>
      </c>
      <c r="BP79">
        <f t="shared" si="103"/>
        <v>1</v>
      </c>
      <c r="BQ79">
        <f t="shared" si="104"/>
        <v>0</v>
      </c>
      <c r="BR79">
        <f t="shared" si="105"/>
        <v>0</v>
      </c>
      <c r="BS79">
        <f t="shared" si="106"/>
        <v>0</v>
      </c>
      <c r="BT79">
        <f t="shared" si="107"/>
        <v>1</v>
      </c>
      <c r="BU79">
        <f t="shared" si="108"/>
        <v>1</v>
      </c>
      <c r="BV79">
        <f t="shared" si="109"/>
        <v>0</v>
      </c>
      <c r="BW79">
        <f t="shared" si="110"/>
        <v>0</v>
      </c>
      <c r="BX79">
        <f t="shared" si="111"/>
        <v>1</v>
      </c>
      <c r="BY79">
        <f t="shared" si="112"/>
        <v>0</v>
      </c>
      <c r="BZ79">
        <f t="shared" si="113"/>
        <v>0</v>
      </c>
      <c r="CA79">
        <f t="shared" si="114"/>
        <v>0</v>
      </c>
      <c r="CB79">
        <f t="shared" si="115"/>
        <v>0</v>
      </c>
      <c r="CC79">
        <f t="shared" si="116"/>
        <v>0</v>
      </c>
      <c r="CD79">
        <f t="shared" si="117"/>
        <v>1</v>
      </c>
      <c r="CE79">
        <f t="shared" si="118"/>
        <v>0</v>
      </c>
      <c r="CF79">
        <f t="shared" si="119"/>
        <v>0</v>
      </c>
      <c r="CG79">
        <f t="shared" si="120"/>
        <v>0</v>
      </c>
      <c r="CH79">
        <f t="shared" si="131"/>
        <v>1</v>
      </c>
      <c r="CI79">
        <f t="shared" si="132"/>
        <v>2</v>
      </c>
      <c r="CJ79">
        <f t="shared" si="133"/>
        <v>2</v>
      </c>
      <c r="CK79">
        <f t="shared" si="134"/>
        <v>3</v>
      </c>
      <c r="CL79">
        <f t="shared" si="135"/>
        <v>8</v>
      </c>
    </row>
    <row r="80" spans="1:90">
      <c r="A80">
        <v>97</v>
      </c>
      <c r="B80">
        <v>1</v>
      </c>
      <c r="C80">
        <v>1</v>
      </c>
      <c r="D80">
        <v>1</v>
      </c>
      <c r="E80">
        <v>1</v>
      </c>
      <c r="F80" s="1">
        <v>19</v>
      </c>
      <c r="G80">
        <v>6</v>
      </c>
      <c r="H80">
        <v>3</v>
      </c>
      <c r="I80">
        <v>3.4719525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1.107</v>
      </c>
      <c r="R80">
        <v>0</v>
      </c>
      <c r="S80">
        <v>0</v>
      </c>
      <c r="T80">
        <v>0</v>
      </c>
      <c r="U80" s="4">
        <v>0.14400000000000002</v>
      </c>
      <c r="V80">
        <v>0</v>
      </c>
      <c r="W80" s="1">
        <v>5.4948480000000002</v>
      </c>
      <c r="X80" s="1">
        <v>0.100553</v>
      </c>
      <c r="Y80">
        <v>0</v>
      </c>
      <c r="Z80">
        <v>0</v>
      </c>
      <c r="AA80">
        <v>0.20333500000000002</v>
      </c>
      <c r="AB80">
        <v>0</v>
      </c>
      <c r="AC80">
        <v>0</v>
      </c>
      <c r="AD80" s="1">
        <v>7.6999999999999996E-4</v>
      </c>
      <c r="AE80">
        <v>0</v>
      </c>
      <c r="AF80">
        <v>0</v>
      </c>
      <c r="AG80" s="2">
        <v>0</v>
      </c>
      <c r="AH80" s="2">
        <v>0</v>
      </c>
      <c r="AI80" s="2">
        <v>0</v>
      </c>
      <c r="AJ80" s="2">
        <v>7.8674999999999995E-2</v>
      </c>
      <c r="AK80" s="2">
        <v>0</v>
      </c>
      <c r="AL80" s="2">
        <v>0</v>
      </c>
      <c r="AM80" s="2">
        <v>0</v>
      </c>
      <c r="AN80">
        <v>1</v>
      </c>
      <c r="AO80">
        <v>1</v>
      </c>
      <c r="AP80">
        <v>4</v>
      </c>
      <c r="AQ80">
        <v>2</v>
      </c>
      <c r="AR80">
        <v>8</v>
      </c>
      <c r="AS80">
        <f t="shared" si="121"/>
        <v>3.4719525</v>
      </c>
      <c r="AT80">
        <f t="shared" si="128"/>
        <v>6.8464010000000002</v>
      </c>
      <c r="AU80">
        <f t="shared" si="129"/>
        <v>0.20410500000000001</v>
      </c>
      <c r="AV80">
        <f t="shared" si="122"/>
        <v>10.601133499999998</v>
      </c>
      <c r="AW80">
        <f t="shared" si="123"/>
        <v>0.38752516266335429</v>
      </c>
      <c r="AX80">
        <f t="shared" si="136"/>
        <v>2.5804775956412067</v>
      </c>
      <c r="AY80">
        <f t="shared" si="130"/>
        <v>7</v>
      </c>
      <c r="AZ80">
        <f t="shared" si="124"/>
        <v>10.522458499999997</v>
      </c>
      <c r="BA80">
        <f t="shared" si="125"/>
        <v>0.39328586969895202</v>
      </c>
      <c r="BB80">
        <f t="shared" si="137"/>
        <v>2.5426797071694152</v>
      </c>
      <c r="BC80">
        <f t="shared" si="126"/>
        <v>1</v>
      </c>
      <c r="BD80">
        <f t="shared" si="92"/>
        <v>0</v>
      </c>
      <c r="BE80">
        <f t="shared" si="93"/>
        <v>0</v>
      </c>
      <c r="BF80">
        <f t="shared" si="94"/>
        <v>0</v>
      </c>
      <c r="BG80">
        <f t="shared" si="95"/>
        <v>0</v>
      </c>
      <c r="BH80">
        <f t="shared" si="96"/>
        <v>0</v>
      </c>
      <c r="BI80">
        <f t="shared" si="97"/>
        <v>0</v>
      </c>
      <c r="BJ80">
        <f t="shared" si="98"/>
        <v>0</v>
      </c>
      <c r="BK80">
        <f t="shared" si="99"/>
        <v>1</v>
      </c>
      <c r="BL80">
        <f t="shared" si="127"/>
        <v>0</v>
      </c>
      <c r="BM80">
        <f t="shared" si="100"/>
        <v>0</v>
      </c>
      <c r="BN80">
        <f t="shared" si="101"/>
        <v>0</v>
      </c>
      <c r="BO80">
        <f t="shared" si="102"/>
        <v>1</v>
      </c>
      <c r="BP80">
        <f t="shared" si="103"/>
        <v>0</v>
      </c>
      <c r="BQ80">
        <f t="shared" si="104"/>
        <v>1</v>
      </c>
      <c r="BR80">
        <f t="shared" si="105"/>
        <v>1</v>
      </c>
      <c r="BS80">
        <f t="shared" si="106"/>
        <v>0</v>
      </c>
      <c r="BT80">
        <f t="shared" si="107"/>
        <v>0</v>
      </c>
      <c r="BU80">
        <f t="shared" si="108"/>
        <v>1</v>
      </c>
      <c r="BV80">
        <f t="shared" si="109"/>
        <v>0</v>
      </c>
      <c r="BW80">
        <f t="shared" si="110"/>
        <v>0</v>
      </c>
      <c r="BX80">
        <f t="shared" si="111"/>
        <v>1</v>
      </c>
      <c r="BY80">
        <f t="shared" si="112"/>
        <v>0</v>
      </c>
      <c r="BZ80">
        <f t="shared" si="113"/>
        <v>0</v>
      </c>
      <c r="CA80">
        <f t="shared" si="114"/>
        <v>0</v>
      </c>
      <c r="CB80">
        <f t="shared" si="115"/>
        <v>0</v>
      </c>
      <c r="CC80">
        <f t="shared" si="116"/>
        <v>0</v>
      </c>
      <c r="CD80">
        <f t="shared" si="117"/>
        <v>1</v>
      </c>
      <c r="CE80">
        <f t="shared" si="118"/>
        <v>0</v>
      </c>
      <c r="CF80">
        <f t="shared" si="119"/>
        <v>0</v>
      </c>
      <c r="CG80">
        <f t="shared" si="120"/>
        <v>0</v>
      </c>
      <c r="CH80">
        <f t="shared" si="131"/>
        <v>1</v>
      </c>
      <c r="CI80">
        <f t="shared" si="132"/>
        <v>1</v>
      </c>
      <c r="CJ80">
        <f t="shared" si="133"/>
        <v>4</v>
      </c>
      <c r="CK80">
        <f t="shared" si="134"/>
        <v>2</v>
      </c>
      <c r="CL80">
        <f t="shared" si="135"/>
        <v>8</v>
      </c>
    </row>
    <row r="81" spans="1:90">
      <c r="A81">
        <v>106</v>
      </c>
      <c r="B81">
        <v>1</v>
      </c>
      <c r="C81">
        <v>1</v>
      </c>
      <c r="D81">
        <v>1</v>
      </c>
      <c r="E81">
        <v>0</v>
      </c>
      <c r="F81" s="1">
        <v>19</v>
      </c>
      <c r="G81">
        <v>6</v>
      </c>
      <c r="H81">
        <v>3</v>
      </c>
      <c r="I81">
        <v>1.053558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1.1744999999999999</v>
      </c>
      <c r="R81">
        <v>0</v>
      </c>
      <c r="S81">
        <v>0</v>
      </c>
      <c r="T81">
        <v>0</v>
      </c>
      <c r="U81">
        <v>0</v>
      </c>
      <c r="V81">
        <v>3.5104000000000003E-2</v>
      </c>
      <c r="W81">
        <v>0</v>
      </c>
      <c r="X81" s="1">
        <v>0.58466499999999999</v>
      </c>
      <c r="Y81">
        <v>0</v>
      </c>
      <c r="Z81">
        <v>2.9145E-3</v>
      </c>
      <c r="AA81">
        <v>0.16266800000000001</v>
      </c>
      <c r="AB81">
        <v>0</v>
      </c>
      <c r="AC81">
        <v>0</v>
      </c>
      <c r="AD81" s="1">
        <v>4.62E-3</v>
      </c>
      <c r="AE81">
        <v>0</v>
      </c>
      <c r="AF81">
        <v>0</v>
      </c>
      <c r="AG81" s="2">
        <v>0</v>
      </c>
      <c r="AH81" s="2">
        <v>0</v>
      </c>
      <c r="AI81" s="2">
        <v>0</v>
      </c>
      <c r="AJ81" s="2">
        <v>0.20979999999999999</v>
      </c>
      <c r="AK81" s="2">
        <v>0</v>
      </c>
      <c r="AL81" s="2">
        <v>0</v>
      </c>
      <c r="AM81" s="2">
        <v>0</v>
      </c>
      <c r="AN81">
        <v>1</v>
      </c>
      <c r="AO81">
        <v>1</v>
      </c>
      <c r="AP81">
        <v>3</v>
      </c>
      <c r="AQ81">
        <v>3</v>
      </c>
      <c r="AR81">
        <v>8</v>
      </c>
      <c r="AS81">
        <f t="shared" si="121"/>
        <v>1.053558</v>
      </c>
      <c r="AT81">
        <f t="shared" si="128"/>
        <v>1.7942689999999999</v>
      </c>
      <c r="AU81">
        <f t="shared" si="129"/>
        <v>0.17020250000000001</v>
      </c>
      <c r="AV81">
        <f t="shared" si="122"/>
        <v>3.2278294999999999</v>
      </c>
      <c r="AW81">
        <f t="shared" si="123"/>
        <v>0.27862937332387955</v>
      </c>
      <c r="AX81">
        <f t="shared" si="136"/>
        <v>3.5889970539380185</v>
      </c>
      <c r="AY81">
        <f t="shared" si="130"/>
        <v>7</v>
      </c>
      <c r="AZ81">
        <f t="shared" si="124"/>
        <v>3.0180294999999999</v>
      </c>
      <c r="BA81">
        <f t="shared" si="125"/>
        <v>0.31388156467500777</v>
      </c>
      <c r="BB81">
        <f t="shared" si="137"/>
        <v>3.1859150474013904</v>
      </c>
      <c r="BC81">
        <f t="shared" si="126"/>
        <v>1</v>
      </c>
      <c r="BD81">
        <f t="shared" si="92"/>
        <v>0</v>
      </c>
      <c r="BE81">
        <f t="shared" si="93"/>
        <v>0</v>
      </c>
      <c r="BF81">
        <f t="shared" si="94"/>
        <v>0</v>
      </c>
      <c r="BG81">
        <f t="shared" si="95"/>
        <v>0</v>
      </c>
      <c r="BH81">
        <f t="shared" si="96"/>
        <v>0</v>
      </c>
      <c r="BI81">
        <f t="shared" si="97"/>
        <v>0</v>
      </c>
      <c r="BJ81">
        <f t="shared" si="98"/>
        <v>0</v>
      </c>
      <c r="BK81">
        <f t="shared" si="99"/>
        <v>1</v>
      </c>
      <c r="BL81">
        <f t="shared" si="127"/>
        <v>0</v>
      </c>
      <c r="BM81">
        <f t="shared" si="100"/>
        <v>0</v>
      </c>
      <c r="BN81">
        <f t="shared" si="101"/>
        <v>0</v>
      </c>
      <c r="BO81">
        <f t="shared" si="102"/>
        <v>0</v>
      </c>
      <c r="BP81">
        <f t="shared" si="103"/>
        <v>1</v>
      </c>
      <c r="BQ81">
        <f t="shared" si="104"/>
        <v>0</v>
      </c>
      <c r="BR81">
        <f t="shared" si="105"/>
        <v>1</v>
      </c>
      <c r="BS81">
        <f t="shared" si="106"/>
        <v>0</v>
      </c>
      <c r="BT81">
        <f t="shared" si="107"/>
        <v>1</v>
      </c>
      <c r="BU81">
        <f t="shared" si="108"/>
        <v>1</v>
      </c>
      <c r="BV81">
        <f t="shared" si="109"/>
        <v>0</v>
      </c>
      <c r="BW81">
        <f t="shared" si="110"/>
        <v>0</v>
      </c>
      <c r="BX81">
        <f t="shared" si="111"/>
        <v>1</v>
      </c>
      <c r="BY81">
        <f t="shared" si="112"/>
        <v>0</v>
      </c>
      <c r="BZ81">
        <f t="shared" si="113"/>
        <v>0</v>
      </c>
      <c r="CA81">
        <f t="shared" si="114"/>
        <v>0</v>
      </c>
      <c r="CB81">
        <f t="shared" si="115"/>
        <v>0</v>
      </c>
      <c r="CC81">
        <f t="shared" si="116"/>
        <v>0</v>
      </c>
      <c r="CD81">
        <f t="shared" si="117"/>
        <v>1</v>
      </c>
      <c r="CE81">
        <f t="shared" si="118"/>
        <v>0</v>
      </c>
      <c r="CF81">
        <f t="shared" si="119"/>
        <v>0</v>
      </c>
      <c r="CG81">
        <f t="shared" si="120"/>
        <v>0</v>
      </c>
      <c r="CH81">
        <f t="shared" si="131"/>
        <v>1</v>
      </c>
      <c r="CI81">
        <f t="shared" si="132"/>
        <v>1</v>
      </c>
      <c r="CJ81">
        <f t="shared" si="133"/>
        <v>3</v>
      </c>
      <c r="CK81">
        <f t="shared" si="134"/>
        <v>3</v>
      </c>
      <c r="CL81">
        <f t="shared" si="135"/>
        <v>8</v>
      </c>
    </row>
    <row r="82" spans="1:90">
      <c r="A82">
        <v>11</v>
      </c>
      <c r="B82">
        <v>1</v>
      </c>
      <c r="C82">
        <v>1</v>
      </c>
      <c r="D82">
        <v>1</v>
      </c>
      <c r="E82">
        <v>0</v>
      </c>
      <c r="F82" s="1">
        <v>20</v>
      </c>
      <c r="G82">
        <v>18</v>
      </c>
      <c r="H82">
        <v>3</v>
      </c>
      <c r="I82">
        <v>0.62255699999999992</v>
      </c>
      <c r="J82">
        <v>0.41498249999999998</v>
      </c>
      <c r="K82">
        <v>0</v>
      </c>
      <c r="L82">
        <v>0.19118160000000001</v>
      </c>
      <c r="M82">
        <v>0</v>
      </c>
      <c r="N82">
        <v>0.77579919999999991</v>
      </c>
      <c r="O82">
        <v>0</v>
      </c>
      <c r="P82">
        <v>0</v>
      </c>
      <c r="Q82">
        <v>0</v>
      </c>
      <c r="R82">
        <v>0</v>
      </c>
      <c r="S82">
        <v>0</v>
      </c>
      <c r="T82">
        <v>0.81671333333333329</v>
      </c>
      <c r="U82">
        <v>0</v>
      </c>
      <c r="V82">
        <v>3.2910000000000002E-2</v>
      </c>
      <c r="W82">
        <v>0</v>
      </c>
      <c r="X82">
        <v>3.3210000000000003E-2</v>
      </c>
      <c r="Y82" s="1">
        <v>0</v>
      </c>
      <c r="Z82" s="1">
        <v>0</v>
      </c>
      <c r="AA82" s="1">
        <v>0</v>
      </c>
      <c r="AB82">
        <v>0</v>
      </c>
      <c r="AC82">
        <v>0</v>
      </c>
      <c r="AD82">
        <v>6.1599999999999995E-2</v>
      </c>
      <c r="AE82" s="4">
        <v>4.4999999999999998E-2</v>
      </c>
      <c r="AF82">
        <v>0.192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>
        <v>0</v>
      </c>
      <c r="AO82">
        <v>4</v>
      </c>
      <c r="AP82">
        <v>3</v>
      </c>
      <c r="AQ82">
        <v>3</v>
      </c>
      <c r="AR82">
        <v>10</v>
      </c>
      <c r="AS82">
        <f t="shared" si="121"/>
        <v>2.0045202999999998</v>
      </c>
      <c r="AT82">
        <f t="shared" si="128"/>
        <v>0.88283333333333325</v>
      </c>
      <c r="AU82">
        <f t="shared" si="129"/>
        <v>0.29859999999999998</v>
      </c>
      <c r="AV82">
        <f t="shared" si="122"/>
        <v>3.1859536333333334</v>
      </c>
      <c r="AW82">
        <f t="shared" si="123"/>
        <v>0.18818090039641638</v>
      </c>
      <c r="AX82">
        <f t="shared" si="136"/>
        <v>5.3140355790275695</v>
      </c>
      <c r="AY82">
        <f t="shared" si="130"/>
        <v>10</v>
      </c>
      <c r="AZ82">
        <f t="shared" si="124"/>
        <v>3.1859536333333334</v>
      </c>
      <c r="BA82">
        <f t="shared" si="125"/>
        <v>0.18818090039641638</v>
      </c>
      <c r="BB82">
        <f t="shared" si="137"/>
        <v>5.3140355790275695</v>
      </c>
      <c r="BC82">
        <f t="shared" si="126"/>
        <v>1</v>
      </c>
      <c r="BD82">
        <f t="shared" si="92"/>
        <v>1</v>
      </c>
      <c r="BE82">
        <f t="shared" si="93"/>
        <v>0</v>
      </c>
      <c r="BF82">
        <f t="shared" si="94"/>
        <v>1</v>
      </c>
      <c r="BG82">
        <f t="shared" si="95"/>
        <v>0</v>
      </c>
      <c r="BH82">
        <f t="shared" si="96"/>
        <v>1</v>
      </c>
      <c r="BI82">
        <f t="shared" si="97"/>
        <v>0</v>
      </c>
      <c r="BJ82">
        <f t="shared" si="98"/>
        <v>0</v>
      </c>
      <c r="BK82">
        <f t="shared" si="99"/>
        <v>0</v>
      </c>
      <c r="BL82">
        <f t="shared" si="127"/>
        <v>0</v>
      </c>
      <c r="BM82">
        <f t="shared" si="100"/>
        <v>0</v>
      </c>
      <c r="BN82">
        <f t="shared" si="101"/>
        <v>1</v>
      </c>
      <c r="BO82">
        <f t="shared" si="102"/>
        <v>0</v>
      </c>
      <c r="BP82">
        <f t="shared" si="103"/>
        <v>1</v>
      </c>
      <c r="BQ82">
        <f t="shared" si="104"/>
        <v>0</v>
      </c>
      <c r="BR82">
        <f t="shared" si="105"/>
        <v>1</v>
      </c>
      <c r="BS82">
        <f t="shared" si="106"/>
        <v>0</v>
      </c>
      <c r="BT82">
        <f t="shared" si="107"/>
        <v>0</v>
      </c>
      <c r="BU82">
        <f t="shared" si="108"/>
        <v>0</v>
      </c>
      <c r="BV82">
        <f t="shared" si="109"/>
        <v>0</v>
      </c>
      <c r="BW82">
        <f t="shared" si="110"/>
        <v>0</v>
      </c>
      <c r="BX82">
        <f t="shared" si="111"/>
        <v>1</v>
      </c>
      <c r="BY82">
        <f t="shared" si="112"/>
        <v>1</v>
      </c>
      <c r="BZ82">
        <f t="shared" si="113"/>
        <v>1</v>
      </c>
      <c r="CA82">
        <f t="shared" si="114"/>
        <v>0</v>
      </c>
      <c r="CB82">
        <f t="shared" si="115"/>
        <v>0</v>
      </c>
      <c r="CC82">
        <f t="shared" si="116"/>
        <v>0</v>
      </c>
      <c r="CD82">
        <f t="shared" si="117"/>
        <v>0</v>
      </c>
      <c r="CE82">
        <f t="shared" si="118"/>
        <v>0</v>
      </c>
      <c r="CF82">
        <f t="shared" si="119"/>
        <v>0</v>
      </c>
      <c r="CG82">
        <f t="shared" si="120"/>
        <v>0</v>
      </c>
      <c r="CH82">
        <f t="shared" si="131"/>
        <v>0</v>
      </c>
      <c r="CI82">
        <f t="shared" si="132"/>
        <v>4</v>
      </c>
      <c r="CJ82">
        <f t="shared" si="133"/>
        <v>3</v>
      </c>
      <c r="CK82">
        <f t="shared" si="134"/>
        <v>3</v>
      </c>
      <c r="CL82">
        <f t="shared" si="135"/>
        <v>10</v>
      </c>
    </row>
    <row r="83" spans="1:90">
      <c r="A83">
        <v>36</v>
      </c>
      <c r="B83">
        <v>1</v>
      </c>
      <c r="C83">
        <v>1</v>
      </c>
      <c r="D83">
        <v>1</v>
      </c>
      <c r="E83">
        <v>1</v>
      </c>
      <c r="F83" s="1">
        <v>20</v>
      </c>
      <c r="G83">
        <v>18</v>
      </c>
      <c r="H83">
        <v>3</v>
      </c>
      <c r="I83">
        <v>8.77965E-2</v>
      </c>
      <c r="J83">
        <v>0.497979</v>
      </c>
      <c r="K83">
        <v>0</v>
      </c>
      <c r="L83">
        <v>0</v>
      </c>
      <c r="M83">
        <v>0</v>
      </c>
      <c r="N83">
        <v>1.0372098000000001</v>
      </c>
      <c r="O83">
        <v>0</v>
      </c>
      <c r="P83">
        <v>0</v>
      </c>
      <c r="Q83">
        <v>0</v>
      </c>
      <c r="R83">
        <v>0</v>
      </c>
      <c r="S83">
        <v>0</v>
      </c>
      <c r="T83">
        <v>0.31533333333333335</v>
      </c>
      <c r="U83">
        <v>0</v>
      </c>
      <c r="V83">
        <v>6.3626000000000002E-2</v>
      </c>
      <c r="W83">
        <v>0</v>
      </c>
      <c r="X83">
        <v>2.52E-2</v>
      </c>
      <c r="Y83" s="1">
        <v>0</v>
      </c>
      <c r="Z83" s="1">
        <v>0</v>
      </c>
      <c r="AA83" s="1">
        <v>0</v>
      </c>
      <c r="AB83">
        <v>0</v>
      </c>
      <c r="AC83">
        <v>0</v>
      </c>
      <c r="AD83">
        <v>4.235E-3</v>
      </c>
      <c r="AE83">
        <v>0</v>
      </c>
      <c r="AF83">
        <v>0.39929999999999999</v>
      </c>
      <c r="AG83" s="2">
        <v>0</v>
      </c>
      <c r="AH83" s="2">
        <v>0</v>
      </c>
      <c r="AI83" s="2">
        <v>0</v>
      </c>
      <c r="AJ83" s="2">
        <v>2.6224999999999998E-2</v>
      </c>
      <c r="AK83" s="2">
        <v>0</v>
      </c>
      <c r="AL83" s="2">
        <v>0</v>
      </c>
      <c r="AM83" s="2">
        <v>0</v>
      </c>
      <c r="AN83">
        <v>1</v>
      </c>
      <c r="AO83">
        <v>3</v>
      </c>
      <c r="AP83">
        <v>3</v>
      </c>
      <c r="AQ83">
        <v>2</v>
      </c>
      <c r="AR83">
        <v>9</v>
      </c>
      <c r="AS83">
        <f t="shared" si="121"/>
        <v>1.6229853000000001</v>
      </c>
      <c r="AT83">
        <f t="shared" si="128"/>
        <v>0.40415933333333337</v>
      </c>
      <c r="AU83">
        <f t="shared" si="129"/>
        <v>0.40353499999999998</v>
      </c>
      <c r="AV83">
        <f t="shared" si="122"/>
        <v>2.456904633333334</v>
      </c>
      <c r="AW83">
        <f t="shared" si="123"/>
        <v>0.26435711041482429</v>
      </c>
      <c r="AX83">
        <f t="shared" si="136"/>
        <v>3.7827618800599629</v>
      </c>
      <c r="AY83">
        <f t="shared" si="130"/>
        <v>8</v>
      </c>
      <c r="AZ83">
        <f t="shared" si="124"/>
        <v>2.4306796333333338</v>
      </c>
      <c r="BA83">
        <f t="shared" si="125"/>
        <v>0.26997586131004447</v>
      </c>
      <c r="BB83">
        <f t="shared" si="137"/>
        <v>3.7040348538848979</v>
      </c>
      <c r="BC83">
        <f t="shared" si="126"/>
        <v>1</v>
      </c>
      <c r="BD83">
        <f t="shared" si="92"/>
        <v>1</v>
      </c>
      <c r="BE83">
        <f t="shared" si="93"/>
        <v>0</v>
      </c>
      <c r="BF83">
        <f t="shared" si="94"/>
        <v>0</v>
      </c>
      <c r="BG83">
        <f t="shared" si="95"/>
        <v>0</v>
      </c>
      <c r="BH83">
        <f t="shared" si="96"/>
        <v>1</v>
      </c>
      <c r="BI83">
        <f t="shared" si="97"/>
        <v>0</v>
      </c>
      <c r="BJ83">
        <f t="shared" si="98"/>
        <v>0</v>
      </c>
      <c r="BK83">
        <f t="shared" si="99"/>
        <v>0</v>
      </c>
      <c r="BL83">
        <f t="shared" si="127"/>
        <v>0</v>
      </c>
      <c r="BM83">
        <f t="shared" si="100"/>
        <v>0</v>
      </c>
      <c r="BN83">
        <f t="shared" si="101"/>
        <v>1</v>
      </c>
      <c r="BO83">
        <f t="shared" si="102"/>
        <v>0</v>
      </c>
      <c r="BP83">
        <f t="shared" si="103"/>
        <v>1</v>
      </c>
      <c r="BQ83">
        <f t="shared" si="104"/>
        <v>0</v>
      </c>
      <c r="BR83">
        <f t="shared" si="105"/>
        <v>1</v>
      </c>
      <c r="BS83">
        <f t="shared" si="106"/>
        <v>0</v>
      </c>
      <c r="BT83">
        <f t="shared" si="107"/>
        <v>0</v>
      </c>
      <c r="BU83">
        <f t="shared" si="108"/>
        <v>0</v>
      </c>
      <c r="BV83">
        <f t="shared" si="109"/>
        <v>0</v>
      </c>
      <c r="BW83">
        <f t="shared" si="110"/>
        <v>0</v>
      </c>
      <c r="BX83">
        <f t="shared" si="111"/>
        <v>1</v>
      </c>
      <c r="BY83">
        <f t="shared" si="112"/>
        <v>0</v>
      </c>
      <c r="BZ83">
        <f t="shared" si="113"/>
        <v>1</v>
      </c>
      <c r="CA83">
        <f t="shared" si="114"/>
        <v>0</v>
      </c>
      <c r="CB83">
        <f t="shared" si="115"/>
        <v>0</v>
      </c>
      <c r="CC83">
        <f t="shared" si="116"/>
        <v>0</v>
      </c>
      <c r="CD83">
        <f t="shared" si="117"/>
        <v>1</v>
      </c>
      <c r="CE83">
        <f t="shared" si="118"/>
        <v>0</v>
      </c>
      <c r="CF83">
        <f t="shared" si="119"/>
        <v>0</v>
      </c>
      <c r="CG83">
        <f t="shared" si="120"/>
        <v>0</v>
      </c>
      <c r="CH83">
        <f t="shared" si="131"/>
        <v>1</v>
      </c>
      <c r="CI83">
        <f t="shared" si="132"/>
        <v>3</v>
      </c>
      <c r="CJ83">
        <f t="shared" si="133"/>
        <v>3</v>
      </c>
      <c r="CK83">
        <f t="shared" si="134"/>
        <v>2</v>
      </c>
      <c r="CL83">
        <f t="shared" si="135"/>
        <v>9</v>
      </c>
    </row>
    <row r="84" spans="1:90">
      <c r="A84">
        <v>57</v>
      </c>
      <c r="B84">
        <v>1</v>
      </c>
      <c r="C84">
        <v>1</v>
      </c>
      <c r="D84">
        <v>1</v>
      </c>
      <c r="E84">
        <v>0</v>
      </c>
      <c r="F84" s="1">
        <v>20</v>
      </c>
      <c r="G84">
        <v>18</v>
      </c>
      <c r="H84">
        <v>3</v>
      </c>
      <c r="I84">
        <v>0.48687149999999996</v>
      </c>
      <c r="J84">
        <v>0.71930300000000003</v>
      </c>
      <c r="K84">
        <v>0</v>
      </c>
      <c r="L84">
        <v>0</v>
      </c>
      <c r="M84">
        <v>0</v>
      </c>
      <c r="N84">
        <v>0.41319740000000005</v>
      </c>
      <c r="O84">
        <v>0</v>
      </c>
      <c r="P84">
        <v>0</v>
      </c>
      <c r="Q84">
        <v>0</v>
      </c>
      <c r="R84">
        <v>1.2217500000000001</v>
      </c>
      <c r="S84">
        <v>1.0076E-2</v>
      </c>
      <c r="T84">
        <v>0.70950000000000002</v>
      </c>
      <c r="U84">
        <v>0</v>
      </c>
      <c r="V84">
        <v>1.3164000000000002E-2</v>
      </c>
      <c r="W84">
        <v>0</v>
      </c>
      <c r="X84">
        <v>1.6605000000000002E-2</v>
      </c>
      <c r="Y84" s="1">
        <v>0</v>
      </c>
      <c r="Z84">
        <v>5.0518000000000004E-3</v>
      </c>
      <c r="AA84" s="1">
        <v>0</v>
      </c>
      <c r="AB84">
        <v>0</v>
      </c>
      <c r="AC84">
        <v>0</v>
      </c>
      <c r="AD84">
        <v>2.6949999999999999E-3</v>
      </c>
      <c r="AE84" s="4">
        <v>0.13500000000000001</v>
      </c>
      <c r="AF84">
        <v>0.25600000000000001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>
        <v>0</v>
      </c>
      <c r="AO84">
        <v>3</v>
      </c>
      <c r="AP84">
        <v>5</v>
      </c>
      <c r="AQ84">
        <v>4</v>
      </c>
      <c r="AR84">
        <v>12</v>
      </c>
      <c r="AS84">
        <f t="shared" si="121"/>
        <v>1.6193719</v>
      </c>
      <c r="AT84">
        <f t="shared" si="128"/>
        <v>1.971095</v>
      </c>
      <c r="AU84">
        <f t="shared" si="129"/>
        <v>0.39874680000000001</v>
      </c>
      <c r="AV84">
        <f t="shared" si="122"/>
        <v>3.9892137000000005</v>
      </c>
      <c r="AW84">
        <f t="shared" si="123"/>
        <v>0.18886598383815348</v>
      </c>
      <c r="AX84">
        <f t="shared" si="136"/>
        <v>5.2947597003859546</v>
      </c>
      <c r="AY84">
        <f t="shared" si="130"/>
        <v>12</v>
      </c>
      <c r="AZ84">
        <f t="shared" si="124"/>
        <v>3.9892137000000005</v>
      </c>
      <c r="BA84">
        <f t="shared" si="125"/>
        <v>0.18886598383815351</v>
      </c>
      <c r="BB84">
        <f t="shared" si="137"/>
        <v>5.2947597003859537</v>
      </c>
      <c r="BC84">
        <f t="shared" si="126"/>
        <v>1</v>
      </c>
      <c r="BD84">
        <f t="shared" si="92"/>
        <v>1</v>
      </c>
      <c r="BE84">
        <f t="shared" si="93"/>
        <v>0</v>
      </c>
      <c r="BF84">
        <f t="shared" si="94"/>
        <v>0</v>
      </c>
      <c r="BG84">
        <f t="shared" si="95"/>
        <v>0</v>
      </c>
      <c r="BH84">
        <f t="shared" si="96"/>
        <v>1</v>
      </c>
      <c r="BI84">
        <f t="shared" si="97"/>
        <v>0</v>
      </c>
      <c r="BJ84">
        <f t="shared" si="98"/>
        <v>0</v>
      </c>
      <c r="BK84">
        <f t="shared" si="99"/>
        <v>0</v>
      </c>
      <c r="BL84">
        <f t="shared" si="127"/>
        <v>1</v>
      </c>
      <c r="BM84">
        <f t="shared" si="100"/>
        <v>1</v>
      </c>
      <c r="BN84">
        <f t="shared" si="101"/>
        <v>1</v>
      </c>
      <c r="BO84">
        <f t="shared" si="102"/>
        <v>0</v>
      </c>
      <c r="BP84">
        <f t="shared" si="103"/>
        <v>1</v>
      </c>
      <c r="BQ84">
        <f t="shared" si="104"/>
        <v>0</v>
      </c>
      <c r="BR84">
        <f t="shared" si="105"/>
        <v>1</v>
      </c>
      <c r="BS84">
        <f t="shared" si="106"/>
        <v>0</v>
      </c>
      <c r="BT84">
        <f t="shared" si="107"/>
        <v>1</v>
      </c>
      <c r="BU84">
        <f t="shared" si="108"/>
        <v>0</v>
      </c>
      <c r="BV84">
        <f t="shared" si="109"/>
        <v>0</v>
      </c>
      <c r="BW84">
        <f t="shared" si="110"/>
        <v>0</v>
      </c>
      <c r="BX84">
        <f t="shared" si="111"/>
        <v>1</v>
      </c>
      <c r="BY84">
        <f t="shared" si="112"/>
        <v>1</v>
      </c>
      <c r="BZ84">
        <f t="shared" si="113"/>
        <v>1</v>
      </c>
      <c r="CA84">
        <f t="shared" si="114"/>
        <v>0</v>
      </c>
      <c r="CB84">
        <f t="shared" si="115"/>
        <v>0</v>
      </c>
      <c r="CC84">
        <f t="shared" si="116"/>
        <v>0</v>
      </c>
      <c r="CD84">
        <f t="shared" si="117"/>
        <v>0</v>
      </c>
      <c r="CE84">
        <f t="shared" si="118"/>
        <v>0</v>
      </c>
      <c r="CF84">
        <f t="shared" si="119"/>
        <v>0</v>
      </c>
      <c r="CG84">
        <f t="shared" si="120"/>
        <v>0</v>
      </c>
      <c r="CH84">
        <f t="shared" si="131"/>
        <v>0</v>
      </c>
      <c r="CI84">
        <f t="shared" si="132"/>
        <v>3</v>
      </c>
      <c r="CJ84">
        <f t="shared" si="133"/>
        <v>5</v>
      </c>
      <c r="CK84">
        <f t="shared" si="134"/>
        <v>4</v>
      </c>
      <c r="CL84">
        <f t="shared" si="135"/>
        <v>12</v>
      </c>
    </row>
    <row r="85" spans="1:90">
      <c r="A85">
        <v>85</v>
      </c>
      <c r="B85">
        <v>1</v>
      </c>
      <c r="C85">
        <v>1</v>
      </c>
      <c r="D85">
        <v>1</v>
      </c>
      <c r="E85">
        <v>1</v>
      </c>
      <c r="F85" s="1">
        <v>20</v>
      </c>
      <c r="G85">
        <v>18</v>
      </c>
      <c r="H85">
        <v>3</v>
      </c>
      <c r="I85">
        <v>0.11174099999999999</v>
      </c>
      <c r="J85">
        <v>1.0512889999999999</v>
      </c>
      <c r="K85">
        <v>0</v>
      </c>
      <c r="L85">
        <v>0</v>
      </c>
      <c r="M85">
        <v>0</v>
      </c>
      <c r="N85">
        <v>0.28670839999999997</v>
      </c>
      <c r="O85">
        <v>0</v>
      </c>
      <c r="P85">
        <v>0</v>
      </c>
      <c r="Q85">
        <v>0</v>
      </c>
      <c r="R85">
        <v>1.4040000000000001</v>
      </c>
      <c r="S85">
        <v>5.0379999999999999E-3</v>
      </c>
      <c r="T85">
        <v>0.37209333333333339</v>
      </c>
      <c r="U85">
        <v>0</v>
      </c>
      <c r="V85">
        <v>3.9492000000000006E-2</v>
      </c>
      <c r="W85">
        <v>0</v>
      </c>
      <c r="X85">
        <v>0.85429200000000005</v>
      </c>
      <c r="Y85" s="1">
        <v>0</v>
      </c>
      <c r="Z85">
        <v>3.4974000000000003E-3</v>
      </c>
      <c r="AA85" s="1">
        <v>0</v>
      </c>
      <c r="AB85">
        <v>0</v>
      </c>
      <c r="AC85">
        <v>0</v>
      </c>
      <c r="AD85">
        <v>3.0799999999999998E-3</v>
      </c>
      <c r="AE85">
        <v>0</v>
      </c>
      <c r="AF85">
        <v>0.25600000000000001</v>
      </c>
      <c r="AG85" s="2">
        <v>0</v>
      </c>
      <c r="AH85" s="2">
        <v>0</v>
      </c>
      <c r="AI85" s="2">
        <v>7.038E-3</v>
      </c>
      <c r="AJ85" s="2">
        <v>0</v>
      </c>
      <c r="AK85" s="2">
        <v>0</v>
      </c>
      <c r="AL85" s="2">
        <v>0</v>
      </c>
      <c r="AM85" s="2">
        <v>0</v>
      </c>
      <c r="AN85">
        <v>1</v>
      </c>
      <c r="AO85">
        <v>3</v>
      </c>
      <c r="AP85">
        <v>5</v>
      </c>
      <c r="AQ85">
        <v>3</v>
      </c>
      <c r="AR85">
        <v>12</v>
      </c>
      <c r="AS85">
        <f t="shared" si="121"/>
        <v>1.4497384</v>
      </c>
      <c r="AT85">
        <f t="shared" si="128"/>
        <v>2.6749153333333338</v>
      </c>
      <c r="AU85">
        <f t="shared" si="129"/>
        <v>0.26257740000000002</v>
      </c>
      <c r="AV85">
        <f t="shared" si="122"/>
        <v>4.3942691333333332</v>
      </c>
      <c r="AW85">
        <f t="shared" si="123"/>
        <v>0.21266999739634135</v>
      </c>
      <c r="AX85">
        <f t="shared" si="136"/>
        <v>4.7021207139827776</v>
      </c>
      <c r="AY85">
        <f t="shared" si="130"/>
        <v>11</v>
      </c>
      <c r="AZ85">
        <f t="shared" si="124"/>
        <v>4.3872311333333336</v>
      </c>
      <c r="BA85">
        <f t="shared" si="125"/>
        <v>0.21335030202333061</v>
      </c>
      <c r="BB85">
        <f t="shared" si="137"/>
        <v>4.6871271824618574</v>
      </c>
      <c r="BC85">
        <f t="shared" si="126"/>
        <v>1</v>
      </c>
      <c r="BD85">
        <f t="shared" si="92"/>
        <v>1</v>
      </c>
      <c r="BE85">
        <f t="shared" si="93"/>
        <v>0</v>
      </c>
      <c r="BF85">
        <f t="shared" si="94"/>
        <v>0</v>
      </c>
      <c r="BG85">
        <f t="shared" si="95"/>
        <v>0</v>
      </c>
      <c r="BH85">
        <f t="shared" si="96"/>
        <v>1</v>
      </c>
      <c r="BI85">
        <f t="shared" si="97"/>
        <v>0</v>
      </c>
      <c r="BJ85">
        <f t="shared" si="98"/>
        <v>0</v>
      </c>
      <c r="BK85">
        <f t="shared" si="99"/>
        <v>0</v>
      </c>
      <c r="BL85">
        <f t="shared" si="127"/>
        <v>1</v>
      </c>
      <c r="BM85">
        <f t="shared" si="100"/>
        <v>1</v>
      </c>
      <c r="BN85">
        <f t="shared" si="101"/>
        <v>1</v>
      </c>
      <c r="BO85">
        <f t="shared" si="102"/>
        <v>0</v>
      </c>
      <c r="BP85">
        <f t="shared" si="103"/>
        <v>1</v>
      </c>
      <c r="BQ85">
        <f t="shared" si="104"/>
        <v>0</v>
      </c>
      <c r="BR85">
        <f t="shared" si="105"/>
        <v>1</v>
      </c>
      <c r="BS85">
        <f t="shared" si="106"/>
        <v>0</v>
      </c>
      <c r="BT85">
        <f t="shared" si="107"/>
        <v>1</v>
      </c>
      <c r="BU85">
        <f t="shared" si="108"/>
        <v>0</v>
      </c>
      <c r="BV85">
        <f t="shared" si="109"/>
        <v>0</v>
      </c>
      <c r="BW85">
        <f t="shared" si="110"/>
        <v>0</v>
      </c>
      <c r="BX85">
        <f t="shared" si="111"/>
        <v>1</v>
      </c>
      <c r="BY85">
        <f t="shared" si="112"/>
        <v>0</v>
      </c>
      <c r="BZ85">
        <f t="shared" si="113"/>
        <v>1</v>
      </c>
      <c r="CA85">
        <f t="shared" si="114"/>
        <v>0</v>
      </c>
      <c r="CB85">
        <f t="shared" si="115"/>
        <v>0</v>
      </c>
      <c r="CC85">
        <f t="shared" si="116"/>
        <v>1</v>
      </c>
      <c r="CD85">
        <f t="shared" si="117"/>
        <v>0</v>
      </c>
      <c r="CE85">
        <f t="shared" si="118"/>
        <v>0</v>
      </c>
      <c r="CF85">
        <f t="shared" si="119"/>
        <v>0</v>
      </c>
      <c r="CG85">
        <f t="shared" si="120"/>
        <v>0</v>
      </c>
      <c r="CH85">
        <f t="shared" si="131"/>
        <v>1</v>
      </c>
      <c r="CI85">
        <f t="shared" si="132"/>
        <v>3</v>
      </c>
      <c r="CJ85">
        <f t="shared" si="133"/>
        <v>5</v>
      </c>
      <c r="CK85">
        <f t="shared" si="134"/>
        <v>3</v>
      </c>
      <c r="CL85">
        <f t="shared" si="135"/>
        <v>12</v>
      </c>
    </row>
    <row r="86" spans="1:90">
      <c r="A86">
        <v>9</v>
      </c>
      <c r="B86">
        <v>1</v>
      </c>
      <c r="C86">
        <v>1</v>
      </c>
      <c r="D86">
        <v>1</v>
      </c>
      <c r="E86">
        <v>0</v>
      </c>
      <c r="F86" s="1">
        <v>21</v>
      </c>
      <c r="G86">
        <v>18</v>
      </c>
      <c r="H86">
        <v>3</v>
      </c>
      <c r="I86">
        <v>0.78218700000000008</v>
      </c>
      <c r="J86" s="1">
        <v>0</v>
      </c>
      <c r="K86">
        <v>0.76946400000000004</v>
      </c>
      <c r="L86">
        <v>0</v>
      </c>
      <c r="M86">
        <v>0</v>
      </c>
      <c r="N86">
        <v>0</v>
      </c>
      <c r="O86">
        <v>0</v>
      </c>
      <c r="P86">
        <v>0.96502879999999991</v>
      </c>
      <c r="Q86">
        <v>0</v>
      </c>
      <c r="R86">
        <v>0</v>
      </c>
      <c r="S86">
        <v>0</v>
      </c>
      <c r="T86">
        <v>0</v>
      </c>
      <c r="U86">
        <v>3.2000000000000001E-2</v>
      </c>
      <c r="V86">
        <v>8.7760000000000008E-3</v>
      </c>
      <c r="W86">
        <v>4.7544000000000003E-2</v>
      </c>
      <c r="X86">
        <v>3.3210000000000003E-2</v>
      </c>
      <c r="Y86">
        <v>0</v>
      </c>
      <c r="Z86">
        <v>3.4974000000000003E-3</v>
      </c>
      <c r="AA86" s="1">
        <v>0</v>
      </c>
      <c r="AB86">
        <v>0</v>
      </c>
      <c r="AC86">
        <v>0</v>
      </c>
      <c r="AD86" s="1">
        <v>0</v>
      </c>
      <c r="AE86">
        <v>0.09</v>
      </c>
      <c r="AF86">
        <v>0.25600000000000001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>
        <v>0</v>
      </c>
      <c r="AO86">
        <v>3</v>
      </c>
      <c r="AP86">
        <v>4</v>
      </c>
      <c r="AQ86">
        <v>3</v>
      </c>
      <c r="AR86">
        <v>10</v>
      </c>
      <c r="AS86">
        <f t="shared" si="121"/>
        <v>2.5166797999999999</v>
      </c>
      <c r="AT86">
        <f t="shared" si="128"/>
        <v>0.12153000000000001</v>
      </c>
      <c r="AU86">
        <f t="shared" si="129"/>
        <v>0.34949740000000001</v>
      </c>
      <c r="AV86">
        <f t="shared" si="122"/>
        <v>2.9877072</v>
      </c>
      <c r="AW86">
        <f t="shared" si="123"/>
        <v>0.24794832532848923</v>
      </c>
      <c r="AX86">
        <f t="shared" si="136"/>
        <v>4.0330984235330911</v>
      </c>
      <c r="AY86">
        <f t="shared" si="130"/>
        <v>10</v>
      </c>
      <c r="AZ86">
        <f t="shared" si="124"/>
        <v>2.9877072</v>
      </c>
      <c r="BA86">
        <f t="shared" si="125"/>
        <v>0.24794832532848926</v>
      </c>
      <c r="BB86">
        <f t="shared" si="137"/>
        <v>4.0330984235330911</v>
      </c>
      <c r="BC86">
        <f t="shared" si="126"/>
        <v>1</v>
      </c>
      <c r="BD86">
        <f t="shared" si="92"/>
        <v>0</v>
      </c>
      <c r="BE86">
        <f t="shared" si="93"/>
        <v>1</v>
      </c>
      <c r="BF86">
        <f t="shared" si="94"/>
        <v>0</v>
      </c>
      <c r="BG86">
        <f t="shared" si="95"/>
        <v>0</v>
      </c>
      <c r="BH86">
        <f t="shared" si="96"/>
        <v>0</v>
      </c>
      <c r="BI86">
        <f t="shared" si="97"/>
        <v>0</v>
      </c>
      <c r="BJ86">
        <f t="shared" si="98"/>
        <v>1</v>
      </c>
      <c r="BK86">
        <f t="shared" si="99"/>
        <v>0</v>
      </c>
      <c r="BL86">
        <f t="shared" si="127"/>
        <v>0</v>
      </c>
      <c r="BM86">
        <f t="shared" si="100"/>
        <v>0</v>
      </c>
      <c r="BN86">
        <f t="shared" si="101"/>
        <v>0</v>
      </c>
      <c r="BO86">
        <f t="shared" si="102"/>
        <v>1</v>
      </c>
      <c r="BP86">
        <f t="shared" si="103"/>
        <v>1</v>
      </c>
      <c r="BQ86">
        <f t="shared" si="104"/>
        <v>1</v>
      </c>
      <c r="BR86">
        <f t="shared" si="105"/>
        <v>1</v>
      </c>
      <c r="BS86">
        <f t="shared" si="106"/>
        <v>0</v>
      </c>
      <c r="BT86">
        <f t="shared" si="107"/>
        <v>1</v>
      </c>
      <c r="BU86">
        <f t="shared" si="108"/>
        <v>0</v>
      </c>
      <c r="BV86">
        <f t="shared" si="109"/>
        <v>0</v>
      </c>
      <c r="BW86">
        <f t="shared" si="110"/>
        <v>0</v>
      </c>
      <c r="BX86">
        <f t="shared" si="111"/>
        <v>0</v>
      </c>
      <c r="BY86">
        <f t="shared" si="112"/>
        <v>1</v>
      </c>
      <c r="BZ86">
        <f t="shared" si="113"/>
        <v>1</v>
      </c>
      <c r="CA86">
        <f t="shared" si="114"/>
        <v>0</v>
      </c>
      <c r="CB86">
        <f t="shared" si="115"/>
        <v>0</v>
      </c>
      <c r="CC86">
        <f t="shared" si="116"/>
        <v>0</v>
      </c>
      <c r="CD86">
        <f t="shared" si="117"/>
        <v>0</v>
      </c>
      <c r="CE86">
        <f t="shared" si="118"/>
        <v>0</v>
      </c>
      <c r="CF86">
        <f t="shared" si="119"/>
        <v>0</v>
      </c>
      <c r="CG86">
        <f t="shared" si="120"/>
        <v>0</v>
      </c>
      <c r="CH86">
        <f t="shared" si="131"/>
        <v>0</v>
      </c>
      <c r="CI86">
        <f t="shared" si="132"/>
        <v>3</v>
      </c>
      <c r="CJ86">
        <f t="shared" si="133"/>
        <v>4</v>
      </c>
      <c r="CK86">
        <f t="shared" si="134"/>
        <v>3</v>
      </c>
      <c r="CL86">
        <f t="shared" si="135"/>
        <v>10</v>
      </c>
    </row>
    <row r="87" spans="1:90">
      <c r="A87">
        <v>16</v>
      </c>
      <c r="B87">
        <v>1</v>
      </c>
      <c r="C87">
        <v>1</v>
      </c>
      <c r="D87">
        <v>1</v>
      </c>
      <c r="E87">
        <v>1</v>
      </c>
      <c r="F87" s="1">
        <v>21</v>
      </c>
      <c r="G87">
        <v>18</v>
      </c>
      <c r="H87">
        <v>3</v>
      </c>
      <c r="I87">
        <v>1.3648365</v>
      </c>
      <c r="J87">
        <v>0.27665499999999998</v>
      </c>
      <c r="K87">
        <v>0.83358600000000005</v>
      </c>
      <c r="L87">
        <v>0</v>
      </c>
      <c r="M87">
        <v>0</v>
      </c>
      <c r="N87">
        <v>0</v>
      </c>
      <c r="O87">
        <v>0</v>
      </c>
      <c r="P87">
        <v>1.7029919999999998</v>
      </c>
      <c r="Q87">
        <v>0</v>
      </c>
      <c r="R87">
        <v>0</v>
      </c>
      <c r="S87">
        <v>0</v>
      </c>
      <c r="T87">
        <v>0</v>
      </c>
      <c r="U87">
        <v>0.16</v>
      </c>
      <c r="V87">
        <v>5.9238000000000006E-2</v>
      </c>
      <c r="W87">
        <v>4.3838879999999998</v>
      </c>
      <c r="X87">
        <v>1.4774070000000001</v>
      </c>
      <c r="Y87">
        <v>0</v>
      </c>
      <c r="Z87" s="1">
        <v>0</v>
      </c>
      <c r="AA87" s="1">
        <v>0</v>
      </c>
      <c r="AB87">
        <v>0</v>
      </c>
      <c r="AC87">
        <v>0</v>
      </c>
      <c r="AD87">
        <v>7.6999999999999996E-4</v>
      </c>
      <c r="AE87">
        <v>0.13500000000000001</v>
      </c>
      <c r="AF87">
        <v>6.4000000000000001E-2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>
        <v>0</v>
      </c>
      <c r="AO87">
        <v>4</v>
      </c>
      <c r="AP87">
        <v>4</v>
      </c>
      <c r="AQ87">
        <v>3</v>
      </c>
      <c r="AR87">
        <v>11</v>
      </c>
      <c r="AS87">
        <f t="shared" si="121"/>
        <v>4.1780694999999994</v>
      </c>
      <c r="AT87">
        <f t="shared" si="128"/>
        <v>6.080533</v>
      </c>
      <c r="AU87">
        <f t="shared" si="129"/>
        <v>0.19977</v>
      </c>
      <c r="AV87">
        <f t="shared" si="122"/>
        <v>10.458372499999998</v>
      </c>
      <c r="AW87">
        <f t="shared" si="123"/>
        <v>0.24673252313881722</v>
      </c>
      <c r="AX87">
        <f t="shared" si="136"/>
        <v>4.0529719685044432</v>
      </c>
      <c r="AY87">
        <f t="shared" si="130"/>
        <v>11</v>
      </c>
      <c r="AZ87">
        <f t="shared" si="124"/>
        <v>10.458372499999998</v>
      </c>
      <c r="BA87">
        <f t="shared" si="125"/>
        <v>0.24673252313881722</v>
      </c>
      <c r="BB87">
        <f t="shared" si="137"/>
        <v>4.0529719685044432</v>
      </c>
      <c r="BC87">
        <f t="shared" si="126"/>
        <v>1</v>
      </c>
      <c r="BD87">
        <f t="shared" si="92"/>
        <v>1</v>
      </c>
      <c r="BE87">
        <f t="shared" si="93"/>
        <v>1</v>
      </c>
      <c r="BF87">
        <f t="shared" si="94"/>
        <v>0</v>
      </c>
      <c r="BG87">
        <f t="shared" si="95"/>
        <v>0</v>
      </c>
      <c r="BH87">
        <f t="shared" si="96"/>
        <v>0</v>
      </c>
      <c r="BI87">
        <f t="shared" si="97"/>
        <v>0</v>
      </c>
      <c r="BJ87">
        <f t="shared" si="98"/>
        <v>1</v>
      </c>
      <c r="BK87">
        <f t="shared" si="99"/>
        <v>0</v>
      </c>
      <c r="BL87">
        <f t="shared" si="127"/>
        <v>0</v>
      </c>
      <c r="BM87">
        <f t="shared" si="100"/>
        <v>0</v>
      </c>
      <c r="BN87">
        <f t="shared" si="101"/>
        <v>0</v>
      </c>
      <c r="BO87">
        <f t="shared" si="102"/>
        <v>1</v>
      </c>
      <c r="BP87">
        <f t="shared" si="103"/>
        <v>1</v>
      </c>
      <c r="BQ87">
        <f t="shared" si="104"/>
        <v>1</v>
      </c>
      <c r="BR87">
        <f t="shared" si="105"/>
        <v>1</v>
      </c>
      <c r="BS87">
        <f t="shared" si="106"/>
        <v>0</v>
      </c>
      <c r="BT87">
        <f t="shared" si="107"/>
        <v>0</v>
      </c>
      <c r="BU87">
        <f t="shared" si="108"/>
        <v>0</v>
      </c>
      <c r="BV87">
        <f t="shared" si="109"/>
        <v>0</v>
      </c>
      <c r="BW87">
        <f t="shared" si="110"/>
        <v>0</v>
      </c>
      <c r="BX87">
        <f t="shared" si="111"/>
        <v>1</v>
      </c>
      <c r="BY87">
        <f t="shared" si="112"/>
        <v>1</v>
      </c>
      <c r="BZ87">
        <f t="shared" si="113"/>
        <v>1</v>
      </c>
      <c r="CA87">
        <f t="shared" si="114"/>
        <v>0</v>
      </c>
      <c r="CB87">
        <f t="shared" si="115"/>
        <v>0</v>
      </c>
      <c r="CC87">
        <f t="shared" si="116"/>
        <v>0</v>
      </c>
      <c r="CD87">
        <f t="shared" si="117"/>
        <v>0</v>
      </c>
      <c r="CE87">
        <f t="shared" si="118"/>
        <v>0</v>
      </c>
      <c r="CF87">
        <f t="shared" si="119"/>
        <v>0</v>
      </c>
      <c r="CG87">
        <f t="shared" si="120"/>
        <v>0</v>
      </c>
      <c r="CH87">
        <f t="shared" si="131"/>
        <v>0</v>
      </c>
      <c r="CI87">
        <f t="shared" si="132"/>
        <v>4</v>
      </c>
      <c r="CJ87">
        <f t="shared" si="133"/>
        <v>4</v>
      </c>
      <c r="CK87">
        <f t="shared" si="134"/>
        <v>3</v>
      </c>
      <c r="CL87">
        <f t="shared" si="135"/>
        <v>11</v>
      </c>
    </row>
    <row r="88" spans="1:90">
      <c r="A88">
        <v>70</v>
      </c>
      <c r="B88">
        <v>1</v>
      </c>
      <c r="C88">
        <v>1</v>
      </c>
      <c r="D88">
        <v>1</v>
      </c>
      <c r="E88">
        <v>0</v>
      </c>
      <c r="F88" s="1">
        <v>21</v>
      </c>
      <c r="G88">
        <v>18</v>
      </c>
      <c r="H88">
        <v>3</v>
      </c>
      <c r="I88">
        <v>0.67842749999999996</v>
      </c>
      <c r="J88">
        <v>0.52564449999999996</v>
      </c>
      <c r="K88">
        <v>0.94045600000000018</v>
      </c>
      <c r="L88">
        <v>0</v>
      </c>
      <c r="M88">
        <v>0</v>
      </c>
      <c r="N88">
        <v>0</v>
      </c>
      <c r="O88">
        <v>0</v>
      </c>
      <c r="P88">
        <v>1.206286</v>
      </c>
      <c r="Q88">
        <v>0</v>
      </c>
      <c r="R88">
        <v>0.16875000000000001</v>
      </c>
      <c r="S88">
        <v>0</v>
      </c>
      <c r="T88">
        <v>0</v>
      </c>
      <c r="U88">
        <v>4.8000000000000001E-2</v>
      </c>
      <c r="V88">
        <v>8.3372000000000002E-2</v>
      </c>
      <c r="W88">
        <v>7.2455100000000012</v>
      </c>
      <c r="X88">
        <v>4.1539000000000006E-2</v>
      </c>
      <c r="Y88">
        <v>0</v>
      </c>
      <c r="Z88">
        <v>1.9430000000000001E-4</v>
      </c>
      <c r="AA88" s="1">
        <v>0</v>
      </c>
      <c r="AB88">
        <v>0</v>
      </c>
      <c r="AC88">
        <v>0</v>
      </c>
      <c r="AD88">
        <v>3.8499999999999998E-4</v>
      </c>
      <c r="AE88">
        <v>0.09</v>
      </c>
      <c r="AF88">
        <v>0.128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>
        <v>0</v>
      </c>
      <c r="AO88">
        <v>4</v>
      </c>
      <c r="AP88">
        <v>5</v>
      </c>
      <c r="AQ88">
        <v>4</v>
      </c>
      <c r="AR88">
        <v>13</v>
      </c>
      <c r="AS88">
        <f t="shared" si="121"/>
        <v>3.3508140000000002</v>
      </c>
      <c r="AT88">
        <f t="shared" si="128"/>
        <v>7.5871710000000014</v>
      </c>
      <c r="AU88">
        <f t="shared" si="129"/>
        <v>0.2185793</v>
      </c>
      <c r="AV88">
        <f t="shared" si="122"/>
        <v>11.156564300000001</v>
      </c>
      <c r="AW88">
        <f t="shared" si="123"/>
        <v>0.44699915916585004</v>
      </c>
      <c r="AX88">
        <f t="shared" si="136"/>
        <v>2.2371406735218717</v>
      </c>
      <c r="AY88">
        <f t="shared" si="130"/>
        <v>13</v>
      </c>
      <c r="AZ88">
        <f t="shared" si="124"/>
        <v>11.156564300000001</v>
      </c>
      <c r="BA88">
        <f t="shared" si="125"/>
        <v>0.44699915916585004</v>
      </c>
      <c r="BB88">
        <f t="shared" si="137"/>
        <v>2.2371406735218717</v>
      </c>
      <c r="BC88">
        <f t="shared" si="126"/>
        <v>1</v>
      </c>
      <c r="BD88">
        <f t="shared" ref="BD88:BD109" si="138">IF(J88=0,0,1)</f>
        <v>1</v>
      </c>
      <c r="BE88">
        <f t="shared" ref="BE88:BE109" si="139">IF(K88=0,0,1)</f>
        <v>1</v>
      </c>
      <c r="BF88">
        <f t="shared" ref="BF88:BF109" si="140">IF(L88=0,0,1)</f>
        <v>0</v>
      </c>
      <c r="BG88">
        <f t="shared" ref="BG88:BG109" si="141">IF(M88=0,0,1)</f>
        <v>0</v>
      </c>
      <c r="BH88">
        <f t="shared" ref="BH88:BH109" si="142">IF(N88=0,0,1)</f>
        <v>0</v>
      </c>
      <c r="BI88">
        <f t="shared" ref="BI88:BI109" si="143">IF(O88=0,0,1)</f>
        <v>0</v>
      </c>
      <c r="BJ88">
        <f t="shared" ref="BJ88:BJ109" si="144">IF(P88=0,0,1)</f>
        <v>1</v>
      </c>
      <c r="BK88">
        <f t="shared" ref="BK88:BK109" si="145">IF(Q88=0,0,1)</f>
        <v>0</v>
      </c>
      <c r="BL88">
        <f t="shared" si="127"/>
        <v>1</v>
      </c>
      <c r="BM88">
        <f t="shared" ref="BM88:BM109" si="146">IF(S88=0,0,1)</f>
        <v>0</v>
      </c>
      <c r="BN88">
        <f t="shared" ref="BN88:BN109" si="147">IF(T88=0,0,1)</f>
        <v>0</v>
      </c>
      <c r="BO88">
        <f t="shared" ref="BO88:BO109" si="148">IF(U88=0,0,1)</f>
        <v>1</v>
      </c>
      <c r="BP88">
        <f t="shared" ref="BP88:BP109" si="149">IF(V88=0,0,1)</f>
        <v>1</v>
      </c>
      <c r="BQ88">
        <f t="shared" ref="BQ88:BQ109" si="150">IF(W88=0,0,1)</f>
        <v>1</v>
      </c>
      <c r="BR88">
        <f t="shared" ref="BR88:BR109" si="151">IF(X88=0,0,1)</f>
        <v>1</v>
      </c>
      <c r="BS88">
        <f t="shared" ref="BS88:BS109" si="152">IF(Y88=0,0,1)</f>
        <v>0</v>
      </c>
      <c r="BT88">
        <f t="shared" ref="BT88:BT109" si="153">IF(Z88=0,0,1)</f>
        <v>1</v>
      </c>
      <c r="BU88">
        <f t="shared" ref="BU88:BU109" si="154">IF(AA88=0,0,1)</f>
        <v>0</v>
      </c>
      <c r="BV88">
        <f t="shared" ref="BV88:BV109" si="155">IF(AB88=0,0,1)</f>
        <v>0</v>
      </c>
      <c r="BW88">
        <f t="shared" ref="BW88:BW109" si="156">IF(AC88=0,0,1)</f>
        <v>0</v>
      </c>
      <c r="BX88">
        <f t="shared" ref="BX88:BX109" si="157">IF(AD88=0,0,1)</f>
        <v>1</v>
      </c>
      <c r="BY88">
        <f t="shared" ref="BY88:BY109" si="158">IF(AE88=0,0,1)</f>
        <v>1</v>
      </c>
      <c r="BZ88">
        <f t="shared" ref="BZ88:BZ109" si="159">IF(AF88=0,0,1)</f>
        <v>1</v>
      </c>
      <c r="CA88">
        <f t="shared" ref="CA88:CA109" si="160">IF(AG88=0,0,1)</f>
        <v>0</v>
      </c>
      <c r="CB88">
        <f t="shared" ref="CB88:CB109" si="161">IF(AH88=0,0,1)</f>
        <v>0</v>
      </c>
      <c r="CC88">
        <f t="shared" ref="CC88:CC109" si="162">IF(AI88=0,0,1)</f>
        <v>0</v>
      </c>
      <c r="CD88">
        <f t="shared" ref="CD88:CD109" si="163">IF(AJ88=0,0,1)</f>
        <v>0</v>
      </c>
      <c r="CE88">
        <f t="shared" ref="CE88:CE109" si="164">IF(AK88=0,0,1)</f>
        <v>0</v>
      </c>
      <c r="CF88">
        <f t="shared" ref="CF88:CF109" si="165">IF(AL88=0,0,1)</f>
        <v>0</v>
      </c>
      <c r="CG88">
        <f t="shared" ref="CG88:CG109" si="166">IF(AM88=0,0,1)</f>
        <v>0</v>
      </c>
      <c r="CH88">
        <f t="shared" si="131"/>
        <v>0</v>
      </c>
      <c r="CI88">
        <f t="shared" si="132"/>
        <v>4</v>
      </c>
      <c r="CJ88">
        <f t="shared" si="133"/>
        <v>5</v>
      </c>
      <c r="CK88">
        <f t="shared" si="134"/>
        <v>4</v>
      </c>
      <c r="CL88">
        <f t="shared" si="135"/>
        <v>13</v>
      </c>
    </row>
    <row r="89" spans="1:90">
      <c r="A89">
        <v>82</v>
      </c>
      <c r="B89">
        <v>1</v>
      </c>
      <c r="C89">
        <v>1</v>
      </c>
      <c r="D89">
        <v>1</v>
      </c>
      <c r="E89">
        <v>1</v>
      </c>
      <c r="F89" s="1">
        <v>21</v>
      </c>
      <c r="G89">
        <v>18</v>
      </c>
      <c r="H89">
        <v>3</v>
      </c>
      <c r="I89">
        <v>1.3089659999999999</v>
      </c>
      <c r="J89">
        <v>0.38731699999999997</v>
      </c>
      <c r="K89">
        <v>1.17557</v>
      </c>
      <c r="L89">
        <v>0</v>
      </c>
      <c r="M89">
        <v>0</v>
      </c>
      <c r="N89">
        <v>0</v>
      </c>
      <c r="O89">
        <v>0</v>
      </c>
      <c r="P89">
        <v>1.7313751999999998</v>
      </c>
      <c r="Q89">
        <v>0</v>
      </c>
      <c r="R89">
        <v>0</v>
      </c>
      <c r="S89">
        <v>0</v>
      </c>
      <c r="T89">
        <v>0</v>
      </c>
      <c r="U89">
        <v>3.2000000000000001E-2</v>
      </c>
      <c r="V89">
        <v>0.18210200000000001</v>
      </c>
      <c r="W89">
        <v>3.133464</v>
      </c>
      <c r="X89">
        <v>5.9778000000000005E-2</v>
      </c>
      <c r="Y89">
        <v>0</v>
      </c>
      <c r="Z89">
        <v>4.2745999999999999E-3</v>
      </c>
      <c r="AA89" s="1">
        <v>0</v>
      </c>
      <c r="AB89">
        <v>0</v>
      </c>
      <c r="AC89">
        <v>0</v>
      </c>
      <c r="AD89">
        <v>1.155E-2</v>
      </c>
      <c r="AE89" s="1">
        <v>0</v>
      </c>
      <c r="AF89">
        <v>0.25600000000000001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>
        <v>0</v>
      </c>
      <c r="AO89">
        <v>4</v>
      </c>
      <c r="AP89">
        <v>4</v>
      </c>
      <c r="AQ89">
        <v>3</v>
      </c>
      <c r="AR89">
        <v>11</v>
      </c>
      <c r="AS89">
        <f t="shared" ref="AS89:AS109" si="167">SUM(I89:P89)</f>
        <v>4.6032281999999993</v>
      </c>
      <c r="AT89">
        <f t="shared" si="128"/>
        <v>3.4073440000000002</v>
      </c>
      <c r="AU89">
        <f t="shared" si="129"/>
        <v>0.27182460000000003</v>
      </c>
      <c r="AV89">
        <f t="shared" ref="AV89:AV109" si="168">SUM(I89:AL89)</f>
        <v>8.2823968000000008</v>
      </c>
      <c r="AW89">
        <f t="shared" si="123"/>
        <v>0.23564901918047262</v>
      </c>
      <c r="AX89">
        <f t="shared" si="136"/>
        <v>4.2435992455124394</v>
      </c>
      <c r="AY89">
        <f t="shared" si="130"/>
        <v>11</v>
      </c>
      <c r="AZ89">
        <f t="shared" ref="AZ89:AZ109" si="169">SUM(I89:AF89)</f>
        <v>8.2823968000000008</v>
      </c>
      <c r="BA89">
        <f t="shared" si="125"/>
        <v>0.23564901918047265</v>
      </c>
      <c r="BB89">
        <f t="shared" si="137"/>
        <v>4.2435992455124394</v>
      </c>
      <c r="BC89">
        <f t="shared" ref="BC89:BC109" si="170">IF(I89=0,0,1)</f>
        <v>1</v>
      </c>
      <c r="BD89">
        <f t="shared" si="138"/>
        <v>1</v>
      </c>
      <c r="BE89">
        <f t="shared" si="139"/>
        <v>1</v>
      </c>
      <c r="BF89">
        <f t="shared" si="140"/>
        <v>0</v>
      </c>
      <c r="BG89">
        <f t="shared" si="141"/>
        <v>0</v>
      </c>
      <c r="BH89">
        <f t="shared" si="142"/>
        <v>0</v>
      </c>
      <c r="BI89">
        <f t="shared" si="143"/>
        <v>0</v>
      </c>
      <c r="BJ89">
        <f t="shared" si="144"/>
        <v>1</v>
      </c>
      <c r="BK89">
        <f t="shared" si="145"/>
        <v>0</v>
      </c>
      <c r="BL89">
        <f t="shared" si="127"/>
        <v>0</v>
      </c>
      <c r="BM89">
        <f t="shared" si="146"/>
        <v>0</v>
      </c>
      <c r="BN89">
        <f t="shared" si="147"/>
        <v>0</v>
      </c>
      <c r="BO89">
        <f t="shared" si="148"/>
        <v>1</v>
      </c>
      <c r="BP89">
        <f t="shared" si="149"/>
        <v>1</v>
      </c>
      <c r="BQ89">
        <f t="shared" si="150"/>
        <v>1</v>
      </c>
      <c r="BR89">
        <f t="shared" si="151"/>
        <v>1</v>
      </c>
      <c r="BS89">
        <f t="shared" si="152"/>
        <v>0</v>
      </c>
      <c r="BT89">
        <f t="shared" si="153"/>
        <v>1</v>
      </c>
      <c r="BU89">
        <f t="shared" si="154"/>
        <v>0</v>
      </c>
      <c r="BV89">
        <f t="shared" si="155"/>
        <v>0</v>
      </c>
      <c r="BW89">
        <f t="shared" si="156"/>
        <v>0</v>
      </c>
      <c r="BX89">
        <f t="shared" si="157"/>
        <v>1</v>
      </c>
      <c r="BY89">
        <f t="shared" si="158"/>
        <v>0</v>
      </c>
      <c r="BZ89">
        <f t="shared" si="159"/>
        <v>1</v>
      </c>
      <c r="CA89">
        <f t="shared" si="160"/>
        <v>0</v>
      </c>
      <c r="CB89">
        <f t="shared" si="161"/>
        <v>0</v>
      </c>
      <c r="CC89">
        <f t="shared" si="162"/>
        <v>0</v>
      </c>
      <c r="CD89">
        <f t="shared" si="163"/>
        <v>0</v>
      </c>
      <c r="CE89">
        <f t="shared" si="164"/>
        <v>0</v>
      </c>
      <c r="CF89">
        <f t="shared" si="165"/>
        <v>0</v>
      </c>
      <c r="CG89">
        <f t="shared" si="166"/>
        <v>0</v>
      </c>
      <c r="CH89">
        <f t="shared" si="131"/>
        <v>0</v>
      </c>
      <c r="CI89">
        <f t="shared" si="132"/>
        <v>4</v>
      </c>
      <c r="CJ89">
        <f t="shared" si="133"/>
        <v>4</v>
      </c>
      <c r="CK89">
        <f t="shared" si="134"/>
        <v>3</v>
      </c>
      <c r="CL89">
        <f t="shared" si="135"/>
        <v>11</v>
      </c>
    </row>
    <row r="90" spans="1:90">
      <c r="A90">
        <v>18</v>
      </c>
      <c r="B90">
        <v>1</v>
      </c>
      <c r="C90">
        <v>1</v>
      </c>
      <c r="D90">
        <v>1</v>
      </c>
      <c r="E90">
        <v>0</v>
      </c>
      <c r="F90" s="1">
        <v>22</v>
      </c>
      <c r="G90">
        <v>18</v>
      </c>
      <c r="H90">
        <v>3</v>
      </c>
      <c r="I90">
        <v>0.80613149999999989</v>
      </c>
      <c r="J90">
        <v>0.89359564999999996</v>
      </c>
      <c r="K90">
        <v>0.44120159999999992</v>
      </c>
      <c r="L90">
        <v>0</v>
      </c>
      <c r="M90">
        <v>0</v>
      </c>
      <c r="N90">
        <v>0.4975234</v>
      </c>
      <c r="O90">
        <v>0</v>
      </c>
      <c r="P90">
        <v>1.1637111999999998</v>
      </c>
      <c r="Q90">
        <v>0</v>
      </c>
      <c r="R90">
        <v>0</v>
      </c>
      <c r="S90">
        <v>0</v>
      </c>
      <c r="T90">
        <v>0</v>
      </c>
      <c r="U90">
        <v>3.2000000000000001E-2</v>
      </c>
      <c r="V90">
        <v>6.3626000000000002E-2</v>
      </c>
      <c r="W90">
        <v>2.3782079999999999</v>
      </c>
      <c r="X90">
        <v>1.283976</v>
      </c>
      <c r="Y90">
        <v>0</v>
      </c>
      <c r="Z90" s="1">
        <v>0</v>
      </c>
      <c r="AA90" s="1">
        <v>0</v>
      </c>
      <c r="AB90">
        <v>0</v>
      </c>
      <c r="AC90">
        <v>0</v>
      </c>
      <c r="AD90">
        <v>1.9635E-2</v>
      </c>
      <c r="AE90">
        <v>4.4999999999999998E-2</v>
      </c>
      <c r="AF90">
        <v>0.128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>
        <v>0</v>
      </c>
      <c r="AO90">
        <v>5</v>
      </c>
      <c r="AP90">
        <v>4</v>
      </c>
      <c r="AQ90">
        <v>3</v>
      </c>
      <c r="AR90">
        <v>12</v>
      </c>
      <c r="AS90">
        <f t="shared" si="167"/>
        <v>3.8021633499999994</v>
      </c>
      <c r="AT90">
        <f t="shared" si="128"/>
        <v>3.7578100000000001</v>
      </c>
      <c r="AU90">
        <f t="shared" si="129"/>
        <v>0.192635</v>
      </c>
      <c r="AV90">
        <f t="shared" si="168"/>
        <v>7.7526083499999991</v>
      </c>
      <c r="AW90">
        <f t="shared" si="123"/>
        <v>0.17591665978068999</v>
      </c>
      <c r="AX90">
        <f t="shared" si="136"/>
        <v>5.6845099335484761</v>
      </c>
      <c r="AY90">
        <f t="shared" si="130"/>
        <v>12</v>
      </c>
      <c r="AZ90">
        <f t="shared" si="169"/>
        <v>7.7526083499999991</v>
      </c>
      <c r="BA90">
        <f t="shared" si="125"/>
        <v>0.17591665978068999</v>
      </c>
      <c r="BB90">
        <f t="shared" si="137"/>
        <v>5.6845099335484761</v>
      </c>
      <c r="BC90">
        <f t="shared" si="170"/>
        <v>1</v>
      </c>
      <c r="BD90">
        <f t="shared" si="138"/>
        <v>1</v>
      </c>
      <c r="BE90">
        <f t="shared" si="139"/>
        <v>1</v>
      </c>
      <c r="BF90">
        <f t="shared" si="140"/>
        <v>0</v>
      </c>
      <c r="BG90">
        <f t="shared" si="141"/>
        <v>0</v>
      </c>
      <c r="BH90">
        <f t="shared" si="142"/>
        <v>1</v>
      </c>
      <c r="BI90">
        <f t="shared" si="143"/>
        <v>0</v>
      </c>
      <c r="BJ90">
        <f t="shared" si="144"/>
        <v>1</v>
      </c>
      <c r="BK90">
        <f t="shared" si="145"/>
        <v>0</v>
      </c>
      <c r="BL90">
        <f t="shared" si="127"/>
        <v>0</v>
      </c>
      <c r="BM90">
        <f t="shared" si="146"/>
        <v>0</v>
      </c>
      <c r="BN90">
        <f t="shared" si="147"/>
        <v>0</v>
      </c>
      <c r="BO90">
        <f t="shared" si="148"/>
        <v>1</v>
      </c>
      <c r="BP90">
        <f t="shared" si="149"/>
        <v>1</v>
      </c>
      <c r="BQ90">
        <f t="shared" si="150"/>
        <v>1</v>
      </c>
      <c r="BR90">
        <f t="shared" si="151"/>
        <v>1</v>
      </c>
      <c r="BS90">
        <f t="shared" si="152"/>
        <v>0</v>
      </c>
      <c r="BT90">
        <f t="shared" si="153"/>
        <v>0</v>
      </c>
      <c r="BU90">
        <f t="shared" si="154"/>
        <v>0</v>
      </c>
      <c r="BV90">
        <f t="shared" si="155"/>
        <v>0</v>
      </c>
      <c r="BW90">
        <f t="shared" si="156"/>
        <v>0</v>
      </c>
      <c r="BX90">
        <f t="shared" si="157"/>
        <v>1</v>
      </c>
      <c r="BY90">
        <f t="shared" si="158"/>
        <v>1</v>
      </c>
      <c r="BZ90">
        <f t="shared" si="159"/>
        <v>1</v>
      </c>
      <c r="CA90">
        <f t="shared" si="160"/>
        <v>0</v>
      </c>
      <c r="CB90">
        <f t="shared" si="161"/>
        <v>0</v>
      </c>
      <c r="CC90">
        <f t="shared" si="162"/>
        <v>0</v>
      </c>
      <c r="CD90">
        <f t="shared" si="163"/>
        <v>0</v>
      </c>
      <c r="CE90">
        <f t="shared" si="164"/>
        <v>0</v>
      </c>
      <c r="CF90">
        <f t="shared" si="165"/>
        <v>0</v>
      </c>
      <c r="CG90">
        <f t="shared" si="166"/>
        <v>0</v>
      </c>
      <c r="CH90">
        <f t="shared" si="131"/>
        <v>0</v>
      </c>
      <c r="CI90">
        <f t="shared" si="132"/>
        <v>5</v>
      </c>
      <c r="CJ90">
        <f t="shared" si="133"/>
        <v>4</v>
      </c>
      <c r="CK90">
        <f t="shared" si="134"/>
        <v>3</v>
      </c>
      <c r="CL90">
        <f t="shared" si="135"/>
        <v>12</v>
      </c>
    </row>
    <row r="91" spans="1:90">
      <c r="A91">
        <v>39</v>
      </c>
      <c r="B91">
        <v>1</v>
      </c>
      <c r="C91">
        <v>1</v>
      </c>
      <c r="D91">
        <v>1</v>
      </c>
      <c r="E91">
        <v>1</v>
      </c>
      <c r="F91" s="1">
        <v>22</v>
      </c>
      <c r="G91">
        <v>18</v>
      </c>
      <c r="H91">
        <v>3</v>
      </c>
      <c r="I91">
        <v>1.1413545</v>
      </c>
      <c r="J91">
        <v>1.0236235</v>
      </c>
      <c r="K91">
        <v>0.26787239999999995</v>
      </c>
      <c r="L91">
        <v>0</v>
      </c>
      <c r="M91">
        <v>0</v>
      </c>
      <c r="N91">
        <v>0.5312538</v>
      </c>
      <c r="O91">
        <v>0</v>
      </c>
      <c r="P91">
        <v>2.2990391999999997</v>
      </c>
      <c r="Q91">
        <v>0</v>
      </c>
      <c r="R91">
        <v>0</v>
      </c>
      <c r="S91">
        <v>0</v>
      </c>
      <c r="T91">
        <v>0</v>
      </c>
      <c r="U91">
        <v>4.8000000000000001E-2</v>
      </c>
      <c r="V91">
        <v>0.13602800000000001</v>
      </c>
      <c r="W91">
        <v>2.9353859999999998</v>
      </c>
      <c r="X91">
        <v>9.2205000000000009E-2</v>
      </c>
      <c r="Y91">
        <v>0</v>
      </c>
      <c r="Z91">
        <v>1.5544000000000001E-3</v>
      </c>
      <c r="AA91" s="1">
        <v>0</v>
      </c>
      <c r="AB91">
        <v>0</v>
      </c>
      <c r="AC91">
        <v>0</v>
      </c>
      <c r="AD91">
        <v>1.5014999999999999E-2</v>
      </c>
      <c r="AE91">
        <v>4.4999999999999998E-2</v>
      </c>
      <c r="AF91">
        <v>0.192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>
        <v>0</v>
      </c>
      <c r="AO91">
        <v>5</v>
      </c>
      <c r="AP91">
        <v>4</v>
      </c>
      <c r="AQ91">
        <v>4</v>
      </c>
      <c r="AR91">
        <v>13</v>
      </c>
      <c r="AS91">
        <f t="shared" si="167"/>
        <v>5.2631433999999997</v>
      </c>
      <c r="AT91">
        <f t="shared" si="128"/>
        <v>3.2116189999999998</v>
      </c>
      <c r="AU91">
        <f t="shared" si="129"/>
        <v>0.2535694</v>
      </c>
      <c r="AV91">
        <f t="shared" si="168"/>
        <v>8.7283317999999994</v>
      </c>
      <c r="AW91">
        <f t="shared" si="123"/>
        <v>0.21887835858990295</v>
      </c>
      <c r="AX91">
        <f t="shared" si="136"/>
        <v>4.5687477119363358</v>
      </c>
      <c r="AY91">
        <f t="shared" si="130"/>
        <v>13</v>
      </c>
      <c r="AZ91">
        <f t="shared" si="169"/>
        <v>8.7283317999999994</v>
      </c>
      <c r="BA91">
        <f t="shared" si="125"/>
        <v>0.21887835858990298</v>
      </c>
      <c r="BB91">
        <f t="shared" si="137"/>
        <v>4.5687477119363358</v>
      </c>
      <c r="BC91">
        <f t="shared" si="170"/>
        <v>1</v>
      </c>
      <c r="BD91">
        <f t="shared" si="138"/>
        <v>1</v>
      </c>
      <c r="BE91">
        <f t="shared" si="139"/>
        <v>1</v>
      </c>
      <c r="BF91">
        <f t="shared" si="140"/>
        <v>0</v>
      </c>
      <c r="BG91">
        <f t="shared" si="141"/>
        <v>0</v>
      </c>
      <c r="BH91">
        <f t="shared" si="142"/>
        <v>1</v>
      </c>
      <c r="BI91">
        <f t="shared" si="143"/>
        <v>0</v>
      </c>
      <c r="BJ91">
        <f t="shared" si="144"/>
        <v>1</v>
      </c>
      <c r="BK91">
        <f t="shared" si="145"/>
        <v>0</v>
      </c>
      <c r="BL91">
        <f t="shared" si="127"/>
        <v>0</v>
      </c>
      <c r="BM91">
        <f t="shared" si="146"/>
        <v>0</v>
      </c>
      <c r="BN91">
        <f t="shared" si="147"/>
        <v>0</v>
      </c>
      <c r="BO91">
        <f t="shared" si="148"/>
        <v>1</v>
      </c>
      <c r="BP91">
        <f t="shared" si="149"/>
        <v>1</v>
      </c>
      <c r="BQ91">
        <f t="shared" si="150"/>
        <v>1</v>
      </c>
      <c r="BR91">
        <f t="shared" si="151"/>
        <v>1</v>
      </c>
      <c r="BS91">
        <f t="shared" si="152"/>
        <v>0</v>
      </c>
      <c r="BT91">
        <f t="shared" si="153"/>
        <v>1</v>
      </c>
      <c r="BU91">
        <f t="shared" si="154"/>
        <v>0</v>
      </c>
      <c r="BV91">
        <f t="shared" si="155"/>
        <v>0</v>
      </c>
      <c r="BW91">
        <f t="shared" si="156"/>
        <v>0</v>
      </c>
      <c r="BX91">
        <f t="shared" si="157"/>
        <v>1</v>
      </c>
      <c r="BY91">
        <f t="shared" si="158"/>
        <v>1</v>
      </c>
      <c r="BZ91">
        <f t="shared" si="159"/>
        <v>1</v>
      </c>
      <c r="CA91">
        <f t="shared" si="160"/>
        <v>0</v>
      </c>
      <c r="CB91">
        <f t="shared" si="161"/>
        <v>0</v>
      </c>
      <c r="CC91">
        <f t="shared" si="162"/>
        <v>0</v>
      </c>
      <c r="CD91">
        <f t="shared" si="163"/>
        <v>0</v>
      </c>
      <c r="CE91">
        <f t="shared" si="164"/>
        <v>0</v>
      </c>
      <c r="CF91">
        <f t="shared" si="165"/>
        <v>0</v>
      </c>
      <c r="CG91">
        <f t="shared" si="166"/>
        <v>0</v>
      </c>
      <c r="CH91">
        <f t="shared" si="131"/>
        <v>0</v>
      </c>
      <c r="CI91">
        <f t="shared" si="132"/>
        <v>5</v>
      </c>
      <c r="CJ91">
        <f t="shared" si="133"/>
        <v>4</v>
      </c>
      <c r="CK91">
        <f t="shared" si="134"/>
        <v>4</v>
      </c>
      <c r="CL91">
        <f t="shared" si="135"/>
        <v>13</v>
      </c>
    </row>
    <row r="92" spans="1:90">
      <c r="A92">
        <v>91</v>
      </c>
      <c r="B92">
        <v>1</v>
      </c>
      <c r="C92">
        <v>1</v>
      </c>
      <c r="D92">
        <v>1</v>
      </c>
      <c r="E92">
        <v>0</v>
      </c>
      <c r="F92" s="1">
        <v>22</v>
      </c>
      <c r="G92">
        <v>18</v>
      </c>
      <c r="H92">
        <v>3</v>
      </c>
      <c r="I92">
        <v>0.50283449999999996</v>
      </c>
      <c r="J92">
        <v>0.44264799999999999</v>
      </c>
      <c r="K92" s="4">
        <v>0</v>
      </c>
      <c r="L92">
        <v>0.13807559999999999</v>
      </c>
      <c r="M92">
        <v>0</v>
      </c>
      <c r="N92">
        <v>1.5010028</v>
      </c>
      <c r="O92">
        <v>0</v>
      </c>
      <c r="P92">
        <v>2.3699971999999998</v>
      </c>
      <c r="Q92">
        <v>0.41850000000000004</v>
      </c>
      <c r="R92">
        <v>0</v>
      </c>
      <c r="S92">
        <v>7.5569999999999995E-3</v>
      </c>
      <c r="T92">
        <v>0</v>
      </c>
      <c r="U92">
        <v>0.128</v>
      </c>
      <c r="V92">
        <v>7.459600000000001E-2</v>
      </c>
      <c r="W92">
        <v>2.169</v>
      </c>
      <c r="X92">
        <v>3.9851999999999999E-2</v>
      </c>
      <c r="Y92">
        <v>0</v>
      </c>
      <c r="Z92">
        <v>1.9430000000000001E-4</v>
      </c>
      <c r="AA92" s="1">
        <v>0</v>
      </c>
      <c r="AB92">
        <v>3.0832999999999999E-2</v>
      </c>
      <c r="AC92">
        <v>0</v>
      </c>
      <c r="AD92">
        <v>6.1599999999999997E-3</v>
      </c>
      <c r="AE92">
        <v>0.09</v>
      </c>
      <c r="AF92">
        <v>6.4000000000000001E-2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>
        <v>0</v>
      </c>
      <c r="AO92">
        <v>5</v>
      </c>
      <c r="AP92">
        <v>7</v>
      </c>
      <c r="AQ92">
        <v>5</v>
      </c>
      <c r="AR92">
        <v>17</v>
      </c>
      <c r="AS92">
        <f t="shared" si="167"/>
        <v>4.9545580999999999</v>
      </c>
      <c r="AT92">
        <f t="shared" si="128"/>
        <v>2.8375050000000002</v>
      </c>
      <c r="AU92">
        <f t="shared" si="129"/>
        <v>0.1911873</v>
      </c>
      <c r="AV92">
        <f t="shared" si="168"/>
        <v>7.9832504000000011</v>
      </c>
      <c r="AW92">
        <f>(I92/AV92)^2+(J92/AV92)^2+(K92/AV92)^2+(L92/AV92)^2+(M92/AV92)^2+(N92/AV92)^2+(O92/AV92)^2+(P92/AV92)^2+(R92/AV92)^2+(Q92/AV92)^2+(S92/AV92)^2+(T92/AV92)^2+(U92/AV92)^2+(V92/AV92)^2+(W92/AV92)^2+(X92/AV92)^2+(Y92/AV92)^2+(Z92/AV92)^2+(AA92/AV92)^2+(AB92/AV92)^2+(AC92/AV92)^2+(AD92/AV92)^2+(AE92/AV92)^2+(AF92/AV92)^2+(AG92/AV92)^2+(AH92/AV92)^2+(AI92/AV92)^2+(AJ92/AV92)^2+(AK92/AV92)^2+(AL92/AV92)^2</f>
        <v>0.20796715740675156</v>
      </c>
      <c r="AX92">
        <f t="shared" si="136"/>
        <v>4.8084515481651504</v>
      </c>
      <c r="AY92">
        <f t="shared" si="130"/>
        <v>17</v>
      </c>
      <c r="AZ92">
        <f t="shared" si="169"/>
        <v>7.9832504000000011</v>
      </c>
      <c r="BA92">
        <f>(M92/AZ92)^2+(N92/AZ92)^2+(O92/AZ92)^2+(P92/AZ92)^2+(R92/AZ92)^2+(Q92/AZ92)^2+(S92/AZ92)^2+(T92/AZ92)^2+(U92/AZ92)^2+(V92/AZ92)^2+(W92/AZ92)^2+(X92/AZ92)^2+(Y92/AZ92)^2+(Z92/AZ92)^2+(AA92/AZ92)^2+(AB92/AZ92)^2+(AC92/AZ92)^2+(AD92/AZ92)^2+(AE92/AZ92)^2+(AF92/AZ92)^2+(I92/AZ92)^2+(J92/AZ92)^2+(K92/AZ92)^2+(L92/AZ92)^2</f>
        <v>0.20796715740675156</v>
      </c>
      <c r="BB92">
        <f t="shared" si="137"/>
        <v>4.8084515481651504</v>
      </c>
      <c r="BC92">
        <f t="shared" si="170"/>
        <v>1</v>
      </c>
      <c r="BD92">
        <f t="shared" si="138"/>
        <v>1</v>
      </c>
      <c r="BE92">
        <f t="shared" si="139"/>
        <v>0</v>
      </c>
      <c r="BF92">
        <f t="shared" si="140"/>
        <v>1</v>
      </c>
      <c r="BG92">
        <f t="shared" si="141"/>
        <v>0</v>
      </c>
      <c r="BH92">
        <f t="shared" si="142"/>
        <v>1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>IF(Q92=0,0,1)</f>
        <v>1</v>
      </c>
      <c r="BM92">
        <f t="shared" si="146"/>
        <v>1</v>
      </c>
      <c r="BN92">
        <f t="shared" si="147"/>
        <v>0</v>
      </c>
      <c r="BO92">
        <f t="shared" si="148"/>
        <v>1</v>
      </c>
      <c r="BP92">
        <f t="shared" si="149"/>
        <v>1</v>
      </c>
      <c r="BQ92">
        <f t="shared" si="150"/>
        <v>1</v>
      </c>
      <c r="BR92">
        <f t="shared" si="151"/>
        <v>1</v>
      </c>
      <c r="BS92">
        <f t="shared" si="152"/>
        <v>0</v>
      </c>
      <c r="BT92">
        <f t="shared" si="153"/>
        <v>1</v>
      </c>
      <c r="BU92">
        <f t="shared" si="154"/>
        <v>0</v>
      </c>
      <c r="BV92">
        <f t="shared" si="155"/>
        <v>1</v>
      </c>
      <c r="BW92">
        <f t="shared" si="156"/>
        <v>0</v>
      </c>
      <c r="BX92">
        <f t="shared" si="157"/>
        <v>1</v>
      </c>
      <c r="BY92">
        <f t="shared" si="158"/>
        <v>1</v>
      </c>
      <c r="BZ92">
        <f t="shared" si="159"/>
        <v>1</v>
      </c>
      <c r="CA92">
        <f t="shared" si="160"/>
        <v>0</v>
      </c>
      <c r="CB92">
        <f t="shared" si="161"/>
        <v>0</v>
      </c>
      <c r="CC92">
        <f t="shared" si="162"/>
        <v>0</v>
      </c>
      <c r="CD92">
        <f t="shared" si="163"/>
        <v>0</v>
      </c>
      <c r="CE92">
        <f t="shared" si="164"/>
        <v>0</v>
      </c>
      <c r="CF92">
        <f t="shared" si="165"/>
        <v>0</v>
      </c>
      <c r="CG92">
        <f t="shared" si="166"/>
        <v>0</v>
      </c>
      <c r="CH92">
        <f t="shared" si="131"/>
        <v>0</v>
      </c>
      <c r="CI92">
        <f t="shared" si="132"/>
        <v>5</v>
      </c>
      <c r="CJ92">
        <f t="shared" si="133"/>
        <v>7</v>
      </c>
      <c r="CK92">
        <f t="shared" si="134"/>
        <v>5</v>
      </c>
      <c r="CL92">
        <f t="shared" si="135"/>
        <v>17</v>
      </c>
    </row>
    <row r="93" spans="1:90">
      <c r="A93">
        <v>100</v>
      </c>
      <c r="B93">
        <v>1</v>
      </c>
      <c r="C93">
        <v>1</v>
      </c>
      <c r="D93">
        <v>1</v>
      </c>
      <c r="E93">
        <v>1</v>
      </c>
      <c r="F93" s="1">
        <v>22</v>
      </c>
      <c r="G93">
        <v>18</v>
      </c>
      <c r="H93">
        <v>3</v>
      </c>
      <c r="I93">
        <v>0</v>
      </c>
      <c r="J93">
        <v>0.35965150000000001</v>
      </c>
      <c r="K93">
        <v>0.98320399999999997</v>
      </c>
      <c r="L93">
        <v>0</v>
      </c>
      <c r="M93">
        <v>0</v>
      </c>
      <c r="N93">
        <v>1.0456424</v>
      </c>
      <c r="O93">
        <v>0</v>
      </c>
      <c r="P93">
        <v>2.3274223999999997</v>
      </c>
      <c r="Q93">
        <v>0</v>
      </c>
      <c r="R93">
        <v>0</v>
      </c>
      <c r="S93">
        <v>5.0379999999999999E-3</v>
      </c>
      <c r="T93">
        <v>0</v>
      </c>
      <c r="U93">
        <v>3.2000000000000001E-2</v>
      </c>
      <c r="V93">
        <v>0.17332600000000001</v>
      </c>
      <c r="W93">
        <v>5.3854619999999995</v>
      </c>
      <c r="X93">
        <v>0.99143000000000014</v>
      </c>
      <c r="Y93">
        <v>0</v>
      </c>
      <c r="Z93">
        <v>7.3834E-3</v>
      </c>
      <c r="AA93" s="1">
        <v>0</v>
      </c>
      <c r="AB93">
        <v>3.0832999999999999E-2</v>
      </c>
      <c r="AC93">
        <v>0</v>
      </c>
      <c r="AD93">
        <v>1.2704999999999999E-2</v>
      </c>
      <c r="AE93">
        <v>0.09</v>
      </c>
      <c r="AF93">
        <v>6.4000000000000001E-2</v>
      </c>
      <c r="AG93" s="2">
        <v>0</v>
      </c>
      <c r="AH93" s="2">
        <v>0</v>
      </c>
      <c r="AI93" s="2">
        <v>0</v>
      </c>
      <c r="AJ93" s="2">
        <v>2.6224999999999998E-2</v>
      </c>
      <c r="AK93" s="2">
        <v>0</v>
      </c>
      <c r="AL93" s="2">
        <v>0</v>
      </c>
      <c r="AM93" s="2">
        <v>0</v>
      </c>
      <c r="AN93">
        <v>1</v>
      </c>
      <c r="AO93">
        <v>4</v>
      </c>
      <c r="AP93">
        <v>5</v>
      </c>
      <c r="AQ93">
        <v>5</v>
      </c>
      <c r="AR93">
        <v>15</v>
      </c>
      <c r="AS93">
        <f t="shared" si="167"/>
        <v>4.7159202999999996</v>
      </c>
      <c r="AT93">
        <f t="shared" si="128"/>
        <v>6.587256</v>
      </c>
      <c r="AU93">
        <f t="shared" si="129"/>
        <v>0.2049214</v>
      </c>
      <c r="AV93">
        <f t="shared" si="168"/>
        <v>11.534322699999999</v>
      </c>
      <c r="AW93">
        <f t="shared" ref="AW93:AW109" si="171">(I93/AV93)^2+(J93/AV93)^2+(K93/AV93)^2+(L93/AV93)^2+(M93/AV93)^2+(N93/AV93)^2+(O93/AV93)^2+(P93/AV93)^2+(Q93/AV93)^2+(R93/AV93)^2+(S93/AV93)^2+(T93/AV93)^2+(U93/AV93)^2+(V93/AV93)^2+(W93/AV93)^2+(X93/AV93)^2+(Y93/AV93)^2+(Z93/AV93)^2+(AA93/AV93)^2+(AB93/AV93)^2+(AC93/AV93)^2+(AD93/AV93)^2+(AE93/AV93)^2+(AF93/AV93)^2+(AG93/AV93)^2+(AH93/AV93)^2+(AI93/AV93)^2+(AJ93/AV93)^2+(AK93/AV93)^2+(AL93/AV93)^2</f>
        <v>0.28290295113049391</v>
      </c>
      <c r="AX93">
        <f t="shared" si="136"/>
        <v>3.5347810830673612</v>
      </c>
      <c r="AY93">
        <f t="shared" si="130"/>
        <v>14</v>
      </c>
      <c r="AZ93">
        <f t="shared" si="169"/>
        <v>11.508097699999999</v>
      </c>
      <c r="BA93">
        <f t="shared" ref="BA93:BA109" si="172">(M93/AZ93)^2+(N93/AZ93)^2+(O93/AZ93)^2+(P93/AZ93)^2+(Q93/AZ93)^2+(R93/AZ93)^2+(S93/AZ93)^2+(T93/AZ93)^2+(U93/AZ93)^2+(V93/AZ93)^2+(W93/AZ93)^2+(X93/AZ93)^2+(Y93/AZ93)^2+(Z93/AZ93)^2+(AA93/AZ93)^2+(AB93/AZ93)^2+(AC93/AZ93)^2+(AD93/AZ93)^2+(AE93/AZ93)^2+(AF93/AZ93)^2+(I93/AZ93)^2+(J93/AZ93)^2+(K93/AZ93)^2+(L93/AZ93)^2</f>
        <v>0.28418860274631308</v>
      </c>
      <c r="BB93">
        <f t="shared" si="137"/>
        <v>3.518789952645184</v>
      </c>
      <c r="BC93">
        <f t="shared" si="170"/>
        <v>0</v>
      </c>
      <c r="BD93">
        <f t="shared" si="138"/>
        <v>1</v>
      </c>
      <c r="BE93">
        <f t="shared" si="139"/>
        <v>1</v>
      </c>
      <c r="BF93">
        <f t="shared" si="140"/>
        <v>0</v>
      </c>
      <c r="BG93">
        <f t="shared" si="141"/>
        <v>0</v>
      </c>
      <c r="BH93">
        <f t="shared" si="142"/>
        <v>1</v>
      </c>
      <c r="BI93">
        <f t="shared" si="143"/>
        <v>0</v>
      </c>
      <c r="BJ93">
        <f t="shared" si="144"/>
        <v>1</v>
      </c>
      <c r="BK93">
        <f t="shared" si="145"/>
        <v>0</v>
      </c>
      <c r="BL93">
        <f t="shared" ref="BL93:BL109" si="173">IF(R93=0,0,1)</f>
        <v>0</v>
      </c>
      <c r="BM93">
        <f t="shared" si="146"/>
        <v>1</v>
      </c>
      <c r="BN93">
        <f t="shared" si="147"/>
        <v>0</v>
      </c>
      <c r="BO93">
        <f t="shared" si="148"/>
        <v>1</v>
      </c>
      <c r="BP93">
        <f t="shared" si="149"/>
        <v>1</v>
      </c>
      <c r="BQ93">
        <f t="shared" si="150"/>
        <v>1</v>
      </c>
      <c r="BR93">
        <f t="shared" si="151"/>
        <v>1</v>
      </c>
      <c r="BS93">
        <f t="shared" si="152"/>
        <v>0</v>
      </c>
      <c r="BT93">
        <f t="shared" si="153"/>
        <v>1</v>
      </c>
      <c r="BU93">
        <f t="shared" si="154"/>
        <v>0</v>
      </c>
      <c r="BV93">
        <f t="shared" si="155"/>
        <v>1</v>
      </c>
      <c r="BW93">
        <f t="shared" si="156"/>
        <v>0</v>
      </c>
      <c r="BX93">
        <f t="shared" si="157"/>
        <v>1</v>
      </c>
      <c r="BY93">
        <f t="shared" si="158"/>
        <v>1</v>
      </c>
      <c r="BZ93">
        <f t="shared" si="159"/>
        <v>1</v>
      </c>
      <c r="CA93">
        <f t="shared" si="160"/>
        <v>0</v>
      </c>
      <c r="CB93">
        <f t="shared" si="161"/>
        <v>0</v>
      </c>
      <c r="CC93">
        <f t="shared" si="162"/>
        <v>0</v>
      </c>
      <c r="CD93">
        <f t="shared" si="163"/>
        <v>1</v>
      </c>
      <c r="CE93">
        <f t="shared" si="164"/>
        <v>0</v>
      </c>
      <c r="CF93">
        <f t="shared" si="165"/>
        <v>0</v>
      </c>
      <c r="CG93">
        <f t="shared" si="166"/>
        <v>0</v>
      </c>
      <c r="CH93">
        <f t="shared" si="131"/>
        <v>1</v>
      </c>
      <c r="CI93">
        <f t="shared" si="132"/>
        <v>4</v>
      </c>
      <c r="CJ93">
        <f t="shared" si="133"/>
        <v>5</v>
      </c>
      <c r="CK93">
        <f t="shared" si="134"/>
        <v>5</v>
      </c>
      <c r="CL93">
        <f t="shared" si="135"/>
        <v>15</v>
      </c>
    </row>
    <row r="94" spans="1:90">
      <c r="A94">
        <v>29</v>
      </c>
      <c r="B94">
        <v>1</v>
      </c>
      <c r="C94">
        <v>1</v>
      </c>
      <c r="D94">
        <v>1</v>
      </c>
      <c r="E94">
        <v>0</v>
      </c>
      <c r="F94" s="1">
        <v>23</v>
      </c>
      <c r="G94">
        <v>18</v>
      </c>
      <c r="H94">
        <v>3</v>
      </c>
      <c r="I94">
        <v>0</v>
      </c>
      <c r="J94">
        <v>0.94062699999999988</v>
      </c>
      <c r="K94">
        <v>0</v>
      </c>
      <c r="L94">
        <v>0</v>
      </c>
      <c r="M94">
        <v>0</v>
      </c>
      <c r="N94">
        <v>1.5684636000000001</v>
      </c>
      <c r="O94">
        <v>0</v>
      </c>
      <c r="P94">
        <v>1.8165247999999998</v>
      </c>
      <c r="Q94">
        <v>0</v>
      </c>
      <c r="R94">
        <v>2.2949999999999999</v>
      </c>
      <c r="S94">
        <v>1.2595E-2</v>
      </c>
      <c r="T94">
        <v>0.22388666666666668</v>
      </c>
      <c r="U94">
        <v>3.2000000000000001E-2</v>
      </c>
      <c r="V94">
        <v>5.4850000000000003E-2</v>
      </c>
      <c r="W94">
        <v>0</v>
      </c>
      <c r="X94" s="1">
        <v>0.31268600000000002</v>
      </c>
      <c r="Y94">
        <v>8.3500000000000005E-2</v>
      </c>
      <c r="Z94">
        <v>6.2176000000000002E-3</v>
      </c>
      <c r="AA94">
        <v>0</v>
      </c>
      <c r="AB94">
        <v>0</v>
      </c>
      <c r="AC94">
        <v>6.150000000000001E-3</v>
      </c>
      <c r="AD94">
        <v>1.9249999999999998E-3</v>
      </c>
      <c r="AE94">
        <v>0</v>
      </c>
      <c r="AF94">
        <v>0</v>
      </c>
      <c r="AG94" s="2">
        <v>0</v>
      </c>
      <c r="AH94" s="2">
        <v>5.0000000000000001E-3</v>
      </c>
      <c r="AI94" s="2">
        <v>0</v>
      </c>
      <c r="AJ94" s="2">
        <v>2.6224999999999998E-2</v>
      </c>
      <c r="AK94" s="2">
        <v>0</v>
      </c>
      <c r="AL94" s="2">
        <v>0</v>
      </c>
      <c r="AM94" s="2">
        <v>0</v>
      </c>
      <c r="AN94">
        <v>2</v>
      </c>
      <c r="AO94">
        <v>3</v>
      </c>
      <c r="AP94">
        <v>6</v>
      </c>
      <c r="AQ94">
        <v>4</v>
      </c>
      <c r="AR94">
        <v>15</v>
      </c>
      <c r="AS94">
        <f t="shared" si="167"/>
        <v>4.3256154000000002</v>
      </c>
      <c r="AT94">
        <f t="shared" si="128"/>
        <v>2.9310176666666665</v>
      </c>
      <c r="AU94">
        <f t="shared" si="129"/>
        <v>9.7792600000000007E-2</v>
      </c>
      <c r="AV94">
        <f t="shared" si="168"/>
        <v>7.3856506666666677</v>
      </c>
      <c r="AW94">
        <f t="shared" si="171"/>
        <v>0.22130114814257076</v>
      </c>
      <c r="AX94">
        <f t="shared" si="136"/>
        <v>4.518729380273081</v>
      </c>
      <c r="AY94">
        <f t="shared" si="130"/>
        <v>13</v>
      </c>
      <c r="AZ94">
        <f t="shared" si="169"/>
        <v>7.3544256666666676</v>
      </c>
      <c r="BA94">
        <f t="shared" si="172"/>
        <v>0.22317113519986506</v>
      </c>
      <c r="BB94">
        <f t="shared" si="137"/>
        <v>4.4808662155364827</v>
      </c>
      <c r="BC94">
        <f t="shared" si="170"/>
        <v>0</v>
      </c>
      <c r="BD94">
        <f t="shared" si="138"/>
        <v>1</v>
      </c>
      <c r="BE94">
        <f t="shared" si="139"/>
        <v>0</v>
      </c>
      <c r="BF94">
        <f t="shared" si="140"/>
        <v>0</v>
      </c>
      <c r="BG94">
        <f t="shared" si="141"/>
        <v>0</v>
      </c>
      <c r="BH94">
        <f t="shared" si="142"/>
        <v>1</v>
      </c>
      <c r="BI94">
        <f t="shared" si="143"/>
        <v>0</v>
      </c>
      <c r="BJ94">
        <f t="shared" si="144"/>
        <v>1</v>
      </c>
      <c r="BK94">
        <f t="shared" si="145"/>
        <v>0</v>
      </c>
      <c r="BL94">
        <f t="shared" si="173"/>
        <v>1</v>
      </c>
      <c r="BM94">
        <f t="shared" si="146"/>
        <v>1</v>
      </c>
      <c r="BN94">
        <f t="shared" si="147"/>
        <v>1</v>
      </c>
      <c r="BO94">
        <f t="shared" si="148"/>
        <v>1</v>
      </c>
      <c r="BP94">
        <f t="shared" si="149"/>
        <v>1</v>
      </c>
      <c r="BQ94">
        <f t="shared" si="150"/>
        <v>0</v>
      </c>
      <c r="BR94">
        <f t="shared" si="151"/>
        <v>1</v>
      </c>
      <c r="BS94">
        <f t="shared" si="152"/>
        <v>1</v>
      </c>
      <c r="BT94">
        <f t="shared" si="153"/>
        <v>1</v>
      </c>
      <c r="BU94">
        <f t="shared" si="154"/>
        <v>0</v>
      </c>
      <c r="BV94">
        <f t="shared" si="155"/>
        <v>0</v>
      </c>
      <c r="BW94">
        <f t="shared" si="156"/>
        <v>1</v>
      </c>
      <c r="BX94">
        <f t="shared" si="157"/>
        <v>1</v>
      </c>
      <c r="BY94">
        <f t="shared" si="158"/>
        <v>0</v>
      </c>
      <c r="BZ94">
        <f t="shared" si="159"/>
        <v>0</v>
      </c>
      <c r="CA94">
        <f t="shared" si="160"/>
        <v>0</v>
      </c>
      <c r="CB94">
        <f t="shared" si="161"/>
        <v>1</v>
      </c>
      <c r="CC94">
        <f t="shared" si="162"/>
        <v>0</v>
      </c>
      <c r="CD94">
        <f t="shared" si="163"/>
        <v>1</v>
      </c>
      <c r="CE94">
        <f t="shared" si="164"/>
        <v>0</v>
      </c>
      <c r="CF94">
        <f t="shared" si="165"/>
        <v>0</v>
      </c>
      <c r="CG94">
        <f t="shared" si="166"/>
        <v>0</v>
      </c>
      <c r="CH94">
        <f t="shared" si="131"/>
        <v>2</v>
      </c>
      <c r="CI94">
        <f t="shared" si="132"/>
        <v>3</v>
      </c>
      <c r="CJ94">
        <f t="shared" si="133"/>
        <v>6</v>
      </c>
      <c r="CK94">
        <f t="shared" si="134"/>
        <v>4</v>
      </c>
      <c r="CL94">
        <f t="shared" si="135"/>
        <v>15</v>
      </c>
    </row>
    <row r="95" spans="1:90">
      <c r="A95">
        <v>37</v>
      </c>
      <c r="B95">
        <v>1</v>
      </c>
      <c r="C95">
        <v>1</v>
      </c>
      <c r="D95">
        <v>1</v>
      </c>
      <c r="E95">
        <v>1</v>
      </c>
      <c r="F95" s="1">
        <v>23</v>
      </c>
      <c r="G95">
        <v>18</v>
      </c>
      <c r="H95">
        <v>3</v>
      </c>
      <c r="I95">
        <v>0</v>
      </c>
      <c r="J95">
        <v>1.6599299999999999</v>
      </c>
      <c r="K95">
        <v>0</v>
      </c>
      <c r="L95">
        <v>2.3366640000000001E-2</v>
      </c>
      <c r="M95">
        <v>0</v>
      </c>
      <c r="N95">
        <v>0.40476479999999998</v>
      </c>
      <c r="O95">
        <v>0</v>
      </c>
      <c r="P95">
        <v>0.79472959999999992</v>
      </c>
      <c r="Q95">
        <v>0</v>
      </c>
      <c r="R95">
        <v>1.73475</v>
      </c>
      <c r="S95">
        <v>0</v>
      </c>
      <c r="T95">
        <v>4.7300000000000002E-2</v>
      </c>
      <c r="U95">
        <v>1.6E-2</v>
      </c>
      <c r="V95">
        <v>1.7552000000000002E-2</v>
      </c>
      <c r="W95">
        <v>0</v>
      </c>
      <c r="X95" s="1">
        <v>3.7401000000000004E-2</v>
      </c>
      <c r="Y95">
        <v>6.1199999999999997E-2</v>
      </c>
      <c r="Z95">
        <v>4.4689000000000005E-3</v>
      </c>
      <c r="AA95">
        <v>0</v>
      </c>
      <c r="AB95">
        <v>0</v>
      </c>
      <c r="AC95">
        <v>0</v>
      </c>
      <c r="AD95">
        <v>3.0799999999999998E-3</v>
      </c>
      <c r="AE95">
        <v>0.13500000000000001</v>
      </c>
      <c r="AF95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>
        <v>0</v>
      </c>
      <c r="AO95">
        <v>4</v>
      </c>
      <c r="AP95">
        <v>5</v>
      </c>
      <c r="AQ95">
        <v>4</v>
      </c>
      <c r="AR95">
        <v>13</v>
      </c>
      <c r="AS95">
        <f t="shared" si="167"/>
        <v>2.8827910399999999</v>
      </c>
      <c r="AT95">
        <f t="shared" si="128"/>
        <v>1.853003</v>
      </c>
      <c r="AU95">
        <f t="shared" si="129"/>
        <v>0.20374890000000001</v>
      </c>
      <c r="AV95">
        <f t="shared" si="168"/>
        <v>4.9395429399999999</v>
      </c>
      <c r="AW95">
        <f t="shared" si="171"/>
        <v>0.26996508637538136</v>
      </c>
      <c r="AX95">
        <f t="shared" si="136"/>
        <v>3.7041826905332451</v>
      </c>
      <c r="AY95">
        <f t="shared" si="130"/>
        <v>13</v>
      </c>
      <c r="AZ95">
        <f t="shared" si="169"/>
        <v>4.9395429399999999</v>
      </c>
      <c r="BA95">
        <f t="shared" si="172"/>
        <v>0.26996508637538141</v>
      </c>
      <c r="BB95">
        <f t="shared" si="137"/>
        <v>3.7041826905332442</v>
      </c>
      <c r="BC95">
        <f t="shared" si="170"/>
        <v>0</v>
      </c>
      <c r="BD95">
        <f t="shared" si="138"/>
        <v>1</v>
      </c>
      <c r="BE95">
        <f t="shared" si="139"/>
        <v>0</v>
      </c>
      <c r="BF95">
        <f t="shared" si="140"/>
        <v>1</v>
      </c>
      <c r="BG95">
        <f t="shared" si="141"/>
        <v>0</v>
      </c>
      <c r="BH95">
        <f t="shared" si="142"/>
        <v>1</v>
      </c>
      <c r="BI95">
        <f t="shared" si="143"/>
        <v>0</v>
      </c>
      <c r="BJ95">
        <f t="shared" si="144"/>
        <v>1</v>
      </c>
      <c r="BK95">
        <f t="shared" si="145"/>
        <v>0</v>
      </c>
      <c r="BL95">
        <f t="shared" si="173"/>
        <v>1</v>
      </c>
      <c r="BM95">
        <f t="shared" si="146"/>
        <v>0</v>
      </c>
      <c r="BN95">
        <f t="shared" si="147"/>
        <v>1</v>
      </c>
      <c r="BO95">
        <f t="shared" si="148"/>
        <v>1</v>
      </c>
      <c r="BP95">
        <f t="shared" si="149"/>
        <v>1</v>
      </c>
      <c r="BQ95">
        <f t="shared" si="150"/>
        <v>0</v>
      </c>
      <c r="BR95">
        <f t="shared" si="151"/>
        <v>1</v>
      </c>
      <c r="BS95">
        <f t="shared" si="152"/>
        <v>1</v>
      </c>
      <c r="BT95">
        <f t="shared" si="153"/>
        <v>1</v>
      </c>
      <c r="BU95">
        <f t="shared" si="154"/>
        <v>0</v>
      </c>
      <c r="BV95">
        <f t="shared" si="155"/>
        <v>0</v>
      </c>
      <c r="BW95">
        <f t="shared" si="156"/>
        <v>0</v>
      </c>
      <c r="BX95">
        <f t="shared" si="157"/>
        <v>1</v>
      </c>
      <c r="BY95">
        <f t="shared" si="158"/>
        <v>1</v>
      </c>
      <c r="BZ95">
        <f t="shared" si="159"/>
        <v>0</v>
      </c>
      <c r="CA95">
        <f t="shared" si="160"/>
        <v>0</v>
      </c>
      <c r="CB95">
        <f t="shared" si="161"/>
        <v>0</v>
      </c>
      <c r="CC95">
        <f t="shared" si="162"/>
        <v>0</v>
      </c>
      <c r="CD95">
        <f t="shared" si="163"/>
        <v>0</v>
      </c>
      <c r="CE95">
        <f t="shared" si="164"/>
        <v>0</v>
      </c>
      <c r="CF95">
        <f t="shared" si="165"/>
        <v>0</v>
      </c>
      <c r="CG95">
        <f t="shared" si="166"/>
        <v>0</v>
      </c>
      <c r="CH95">
        <f t="shared" si="131"/>
        <v>0</v>
      </c>
      <c r="CI95">
        <f t="shared" si="132"/>
        <v>4</v>
      </c>
      <c r="CJ95">
        <f t="shared" si="133"/>
        <v>5</v>
      </c>
      <c r="CK95">
        <f t="shared" si="134"/>
        <v>4</v>
      </c>
      <c r="CL95">
        <f t="shared" si="135"/>
        <v>13</v>
      </c>
    </row>
    <row r="96" spans="1:90">
      <c r="A96">
        <v>60</v>
      </c>
      <c r="B96">
        <v>1</v>
      </c>
      <c r="C96">
        <v>1</v>
      </c>
      <c r="D96">
        <v>1</v>
      </c>
      <c r="E96">
        <v>0</v>
      </c>
      <c r="F96" s="1">
        <v>23</v>
      </c>
      <c r="G96">
        <v>18</v>
      </c>
      <c r="H96">
        <v>3</v>
      </c>
      <c r="I96">
        <v>0</v>
      </c>
      <c r="J96">
        <v>1.1342854999999998</v>
      </c>
      <c r="K96">
        <v>0</v>
      </c>
      <c r="L96">
        <v>0</v>
      </c>
      <c r="M96">
        <v>0</v>
      </c>
      <c r="N96">
        <v>1.4841376000000002</v>
      </c>
      <c r="O96">
        <v>0</v>
      </c>
      <c r="P96">
        <v>2.3132307999999999</v>
      </c>
      <c r="Q96">
        <v>6.4125000000000001E-2</v>
      </c>
      <c r="R96">
        <v>0</v>
      </c>
      <c r="S96">
        <v>0</v>
      </c>
      <c r="T96">
        <v>0.24596000000000001</v>
      </c>
      <c r="U96">
        <v>3.2000000000000001E-2</v>
      </c>
      <c r="V96">
        <v>2.1940000000000001E-2</v>
      </c>
      <c r="W96">
        <v>0</v>
      </c>
      <c r="X96" s="1">
        <v>2.3713949999999997</v>
      </c>
      <c r="Y96">
        <v>4.5899999999999996E-2</v>
      </c>
      <c r="Z96">
        <v>6.0233000000000005E-3</v>
      </c>
      <c r="AA96">
        <v>0</v>
      </c>
      <c r="AB96">
        <v>3.0832999999999999E-2</v>
      </c>
      <c r="AC96">
        <v>2.0500000000000002E-3</v>
      </c>
      <c r="AD96">
        <v>2.31E-3</v>
      </c>
      <c r="AE96">
        <v>4.4999999999999998E-2</v>
      </c>
      <c r="AF96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>
        <v>0</v>
      </c>
      <c r="AO96">
        <v>3</v>
      </c>
      <c r="AP96">
        <v>5</v>
      </c>
      <c r="AQ96">
        <v>6</v>
      </c>
      <c r="AR96">
        <v>14</v>
      </c>
      <c r="AS96">
        <f t="shared" si="167"/>
        <v>4.9316539000000006</v>
      </c>
      <c r="AT96">
        <f t="shared" ref="AT96:AT109" si="174">SUM(Q96:X96)</f>
        <v>2.7354199999999995</v>
      </c>
      <c r="AU96">
        <f t="shared" si="129"/>
        <v>0.13211630000000002</v>
      </c>
      <c r="AV96">
        <f t="shared" si="168"/>
        <v>7.7991901999999991</v>
      </c>
      <c r="AW96">
        <f t="shared" si="171"/>
        <v>0.23895594246941917</v>
      </c>
      <c r="AX96">
        <f t="shared" si="136"/>
        <v>4.1848718624270109</v>
      </c>
      <c r="AY96">
        <f t="shared" si="130"/>
        <v>14</v>
      </c>
      <c r="AZ96">
        <f t="shared" si="169"/>
        <v>7.7991901999999991</v>
      </c>
      <c r="BA96">
        <f t="shared" si="172"/>
        <v>0.23895594246941917</v>
      </c>
      <c r="BB96">
        <f t="shared" si="137"/>
        <v>4.1848718624270109</v>
      </c>
      <c r="BC96">
        <f t="shared" si="170"/>
        <v>0</v>
      </c>
      <c r="BD96">
        <f t="shared" si="138"/>
        <v>1</v>
      </c>
      <c r="BE96">
        <f t="shared" si="139"/>
        <v>0</v>
      </c>
      <c r="BF96">
        <f t="shared" si="140"/>
        <v>0</v>
      </c>
      <c r="BG96">
        <f t="shared" si="141"/>
        <v>0</v>
      </c>
      <c r="BH96">
        <f t="shared" si="142"/>
        <v>1</v>
      </c>
      <c r="BI96">
        <f t="shared" si="143"/>
        <v>0</v>
      </c>
      <c r="BJ96">
        <f t="shared" si="144"/>
        <v>1</v>
      </c>
      <c r="BK96">
        <f t="shared" si="145"/>
        <v>1</v>
      </c>
      <c r="BL96">
        <f t="shared" si="173"/>
        <v>0</v>
      </c>
      <c r="BM96">
        <f t="shared" si="146"/>
        <v>0</v>
      </c>
      <c r="BN96">
        <f t="shared" si="147"/>
        <v>1</v>
      </c>
      <c r="BO96">
        <f t="shared" si="148"/>
        <v>1</v>
      </c>
      <c r="BP96">
        <f t="shared" si="149"/>
        <v>1</v>
      </c>
      <c r="BQ96">
        <f t="shared" si="150"/>
        <v>0</v>
      </c>
      <c r="BR96">
        <f t="shared" si="151"/>
        <v>1</v>
      </c>
      <c r="BS96">
        <f t="shared" si="152"/>
        <v>1</v>
      </c>
      <c r="BT96">
        <f t="shared" si="153"/>
        <v>1</v>
      </c>
      <c r="BU96">
        <f t="shared" si="154"/>
        <v>0</v>
      </c>
      <c r="BV96">
        <f t="shared" si="155"/>
        <v>1</v>
      </c>
      <c r="BW96">
        <f t="shared" si="156"/>
        <v>1</v>
      </c>
      <c r="BX96">
        <f t="shared" si="157"/>
        <v>1</v>
      </c>
      <c r="BY96">
        <f t="shared" si="158"/>
        <v>1</v>
      </c>
      <c r="BZ96">
        <f t="shared" si="159"/>
        <v>0</v>
      </c>
      <c r="CA96">
        <f t="shared" si="160"/>
        <v>0</v>
      </c>
      <c r="CB96">
        <f t="shared" si="161"/>
        <v>0</v>
      </c>
      <c r="CC96">
        <f t="shared" si="162"/>
        <v>0</v>
      </c>
      <c r="CD96">
        <f t="shared" si="163"/>
        <v>0</v>
      </c>
      <c r="CE96">
        <f t="shared" si="164"/>
        <v>0</v>
      </c>
      <c r="CF96">
        <f t="shared" si="165"/>
        <v>0</v>
      </c>
      <c r="CG96">
        <f t="shared" si="166"/>
        <v>0</v>
      </c>
      <c r="CH96">
        <f t="shared" si="131"/>
        <v>0</v>
      </c>
      <c r="CI96">
        <f t="shared" si="132"/>
        <v>3</v>
      </c>
      <c r="CJ96">
        <f t="shared" si="133"/>
        <v>5</v>
      </c>
      <c r="CK96">
        <f t="shared" si="134"/>
        <v>6</v>
      </c>
      <c r="CL96">
        <f t="shared" si="135"/>
        <v>14</v>
      </c>
    </row>
    <row r="97" spans="1:90">
      <c r="A97">
        <v>80</v>
      </c>
      <c r="B97">
        <v>1</v>
      </c>
      <c r="C97">
        <v>1</v>
      </c>
      <c r="D97">
        <v>1</v>
      </c>
      <c r="E97">
        <v>1</v>
      </c>
      <c r="F97" s="1">
        <v>23</v>
      </c>
      <c r="G97">
        <v>18</v>
      </c>
      <c r="H97">
        <v>3</v>
      </c>
      <c r="I97">
        <v>0</v>
      </c>
      <c r="J97">
        <v>0.69163749999999991</v>
      </c>
      <c r="K97">
        <v>0</v>
      </c>
      <c r="L97">
        <v>0</v>
      </c>
      <c r="M97">
        <v>0</v>
      </c>
      <c r="N97">
        <v>0.4553604</v>
      </c>
      <c r="O97">
        <v>0</v>
      </c>
      <c r="P97">
        <v>2.0435903999999998</v>
      </c>
      <c r="Q97">
        <v>0</v>
      </c>
      <c r="R97">
        <v>2.5514999999999999</v>
      </c>
      <c r="S97">
        <v>7.5569999999999995E-3</v>
      </c>
      <c r="T97">
        <v>0.11667333333333334</v>
      </c>
      <c r="U97">
        <v>9.6000000000000002E-2</v>
      </c>
      <c r="V97">
        <v>6.5820000000000004E-2</v>
      </c>
      <c r="W97">
        <v>0</v>
      </c>
      <c r="X97">
        <v>0</v>
      </c>
      <c r="Y97">
        <v>4.5899999999999996E-2</v>
      </c>
      <c r="Z97">
        <v>6.6062000000000004E-3</v>
      </c>
      <c r="AA97">
        <v>0</v>
      </c>
      <c r="AB97">
        <v>3.0832999999999999E-2</v>
      </c>
      <c r="AC97">
        <v>0</v>
      </c>
      <c r="AD97">
        <v>3.8499999999999998E-4</v>
      </c>
      <c r="AE97">
        <v>0.22500000000000001</v>
      </c>
      <c r="AF97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>
        <v>0</v>
      </c>
      <c r="AO97">
        <v>3</v>
      </c>
      <c r="AP97">
        <v>5</v>
      </c>
      <c r="AQ97">
        <v>5</v>
      </c>
      <c r="AR97">
        <v>13</v>
      </c>
      <c r="AS97">
        <f t="shared" si="167"/>
        <v>3.1905882999999999</v>
      </c>
      <c r="AT97">
        <f t="shared" si="174"/>
        <v>2.8375503333333332</v>
      </c>
      <c r="AU97">
        <f t="shared" si="129"/>
        <v>0.3087242</v>
      </c>
      <c r="AV97">
        <f t="shared" si="168"/>
        <v>6.336862833333333</v>
      </c>
      <c r="AW97">
        <f t="shared" si="171"/>
        <v>0.28521571232568982</v>
      </c>
      <c r="AX97">
        <f t="shared" si="136"/>
        <v>3.5061182003118154</v>
      </c>
      <c r="AY97">
        <f t="shared" si="130"/>
        <v>13</v>
      </c>
      <c r="AZ97">
        <f t="shared" si="169"/>
        <v>6.336862833333333</v>
      </c>
      <c r="BA97">
        <f t="shared" si="172"/>
        <v>0.28521571232568982</v>
      </c>
      <c r="BB97">
        <f t="shared" si="137"/>
        <v>3.5061182003118154</v>
      </c>
      <c r="BC97">
        <f t="shared" si="170"/>
        <v>0</v>
      </c>
      <c r="BD97">
        <f t="shared" si="138"/>
        <v>1</v>
      </c>
      <c r="BE97">
        <f t="shared" si="139"/>
        <v>0</v>
      </c>
      <c r="BF97">
        <f t="shared" si="140"/>
        <v>0</v>
      </c>
      <c r="BG97">
        <f t="shared" si="141"/>
        <v>0</v>
      </c>
      <c r="BH97">
        <f t="shared" si="142"/>
        <v>1</v>
      </c>
      <c r="BI97">
        <f t="shared" si="143"/>
        <v>0</v>
      </c>
      <c r="BJ97">
        <f t="shared" si="144"/>
        <v>1</v>
      </c>
      <c r="BK97">
        <f t="shared" si="145"/>
        <v>0</v>
      </c>
      <c r="BL97">
        <f t="shared" si="173"/>
        <v>1</v>
      </c>
      <c r="BM97">
        <f t="shared" si="146"/>
        <v>1</v>
      </c>
      <c r="BN97">
        <f t="shared" si="147"/>
        <v>1</v>
      </c>
      <c r="BO97">
        <f t="shared" si="148"/>
        <v>1</v>
      </c>
      <c r="BP97">
        <f t="shared" si="149"/>
        <v>1</v>
      </c>
      <c r="BQ97">
        <f t="shared" si="150"/>
        <v>0</v>
      </c>
      <c r="BR97">
        <f t="shared" si="151"/>
        <v>0</v>
      </c>
      <c r="BS97">
        <f t="shared" si="152"/>
        <v>1</v>
      </c>
      <c r="BT97">
        <f t="shared" si="153"/>
        <v>1</v>
      </c>
      <c r="BU97">
        <f t="shared" si="154"/>
        <v>0</v>
      </c>
      <c r="BV97">
        <f t="shared" si="155"/>
        <v>1</v>
      </c>
      <c r="BW97">
        <f t="shared" si="156"/>
        <v>0</v>
      </c>
      <c r="BX97">
        <f t="shared" si="157"/>
        <v>1</v>
      </c>
      <c r="BY97">
        <f t="shared" si="158"/>
        <v>1</v>
      </c>
      <c r="BZ97">
        <f t="shared" si="159"/>
        <v>0</v>
      </c>
      <c r="CA97">
        <f t="shared" si="160"/>
        <v>0</v>
      </c>
      <c r="CB97">
        <f t="shared" si="161"/>
        <v>0</v>
      </c>
      <c r="CC97">
        <f t="shared" si="162"/>
        <v>0</v>
      </c>
      <c r="CD97">
        <f t="shared" si="163"/>
        <v>0</v>
      </c>
      <c r="CE97">
        <f t="shared" si="164"/>
        <v>0</v>
      </c>
      <c r="CF97">
        <f t="shared" si="165"/>
        <v>0</v>
      </c>
      <c r="CG97">
        <f t="shared" si="166"/>
        <v>0</v>
      </c>
      <c r="CH97">
        <f t="shared" si="131"/>
        <v>0</v>
      </c>
      <c r="CI97">
        <f t="shared" si="132"/>
        <v>3</v>
      </c>
      <c r="CJ97">
        <f t="shared" si="133"/>
        <v>5</v>
      </c>
      <c r="CK97">
        <f t="shared" si="134"/>
        <v>5</v>
      </c>
      <c r="CL97">
        <f t="shared" si="135"/>
        <v>13</v>
      </c>
    </row>
    <row r="98" spans="1:90">
      <c r="A98">
        <v>7</v>
      </c>
      <c r="B98">
        <v>1</v>
      </c>
      <c r="C98">
        <v>1</v>
      </c>
      <c r="D98">
        <v>1</v>
      </c>
      <c r="E98">
        <v>0</v>
      </c>
      <c r="F98" s="1">
        <v>24</v>
      </c>
      <c r="G98">
        <v>18</v>
      </c>
      <c r="H98">
        <v>3</v>
      </c>
      <c r="I98">
        <v>0.51720120000000003</v>
      </c>
      <c r="J98">
        <v>3.0708704999999998</v>
      </c>
      <c r="K98">
        <v>0.55572400000000011</v>
      </c>
      <c r="L98">
        <v>5.3106E-2</v>
      </c>
      <c r="M98">
        <v>0</v>
      </c>
      <c r="N98">
        <v>0</v>
      </c>
      <c r="O98">
        <v>0</v>
      </c>
      <c r="P98">
        <v>0</v>
      </c>
      <c r="Q98">
        <v>1.5390000000000001</v>
      </c>
      <c r="R98">
        <v>0</v>
      </c>
      <c r="S98">
        <v>7.5569999999999995E-3</v>
      </c>
      <c r="T98">
        <v>0</v>
      </c>
      <c r="U98">
        <v>1.6E-2</v>
      </c>
      <c r="V98">
        <v>5.0462000000000007E-2</v>
      </c>
      <c r="W98">
        <v>1.8707069999999999</v>
      </c>
      <c r="X98">
        <v>0</v>
      </c>
      <c r="Y98">
        <v>0</v>
      </c>
      <c r="Z98">
        <v>2.3316000000000001E-3</v>
      </c>
      <c r="AA98" s="4">
        <v>0</v>
      </c>
      <c r="AB98">
        <v>0</v>
      </c>
      <c r="AC98">
        <v>0</v>
      </c>
      <c r="AD98" s="1">
        <v>2.31E-3</v>
      </c>
      <c r="AE98">
        <v>0</v>
      </c>
      <c r="AF98">
        <v>0.25600000000000001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>
        <v>0</v>
      </c>
      <c r="AO98">
        <v>4</v>
      </c>
      <c r="AP98">
        <v>5</v>
      </c>
      <c r="AQ98">
        <v>3</v>
      </c>
      <c r="AR98">
        <v>12</v>
      </c>
      <c r="AS98">
        <f t="shared" si="167"/>
        <v>4.1969016999999997</v>
      </c>
      <c r="AT98">
        <f t="shared" si="174"/>
        <v>3.4837259999999999</v>
      </c>
      <c r="AU98">
        <f t="shared" ref="AU98:AU109" si="175">SUM(Y98:AF98)</f>
        <v>0.26064160000000003</v>
      </c>
      <c r="AV98">
        <f t="shared" si="168"/>
        <v>7.9412692999999983</v>
      </c>
      <c r="AW98">
        <f t="shared" si="171"/>
        <v>0.2528530581766511</v>
      </c>
      <c r="AX98">
        <f t="shared" si="136"/>
        <v>3.9548661472046289</v>
      </c>
      <c r="AY98">
        <f t="shared" ref="AY98:AY109" si="176">AO98+AP98+AQ98</f>
        <v>12</v>
      </c>
      <c r="AZ98">
        <f t="shared" si="169"/>
        <v>7.9412692999999983</v>
      </c>
      <c r="BA98">
        <f t="shared" si="172"/>
        <v>0.25285305817665105</v>
      </c>
      <c r="BB98">
        <f t="shared" si="137"/>
        <v>3.9548661472046298</v>
      </c>
      <c r="BC98">
        <f t="shared" si="170"/>
        <v>1</v>
      </c>
      <c r="BD98">
        <f t="shared" si="138"/>
        <v>1</v>
      </c>
      <c r="BE98">
        <f t="shared" si="139"/>
        <v>1</v>
      </c>
      <c r="BF98">
        <f t="shared" si="140"/>
        <v>1</v>
      </c>
      <c r="BG98">
        <f t="shared" si="141"/>
        <v>0</v>
      </c>
      <c r="BH98">
        <f t="shared" si="142"/>
        <v>0</v>
      </c>
      <c r="BI98">
        <f t="shared" si="143"/>
        <v>0</v>
      </c>
      <c r="BJ98">
        <f t="shared" si="144"/>
        <v>0</v>
      </c>
      <c r="BK98">
        <f t="shared" si="145"/>
        <v>1</v>
      </c>
      <c r="BL98">
        <f t="shared" si="173"/>
        <v>0</v>
      </c>
      <c r="BM98">
        <f t="shared" si="146"/>
        <v>1</v>
      </c>
      <c r="BN98">
        <f t="shared" si="147"/>
        <v>0</v>
      </c>
      <c r="BO98">
        <f t="shared" si="148"/>
        <v>1</v>
      </c>
      <c r="BP98">
        <f t="shared" si="149"/>
        <v>1</v>
      </c>
      <c r="BQ98">
        <f t="shared" si="150"/>
        <v>1</v>
      </c>
      <c r="BR98">
        <f t="shared" si="151"/>
        <v>0</v>
      </c>
      <c r="BS98">
        <f t="shared" si="152"/>
        <v>0</v>
      </c>
      <c r="BT98">
        <f t="shared" si="153"/>
        <v>1</v>
      </c>
      <c r="BU98">
        <f t="shared" si="154"/>
        <v>0</v>
      </c>
      <c r="BV98">
        <f t="shared" si="155"/>
        <v>0</v>
      </c>
      <c r="BW98">
        <f t="shared" si="156"/>
        <v>0</v>
      </c>
      <c r="BX98">
        <f t="shared" si="157"/>
        <v>1</v>
      </c>
      <c r="BY98">
        <f t="shared" si="158"/>
        <v>0</v>
      </c>
      <c r="BZ98">
        <f t="shared" si="159"/>
        <v>1</v>
      </c>
      <c r="CA98">
        <f t="shared" si="160"/>
        <v>0</v>
      </c>
      <c r="CB98">
        <f t="shared" si="161"/>
        <v>0</v>
      </c>
      <c r="CC98">
        <f t="shared" si="162"/>
        <v>0</v>
      </c>
      <c r="CD98">
        <f t="shared" si="163"/>
        <v>0</v>
      </c>
      <c r="CE98">
        <f t="shared" si="164"/>
        <v>0</v>
      </c>
      <c r="CF98">
        <f t="shared" si="165"/>
        <v>0</v>
      </c>
      <c r="CG98">
        <f t="shared" si="166"/>
        <v>0</v>
      </c>
      <c r="CH98">
        <f t="shared" ref="CH98:CH129" si="177">CA98+CB98+CC98+CD98+CE98+CF98+CG98</f>
        <v>0</v>
      </c>
      <c r="CI98">
        <f t="shared" ref="CI98:CI109" si="178">SUM(BC98:BJ98)</f>
        <v>4</v>
      </c>
      <c r="CJ98">
        <f t="shared" ref="CJ98:CJ109" si="179">SUM(BK98:BR98)</f>
        <v>5</v>
      </c>
      <c r="CK98">
        <f t="shared" ref="CK98:CK109" si="180">SUM(BS98:BZ98)</f>
        <v>3</v>
      </c>
      <c r="CL98">
        <f t="shared" ref="CL98:CL129" si="181">SUM(CH98:CK98)</f>
        <v>12</v>
      </c>
    </row>
    <row r="99" spans="1:90">
      <c r="A99">
        <v>23</v>
      </c>
      <c r="B99">
        <v>1</v>
      </c>
      <c r="C99">
        <v>1</v>
      </c>
      <c r="D99">
        <v>1</v>
      </c>
      <c r="E99">
        <v>1</v>
      </c>
      <c r="F99" s="1">
        <v>24</v>
      </c>
      <c r="G99">
        <v>18</v>
      </c>
      <c r="H99">
        <v>3</v>
      </c>
      <c r="I99">
        <v>0.42301949999999999</v>
      </c>
      <c r="J99">
        <v>2.8772120000000001</v>
      </c>
      <c r="K99">
        <v>0.66259400000000002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0.47925000000000001</v>
      </c>
      <c r="S99">
        <v>7.5569999999999995E-3</v>
      </c>
      <c r="T99">
        <v>0</v>
      </c>
      <c r="U99">
        <v>1.6E-2</v>
      </c>
      <c r="V99">
        <v>9.4342000000000009E-2</v>
      </c>
      <c r="W99">
        <v>19.359650999999999</v>
      </c>
      <c r="X99">
        <v>0</v>
      </c>
      <c r="Y99">
        <v>1.5299999999999999E-2</v>
      </c>
      <c r="Z99">
        <v>0</v>
      </c>
      <c r="AA99" s="4">
        <v>0</v>
      </c>
      <c r="AB99">
        <v>0</v>
      </c>
      <c r="AC99">
        <v>0</v>
      </c>
      <c r="AD99">
        <v>0</v>
      </c>
      <c r="AE99">
        <v>0.09</v>
      </c>
      <c r="AF99">
        <v>0.192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>
        <v>0</v>
      </c>
      <c r="AO99">
        <v>3</v>
      </c>
      <c r="AP99">
        <v>5</v>
      </c>
      <c r="AQ99">
        <v>3</v>
      </c>
      <c r="AR99">
        <v>11</v>
      </c>
      <c r="AS99">
        <f t="shared" si="167"/>
        <v>3.9628255000000001</v>
      </c>
      <c r="AT99">
        <f t="shared" si="174"/>
        <v>19.956800000000001</v>
      </c>
      <c r="AU99">
        <f t="shared" si="175"/>
        <v>0.29730000000000001</v>
      </c>
      <c r="AV99">
        <f t="shared" si="168"/>
        <v>24.216925500000002</v>
      </c>
      <c r="AW99">
        <f t="shared" si="171"/>
        <v>0.65473663035395202</v>
      </c>
      <c r="AX99">
        <f t="shared" si="136"/>
        <v>1.5273316836716435</v>
      </c>
      <c r="AY99">
        <f t="shared" si="176"/>
        <v>11</v>
      </c>
      <c r="AZ99">
        <f t="shared" si="169"/>
        <v>24.216925500000002</v>
      </c>
      <c r="BA99">
        <f t="shared" si="172"/>
        <v>0.65473663035395191</v>
      </c>
      <c r="BB99">
        <f t="shared" si="137"/>
        <v>1.5273316836716437</v>
      </c>
      <c r="BC99">
        <f t="shared" si="170"/>
        <v>1</v>
      </c>
      <c r="BD99">
        <f t="shared" si="138"/>
        <v>1</v>
      </c>
      <c r="BE99">
        <f t="shared" si="139"/>
        <v>1</v>
      </c>
      <c r="BF99">
        <f t="shared" si="140"/>
        <v>0</v>
      </c>
      <c r="BG99">
        <f t="shared" si="141"/>
        <v>0</v>
      </c>
      <c r="BH99">
        <f t="shared" si="142"/>
        <v>0</v>
      </c>
      <c r="BI99">
        <f t="shared" si="143"/>
        <v>0</v>
      </c>
      <c r="BJ99">
        <f t="shared" si="144"/>
        <v>0</v>
      </c>
      <c r="BK99">
        <f t="shared" si="145"/>
        <v>0</v>
      </c>
      <c r="BL99">
        <f t="shared" si="173"/>
        <v>1</v>
      </c>
      <c r="BM99">
        <f t="shared" si="146"/>
        <v>1</v>
      </c>
      <c r="BN99">
        <f t="shared" si="147"/>
        <v>0</v>
      </c>
      <c r="BO99">
        <f t="shared" si="148"/>
        <v>1</v>
      </c>
      <c r="BP99">
        <f t="shared" si="149"/>
        <v>1</v>
      </c>
      <c r="BQ99">
        <f t="shared" si="150"/>
        <v>1</v>
      </c>
      <c r="BR99">
        <f t="shared" si="151"/>
        <v>0</v>
      </c>
      <c r="BS99">
        <f t="shared" si="152"/>
        <v>1</v>
      </c>
      <c r="BT99">
        <f t="shared" si="153"/>
        <v>0</v>
      </c>
      <c r="BU99">
        <f t="shared" si="154"/>
        <v>0</v>
      </c>
      <c r="BV99">
        <f t="shared" si="155"/>
        <v>0</v>
      </c>
      <c r="BW99">
        <f t="shared" si="156"/>
        <v>0</v>
      </c>
      <c r="BX99">
        <f t="shared" si="157"/>
        <v>0</v>
      </c>
      <c r="BY99">
        <f t="shared" si="158"/>
        <v>1</v>
      </c>
      <c r="BZ99">
        <f t="shared" si="159"/>
        <v>1</v>
      </c>
      <c r="CA99">
        <f t="shared" si="160"/>
        <v>0</v>
      </c>
      <c r="CB99">
        <f t="shared" si="161"/>
        <v>0</v>
      </c>
      <c r="CC99">
        <f t="shared" si="162"/>
        <v>0</v>
      </c>
      <c r="CD99">
        <f t="shared" si="163"/>
        <v>0</v>
      </c>
      <c r="CE99">
        <f t="shared" si="164"/>
        <v>0</v>
      </c>
      <c r="CF99">
        <f t="shared" si="165"/>
        <v>0</v>
      </c>
      <c r="CG99">
        <f t="shared" si="166"/>
        <v>0</v>
      </c>
      <c r="CH99">
        <f t="shared" si="177"/>
        <v>0</v>
      </c>
      <c r="CI99">
        <f t="shared" si="178"/>
        <v>3</v>
      </c>
      <c r="CJ99">
        <f t="shared" si="179"/>
        <v>5</v>
      </c>
      <c r="CK99">
        <f t="shared" si="180"/>
        <v>3</v>
      </c>
      <c r="CL99">
        <f t="shared" si="181"/>
        <v>11</v>
      </c>
    </row>
    <row r="100" spans="1:90">
      <c r="A100">
        <v>72</v>
      </c>
      <c r="B100">
        <v>1</v>
      </c>
      <c r="C100">
        <v>1</v>
      </c>
      <c r="D100">
        <v>1</v>
      </c>
      <c r="E100">
        <v>0</v>
      </c>
      <c r="F100" s="1">
        <v>24</v>
      </c>
      <c r="G100">
        <v>18</v>
      </c>
      <c r="H100">
        <v>3</v>
      </c>
      <c r="I100">
        <v>0.69439049999999991</v>
      </c>
      <c r="J100">
        <v>0.80229949999999994</v>
      </c>
      <c r="K100">
        <v>0.66259400000000002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3.3750000000000002E-2</v>
      </c>
      <c r="R100">
        <v>0.98550000000000004</v>
      </c>
      <c r="S100">
        <v>0</v>
      </c>
      <c r="T100">
        <v>0</v>
      </c>
      <c r="U100">
        <v>1.6E-2</v>
      </c>
      <c r="V100">
        <v>1.3164000000000002E-2</v>
      </c>
      <c r="W100">
        <v>5.4043380000000001</v>
      </c>
      <c r="X100">
        <v>0</v>
      </c>
      <c r="Y100">
        <v>3.0599999999999999E-2</v>
      </c>
      <c r="Z100">
        <v>4.2745999999999999E-3</v>
      </c>
      <c r="AA100" s="4">
        <v>0</v>
      </c>
      <c r="AB100">
        <v>0</v>
      </c>
      <c r="AC100">
        <v>0</v>
      </c>
      <c r="AD100">
        <v>0</v>
      </c>
      <c r="AE100">
        <v>0.09</v>
      </c>
      <c r="AF100">
        <v>6.4000000000000001E-2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>
        <v>0</v>
      </c>
      <c r="AO100">
        <v>3</v>
      </c>
      <c r="AP100">
        <v>5</v>
      </c>
      <c r="AQ100">
        <v>4</v>
      </c>
      <c r="AR100">
        <v>12</v>
      </c>
      <c r="AS100">
        <f t="shared" si="167"/>
        <v>2.159284</v>
      </c>
      <c r="AT100">
        <f t="shared" si="174"/>
        <v>6.4527520000000003</v>
      </c>
      <c r="AU100">
        <f t="shared" si="175"/>
        <v>0.1888746</v>
      </c>
      <c r="AV100">
        <f t="shared" si="168"/>
        <v>8.8009105999999999</v>
      </c>
      <c r="AW100">
        <f t="shared" si="171"/>
        <v>0.41000930447025341</v>
      </c>
      <c r="AX100">
        <f t="shared" ref="AX100:AX131" si="182">1/AW100</f>
        <v>2.4389690406953948</v>
      </c>
      <c r="AY100">
        <f t="shared" si="176"/>
        <v>12</v>
      </c>
      <c r="AZ100">
        <f t="shared" si="169"/>
        <v>8.8009105999999999</v>
      </c>
      <c r="BA100">
        <f t="shared" si="172"/>
        <v>0.41000930447025336</v>
      </c>
      <c r="BB100">
        <f t="shared" ref="BB100:BB131" si="183">1/BA100</f>
        <v>2.4389690406953952</v>
      </c>
      <c r="BC100">
        <f t="shared" si="170"/>
        <v>1</v>
      </c>
      <c r="BD100">
        <f t="shared" si="138"/>
        <v>1</v>
      </c>
      <c r="BE100">
        <f t="shared" si="139"/>
        <v>1</v>
      </c>
      <c r="BF100">
        <f t="shared" si="140"/>
        <v>0</v>
      </c>
      <c r="BG100">
        <f t="shared" si="141"/>
        <v>0</v>
      </c>
      <c r="BH100">
        <f t="shared" si="142"/>
        <v>0</v>
      </c>
      <c r="BI100">
        <f t="shared" si="143"/>
        <v>0</v>
      </c>
      <c r="BJ100">
        <f t="shared" si="144"/>
        <v>0</v>
      </c>
      <c r="BK100">
        <f t="shared" si="145"/>
        <v>1</v>
      </c>
      <c r="BL100">
        <f t="shared" si="173"/>
        <v>1</v>
      </c>
      <c r="BM100">
        <f t="shared" si="146"/>
        <v>0</v>
      </c>
      <c r="BN100">
        <f t="shared" si="147"/>
        <v>0</v>
      </c>
      <c r="BO100">
        <f t="shared" si="148"/>
        <v>1</v>
      </c>
      <c r="BP100">
        <f t="shared" si="149"/>
        <v>1</v>
      </c>
      <c r="BQ100">
        <f t="shared" si="150"/>
        <v>1</v>
      </c>
      <c r="BR100">
        <f t="shared" si="151"/>
        <v>0</v>
      </c>
      <c r="BS100">
        <f t="shared" si="152"/>
        <v>1</v>
      </c>
      <c r="BT100">
        <f t="shared" si="153"/>
        <v>1</v>
      </c>
      <c r="BU100">
        <f t="shared" si="154"/>
        <v>0</v>
      </c>
      <c r="BV100">
        <f t="shared" si="155"/>
        <v>0</v>
      </c>
      <c r="BW100">
        <f t="shared" si="156"/>
        <v>0</v>
      </c>
      <c r="BX100">
        <f t="shared" si="157"/>
        <v>0</v>
      </c>
      <c r="BY100">
        <f t="shared" si="158"/>
        <v>1</v>
      </c>
      <c r="BZ100">
        <f t="shared" si="159"/>
        <v>1</v>
      </c>
      <c r="CA100">
        <f t="shared" si="160"/>
        <v>0</v>
      </c>
      <c r="CB100">
        <f t="shared" si="161"/>
        <v>0</v>
      </c>
      <c r="CC100">
        <f t="shared" si="162"/>
        <v>0</v>
      </c>
      <c r="CD100">
        <f t="shared" si="163"/>
        <v>0</v>
      </c>
      <c r="CE100">
        <f t="shared" si="164"/>
        <v>0</v>
      </c>
      <c r="CF100">
        <f t="shared" si="165"/>
        <v>0</v>
      </c>
      <c r="CG100">
        <f t="shared" si="166"/>
        <v>0</v>
      </c>
      <c r="CH100">
        <f t="shared" si="177"/>
        <v>0</v>
      </c>
      <c r="CI100">
        <f t="shared" si="178"/>
        <v>3</v>
      </c>
      <c r="CJ100">
        <f t="shared" si="179"/>
        <v>5</v>
      </c>
      <c r="CK100">
        <f t="shared" si="180"/>
        <v>4</v>
      </c>
      <c r="CL100">
        <f t="shared" si="181"/>
        <v>12</v>
      </c>
    </row>
    <row r="101" spans="1:90">
      <c r="A101">
        <v>84</v>
      </c>
      <c r="B101">
        <v>1</v>
      </c>
      <c r="C101">
        <v>1</v>
      </c>
      <c r="D101">
        <v>1</v>
      </c>
      <c r="E101">
        <v>1</v>
      </c>
      <c r="F101" s="1">
        <v>24</v>
      </c>
      <c r="G101">
        <v>18</v>
      </c>
      <c r="H101">
        <v>3</v>
      </c>
      <c r="I101">
        <v>2.4183944999999998</v>
      </c>
      <c r="J101">
        <v>1.7705919999999999</v>
      </c>
      <c r="K101">
        <v>0.83358600000000005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1.11375</v>
      </c>
      <c r="S101">
        <v>1.0076E-2</v>
      </c>
      <c r="T101">
        <v>0</v>
      </c>
      <c r="U101">
        <v>1.6E-2</v>
      </c>
      <c r="V101">
        <v>0</v>
      </c>
      <c r="W101">
        <v>2.4265409999999998</v>
      </c>
      <c r="X101">
        <v>0</v>
      </c>
      <c r="Y101">
        <v>0</v>
      </c>
      <c r="Z101">
        <v>9.7150000000000003E-4</v>
      </c>
      <c r="AA101" s="4">
        <v>0</v>
      </c>
      <c r="AB101">
        <v>3.0832999999999999E-2</v>
      </c>
      <c r="AC101">
        <v>0</v>
      </c>
      <c r="AD101" s="1">
        <v>1.5399999999999999E-3</v>
      </c>
      <c r="AE101">
        <v>4.4999999999999998E-2</v>
      </c>
      <c r="AF101">
        <v>0</v>
      </c>
      <c r="AG101" s="2">
        <v>0</v>
      </c>
      <c r="AH101" s="2">
        <v>0</v>
      </c>
      <c r="AI101" s="2">
        <v>0</v>
      </c>
      <c r="AJ101" s="2">
        <v>2.6224999999999998E-2</v>
      </c>
      <c r="AK101" s="2">
        <v>0</v>
      </c>
      <c r="AL101" s="2">
        <v>0</v>
      </c>
      <c r="AM101" s="2">
        <v>0</v>
      </c>
      <c r="AN101">
        <v>1</v>
      </c>
      <c r="AO101">
        <v>3</v>
      </c>
      <c r="AP101">
        <v>4</v>
      </c>
      <c r="AQ101">
        <v>4</v>
      </c>
      <c r="AR101">
        <v>12</v>
      </c>
      <c r="AS101">
        <f t="shared" si="167"/>
        <v>5.0225724999999999</v>
      </c>
      <c r="AT101">
        <f t="shared" si="174"/>
        <v>3.5663669999999996</v>
      </c>
      <c r="AU101">
        <f t="shared" si="175"/>
        <v>7.8344499999999997E-2</v>
      </c>
      <c r="AV101">
        <f t="shared" si="168"/>
        <v>8.6935090000000006</v>
      </c>
      <c r="AW101">
        <f t="shared" si="171"/>
        <v>0.22243587597541761</v>
      </c>
      <c r="AX101">
        <f t="shared" si="182"/>
        <v>4.4956776671696366</v>
      </c>
      <c r="AY101">
        <f t="shared" si="176"/>
        <v>11</v>
      </c>
      <c r="AZ101">
        <f t="shared" si="169"/>
        <v>8.6672840000000004</v>
      </c>
      <c r="BA101">
        <f t="shared" si="172"/>
        <v>0.22377482619726063</v>
      </c>
      <c r="BB101">
        <f t="shared" si="183"/>
        <v>4.4687779094440501</v>
      </c>
      <c r="BC101">
        <f t="shared" si="170"/>
        <v>1</v>
      </c>
      <c r="BD101">
        <f t="shared" si="138"/>
        <v>1</v>
      </c>
      <c r="BE101">
        <f t="shared" si="139"/>
        <v>1</v>
      </c>
      <c r="BF101">
        <f t="shared" si="140"/>
        <v>0</v>
      </c>
      <c r="BG101">
        <f t="shared" si="141"/>
        <v>0</v>
      </c>
      <c r="BH101">
        <f t="shared" si="142"/>
        <v>0</v>
      </c>
      <c r="BI101">
        <f t="shared" si="143"/>
        <v>0</v>
      </c>
      <c r="BJ101">
        <f t="shared" si="144"/>
        <v>0</v>
      </c>
      <c r="BK101">
        <f t="shared" si="145"/>
        <v>0</v>
      </c>
      <c r="BL101">
        <f t="shared" si="173"/>
        <v>1</v>
      </c>
      <c r="BM101">
        <f t="shared" si="146"/>
        <v>1</v>
      </c>
      <c r="BN101">
        <f t="shared" si="147"/>
        <v>0</v>
      </c>
      <c r="BO101">
        <f t="shared" si="148"/>
        <v>1</v>
      </c>
      <c r="BP101">
        <f t="shared" si="149"/>
        <v>0</v>
      </c>
      <c r="BQ101">
        <f t="shared" si="150"/>
        <v>1</v>
      </c>
      <c r="BR101">
        <f t="shared" si="151"/>
        <v>0</v>
      </c>
      <c r="BS101">
        <f t="shared" si="152"/>
        <v>0</v>
      </c>
      <c r="BT101">
        <f t="shared" si="153"/>
        <v>1</v>
      </c>
      <c r="BU101">
        <f t="shared" si="154"/>
        <v>0</v>
      </c>
      <c r="BV101">
        <f t="shared" si="155"/>
        <v>1</v>
      </c>
      <c r="BW101">
        <f t="shared" si="156"/>
        <v>0</v>
      </c>
      <c r="BX101">
        <f t="shared" si="157"/>
        <v>1</v>
      </c>
      <c r="BY101">
        <f t="shared" si="158"/>
        <v>1</v>
      </c>
      <c r="BZ101">
        <f t="shared" si="159"/>
        <v>0</v>
      </c>
      <c r="CA101">
        <f t="shared" si="160"/>
        <v>0</v>
      </c>
      <c r="CB101">
        <f t="shared" si="161"/>
        <v>0</v>
      </c>
      <c r="CC101">
        <f t="shared" si="162"/>
        <v>0</v>
      </c>
      <c r="CD101">
        <f t="shared" si="163"/>
        <v>1</v>
      </c>
      <c r="CE101">
        <f t="shared" si="164"/>
        <v>0</v>
      </c>
      <c r="CF101">
        <f t="shared" si="165"/>
        <v>0</v>
      </c>
      <c r="CG101">
        <f t="shared" si="166"/>
        <v>0</v>
      </c>
      <c r="CH101">
        <f t="shared" si="177"/>
        <v>1</v>
      </c>
      <c r="CI101">
        <f t="shared" si="178"/>
        <v>3</v>
      </c>
      <c r="CJ101">
        <f t="shared" si="179"/>
        <v>4</v>
      </c>
      <c r="CK101">
        <f t="shared" si="180"/>
        <v>4</v>
      </c>
      <c r="CL101">
        <f t="shared" si="181"/>
        <v>12</v>
      </c>
    </row>
    <row r="102" spans="1:90">
      <c r="A102">
        <v>10</v>
      </c>
      <c r="B102">
        <v>1</v>
      </c>
      <c r="C102">
        <v>1</v>
      </c>
      <c r="D102">
        <v>1</v>
      </c>
      <c r="E102">
        <v>0</v>
      </c>
      <c r="F102" s="1">
        <v>25</v>
      </c>
      <c r="G102">
        <v>18</v>
      </c>
      <c r="H102">
        <v>3</v>
      </c>
      <c r="I102">
        <v>0.31127849999999996</v>
      </c>
      <c r="J102">
        <v>1.7982574999999998</v>
      </c>
      <c r="K102">
        <v>0.598472</v>
      </c>
      <c r="L102">
        <v>0</v>
      </c>
      <c r="M102">
        <v>0</v>
      </c>
      <c r="N102">
        <v>1.2901878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0.18920000000000001</v>
      </c>
      <c r="U102">
        <v>1.6E-2</v>
      </c>
      <c r="V102">
        <v>2.1940000000000001E-2</v>
      </c>
      <c r="W102">
        <v>5.1118920000000001</v>
      </c>
      <c r="X102">
        <v>0.81429200000000002</v>
      </c>
      <c r="Y102">
        <v>0.19889999999999999</v>
      </c>
      <c r="Z102">
        <v>1.5544000000000001E-3</v>
      </c>
      <c r="AA102" s="1">
        <v>0</v>
      </c>
      <c r="AB102">
        <v>0</v>
      </c>
      <c r="AC102">
        <v>2.0500000000000002E-3</v>
      </c>
      <c r="AD102">
        <v>2.6949999999999999E-3</v>
      </c>
      <c r="AE102">
        <v>0.18</v>
      </c>
      <c r="AF102">
        <v>0</v>
      </c>
      <c r="AG102" s="2">
        <v>0</v>
      </c>
      <c r="AH102" s="2">
        <v>0</v>
      </c>
      <c r="AI102" s="2">
        <v>0</v>
      </c>
      <c r="AJ102" s="2">
        <v>7.8674999999999995E-2</v>
      </c>
      <c r="AK102" s="2">
        <v>0</v>
      </c>
      <c r="AL102" s="2">
        <v>0</v>
      </c>
      <c r="AM102" s="2">
        <v>0</v>
      </c>
      <c r="AN102">
        <v>1</v>
      </c>
      <c r="AO102">
        <v>4</v>
      </c>
      <c r="AP102">
        <v>5</v>
      </c>
      <c r="AQ102">
        <v>5</v>
      </c>
      <c r="AR102">
        <v>15</v>
      </c>
      <c r="AS102">
        <f t="shared" si="167"/>
        <v>3.9981958</v>
      </c>
      <c r="AT102">
        <f t="shared" si="174"/>
        <v>6.1533240000000005</v>
      </c>
      <c r="AU102">
        <f t="shared" si="175"/>
        <v>0.38519939999999997</v>
      </c>
      <c r="AV102">
        <f t="shared" si="168"/>
        <v>10.615394200000001</v>
      </c>
      <c r="AW102">
        <f t="shared" si="171"/>
        <v>0.2863036907534327</v>
      </c>
      <c r="AX102">
        <f t="shared" si="182"/>
        <v>3.4927946523092812</v>
      </c>
      <c r="AY102">
        <f t="shared" si="176"/>
        <v>14</v>
      </c>
      <c r="AZ102">
        <f t="shared" si="169"/>
        <v>10.5367192</v>
      </c>
      <c r="BA102">
        <f t="shared" si="172"/>
        <v>0.29053941410432443</v>
      </c>
      <c r="BB102">
        <f t="shared" si="183"/>
        <v>3.4418738093859047</v>
      </c>
      <c r="BC102">
        <f t="shared" si="170"/>
        <v>1</v>
      </c>
      <c r="BD102">
        <f t="shared" si="138"/>
        <v>1</v>
      </c>
      <c r="BE102">
        <f t="shared" si="139"/>
        <v>1</v>
      </c>
      <c r="BF102">
        <f t="shared" si="140"/>
        <v>0</v>
      </c>
      <c r="BG102">
        <f t="shared" si="141"/>
        <v>0</v>
      </c>
      <c r="BH102">
        <f t="shared" si="142"/>
        <v>1</v>
      </c>
      <c r="BI102">
        <f t="shared" si="143"/>
        <v>0</v>
      </c>
      <c r="BJ102">
        <f t="shared" si="144"/>
        <v>0</v>
      </c>
      <c r="BK102">
        <f t="shared" si="145"/>
        <v>0</v>
      </c>
      <c r="BL102">
        <f t="shared" si="173"/>
        <v>0</v>
      </c>
      <c r="BM102">
        <f t="shared" si="146"/>
        <v>0</v>
      </c>
      <c r="BN102">
        <f t="shared" si="147"/>
        <v>1</v>
      </c>
      <c r="BO102">
        <f t="shared" si="148"/>
        <v>1</v>
      </c>
      <c r="BP102">
        <f t="shared" si="149"/>
        <v>1</v>
      </c>
      <c r="BQ102">
        <f t="shared" si="150"/>
        <v>1</v>
      </c>
      <c r="BR102">
        <f t="shared" si="151"/>
        <v>1</v>
      </c>
      <c r="BS102">
        <f t="shared" si="152"/>
        <v>1</v>
      </c>
      <c r="BT102">
        <f t="shared" si="153"/>
        <v>1</v>
      </c>
      <c r="BU102">
        <f t="shared" si="154"/>
        <v>0</v>
      </c>
      <c r="BV102">
        <f t="shared" si="155"/>
        <v>0</v>
      </c>
      <c r="BW102">
        <f t="shared" si="156"/>
        <v>1</v>
      </c>
      <c r="BX102">
        <f t="shared" si="157"/>
        <v>1</v>
      </c>
      <c r="BY102">
        <f t="shared" si="158"/>
        <v>1</v>
      </c>
      <c r="BZ102">
        <f t="shared" si="159"/>
        <v>0</v>
      </c>
      <c r="CA102">
        <f t="shared" si="160"/>
        <v>0</v>
      </c>
      <c r="CB102">
        <f t="shared" si="161"/>
        <v>0</v>
      </c>
      <c r="CC102">
        <f t="shared" si="162"/>
        <v>0</v>
      </c>
      <c r="CD102">
        <f t="shared" si="163"/>
        <v>1</v>
      </c>
      <c r="CE102">
        <f t="shared" si="164"/>
        <v>0</v>
      </c>
      <c r="CF102">
        <f t="shared" si="165"/>
        <v>0</v>
      </c>
      <c r="CG102">
        <f t="shared" si="166"/>
        <v>0</v>
      </c>
      <c r="CH102">
        <f t="shared" si="177"/>
        <v>1</v>
      </c>
      <c r="CI102">
        <f t="shared" si="178"/>
        <v>4</v>
      </c>
      <c r="CJ102">
        <f t="shared" si="179"/>
        <v>5</v>
      </c>
      <c r="CK102">
        <f t="shared" si="180"/>
        <v>5</v>
      </c>
      <c r="CL102">
        <f t="shared" si="181"/>
        <v>15</v>
      </c>
    </row>
    <row r="103" spans="1:90">
      <c r="A103">
        <v>13</v>
      </c>
      <c r="B103">
        <v>1</v>
      </c>
      <c r="C103">
        <v>1</v>
      </c>
      <c r="D103">
        <v>1</v>
      </c>
      <c r="E103">
        <v>1</v>
      </c>
      <c r="F103" s="1">
        <v>25</v>
      </c>
      <c r="G103">
        <v>18</v>
      </c>
      <c r="H103">
        <v>3</v>
      </c>
      <c r="I103">
        <v>0.69439049999999991</v>
      </c>
      <c r="J103">
        <v>0.99595800000000001</v>
      </c>
      <c r="K103">
        <v>0.83358600000000005</v>
      </c>
      <c r="L103">
        <v>0</v>
      </c>
      <c r="M103">
        <v>0</v>
      </c>
      <c r="N103">
        <v>1.1046705999999999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0.40678000000000003</v>
      </c>
      <c r="U103">
        <v>1.6E-2</v>
      </c>
      <c r="V103">
        <v>3.7298000000000005E-2</v>
      </c>
      <c r="W103">
        <v>7.9009350000000005</v>
      </c>
      <c r="X103">
        <v>1.201514</v>
      </c>
      <c r="Y103">
        <v>6.1199999999999997E-2</v>
      </c>
      <c r="Z103">
        <v>7.9663000000000008E-3</v>
      </c>
      <c r="AA103" s="1">
        <v>0</v>
      </c>
      <c r="AB103">
        <v>0</v>
      </c>
      <c r="AC103">
        <v>4.1000000000000003E-3</v>
      </c>
      <c r="AD103">
        <v>3.8499999999999997E-3</v>
      </c>
      <c r="AE103">
        <v>4.4999999999999998E-2</v>
      </c>
      <c r="AF103">
        <v>0</v>
      </c>
      <c r="AG103" s="2">
        <v>0</v>
      </c>
      <c r="AH103" s="2">
        <v>0</v>
      </c>
      <c r="AI103" s="2">
        <v>0</v>
      </c>
      <c r="AJ103" s="2">
        <v>2.6224999999999998E-2</v>
      </c>
      <c r="AK103" s="2">
        <v>0</v>
      </c>
      <c r="AL103" s="2">
        <v>0</v>
      </c>
      <c r="AM103" s="2">
        <v>0</v>
      </c>
      <c r="AN103">
        <v>1</v>
      </c>
      <c r="AO103">
        <v>4</v>
      </c>
      <c r="AP103">
        <v>5</v>
      </c>
      <c r="AQ103">
        <v>5</v>
      </c>
      <c r="AR103">
        <v>15</v>
      </c>
      <c r="AS103">
        <f t="shared" si="167"/>
        <v>3.6286050999999997</v>
      </c>
      <c r="AT103">
        <f t="shared" si="174"/>
        <v>9.5625269999999993</v>
      </c>
      <c r="AU103">
        <f t="shared" si="175"/>
        <v>0.12211630000000001</v>
      </c>
      <c r="AV103">
        <f t="shared" si="168"/>
        <v>13.339473399999999</v>
      </c>
      <c r="AW103">
        <f t="shared" si="171"/>
        <v>0.37895226379404284</v>
      </c>
      <c r="AX103">
        <f t="shared" si="182"/>
        <v>2.6388547992511557</v>
      </c>
      <c r="AY103">
        <f t="shared" si="176"/>
        <v>14</v>
      </c>
      <c r="AZ103">
        <f t="shared" si="169"/>
        <v>13.313248399999999</v>
      </c>
      <c r="BA103">
        <f t="shared" si="172"/>
        <v>0.38044280636213712</v>
      </c>
      <c r="BB103">
        <f t="shared" si="183"/>
        <v>2.6285159905168944</v>
      </c>
      <c r="BC103">
        <f t="shared" si="170"/>
        <v>1</v>
      </c>
      <c r="BD103">
        <f t="shared" si="138"/>
        <v>1</v>
      </c>
      <c r="BE103">
        <f t="shared" si="139"/>
        <v>1</v>
      </c>
      <c r="BF103">
        <f t="shared" si="140"/>
        <v>0</v>
      </c>
      <c r="BG103">
        <f t="shared" si="141"/>
        <v>0</v>
      </c>
      <c r="BH103">
        <f t="shared" si="142"/>
        <v>1</v>
      </c>
      <c r="BI103">
        <f t="shared" si="143"/>
        <v>0</v>
      </c>
      <c r="BJ103">
        <f t="shared" si="144"/>
        <v>0</v>
      </c>
      <c r="BK103">
        <f t="shared" si="145"/>
        <v>0</v>
      </c>
      <c r="BL103">
        <f t="shared" si="173"/>
        <v>0</v>
      </c>
      <c r="BM103">
        <f t="shared" si="146"/>
        <v>0</v>
      </c>
      <c r="BN103">
        <f t="shared" si="147"/>
        <v>1</v>
      </c>
      <c r="BO103">
        <f t="shared" si="148"/>
        <v>1</v>
      </c>
      <c r="BP103">
        <f t="shared" si="149"/>
        <v>1</v>
      </c>
      <c r="BQ103">
        <f t="shared" si="150"/>
        <v>1</v>
      </c>
      <c r="BR103">
        <f t="shared" si="151"/>
        <v>1</v>
      </c>
      <c r="BS103">
        <f t="shared" si="152"/>
        <v>1</v>
      </c>
      <c r="BT103">
        <f t="shared" si="153"/>
        <v>1</v>
      </c>
      <c r="BU103">
        <f t="shared" si="154"/>
        <v>0</v>
      </c>
      <c r="BV103">
        <f t="shared" si="155"/>
        <v>0</v>
      </c>
      <c r="BW103">
        <f t="shared" si="156"/>
        <v>1</v>
      </c>
      <c r="BX103">
        <f t="shared" si="157"/>
        <v>1</v>
      </c>
      <c r="BY103">
        <f t="shared" si="158"/>
        <v>1</v>
      </c>
      <c r="BZ103">
        <f t="shared" si="159"/>
        <v>0</v>
      </c>
      <c r="CA103">
        <f t="shared" si="160"/>
        <v>0</v>
      </c>
      <c r="CB103">
        <f t="shared" si="161"/>
        <v>0</v>
      </c>
      <c r="CC103">
        <f t="shared" si="162"/>
        <v>0</v>
      </c>
      <c r="CD103">
        <f t="shared" si="163"/>
        <v>1</v>
      </c>
      <c r="CE103">
        <f t="shared" si="164"/>
        <v>0</v>
      </c>
      <c r="CF103">
        <f t="shared" si="165"/>
        <v>0</v>
      </c>
      <c r="CG103">
        <f t="shared" si="166"/>
        <v>0</v>
      </c>
      <c r="CH103">
        <f t="shared" si="177"/>
        <v>1</v>
      </c>
      <c r="CI103">
        <f t="shared" si="178"/>
        <v>4</v>
      </c>
      <c r="CJ103">
        <f t="shared" si="179"/>
        <v>5</v>
      </c>
      <c r="CK103">
        <f t="shared" si="180"/>
        <v>5</v>
      </c>
      <c r="CL103">
        <f t="shared" si="181"/>
        <v>15</v>
      </c>
    </row>
    <row r="104" spans="1:90">
      <c r="A104">
        <v>58</v>
      </c>
      <c r="B104">
        <v>1</v>
      </c>
      <c r="C104">
        <v>1</v>
      </c>
      <c r="D104">
        <v>1</v>
      </c>
      <c r="E104">
        <v>0</v>
      </c>
      <c r="F104" s="1">
        <v>25</v>
      </c>
      <c r="G104">
        <v>18</v>
      </c>
      <c r="H104">
        <v>3</v>
      </c>
      <c r="I104">
        <v>0.38311199999999995</v>
      </c>
      <c r="J104">
        <v>1.6322645</v>
      </c>
      <c r="K104">
        <v>0.61984600000000001</v>
      </c>
      <c r="L104">
        <v>0</v>
      </c>
      <c r="M104">
        <v>0</v>
      </c>
      <c r="N104">
        <v>1.0456424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0.84509333333333325</v>
      </c>
      <c r="U104">
        <v>3.2000000000000001E-2</v>
      </c>
      <c r="V104">
        <v>9.8730000000000012E-2</v>
      </c>
      <c r="W104">
        <v>1.4763809999999999</v>
      </c>
      <c r="X104">
        <v>1.9165370000000004</v>
      </c>
      <c r="Y104">
        <v>0.16830000000000001</v>
      </c>
      <c r="Z104">
        <v>1.9430000000000001E-4</v>
      </c>
      <c r="AA104">
        <v>8.1334000000000004E-2</v>
      </c>
      <c r="AB104">
        <v>0</v>
      </c>
      <c r="AC104">
        <v>2.0500000000000002E-3</v>
      </c>
      <c r="AD104">
        <v>6.5449999999999996E-3</v>
      </c>
      <c r="AE104">
        <v>0.13500000000000001</v>
      </c>
      <c r="AF104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>
        <v>0</v>
      </c>
      <c r="AO104">
        <v>4</v>
      </c>
      <c r="AP104">
        <v>5</v>
      </c>
      <c r="AQ104">
        <v>6</v>
      </c>
      <c r="AR104">
        <v>15</v>
      </c>
      <c r="AS104">
        <f t="shared" si="167"/>
        <v>3.6808648999999996</v>
      </c>
      <c r="AT104">
        <f t="shared" si="174"/>
        <v>4.3687413333333343</v>
      </c>
      <c r="AU104">
        <f t="shared" si="175"/>
        <v>0.39342330000000003</v>
      </c>
      <c r="AV104">
        <f t="shared" si="168"/>
        <v>8.4430295333333323</v>
      </c>
      <c r="AW104">
        <f t="shared" si="171"/>
        <v>0.15318312988982866</v>
      </c>
      <c r="AX104">
        <f t="shared" si="182"/>
        <v>6.5281340100519767</v>
      </c>
      <c r="AY104">
        <f t="shared" si="176"/>
        <v>15</v>
      </c>
      <c r="AZ104">
        <f t="shared" si="169"/>
        <v>8.4430295333333323</v>
      </c>
      <c r="BA104">
        <f t="shared" si="172"/>
        <v>0.15318312988982866</v>
      </c>
      <c r="BB104">
        <f t="shared" si="183"/>
        <v>6.5281340100519767</v>
      </c>
      <c r="BC104">
        <f t="shared" si="170"/>
        <v>1</v>
      </c>
      <c r="BD104">
        <f t="shared" si="138"/>
        <v>1</v>
      </c>
      <c r="BE104">
        <f t="shared" si="139"/>
        <v>1</v>
      </c>
      <c r="BF104">
        <f t="shared" si="140"/>
        <v>0</v>
      </c>
      <c r="BG104">
        <f t="shared" si="141"/>
        <v>0</v>
      </c>
      <c r="BH104">
        <f t="shared" si="142"/>
        <v>1</v>
      </c>
      <c r="BI104">
        <f t="shared" si="143"/>
        <v>0</v>
      </c>
      <c r="BJ104">
        <f t="shared" si="144"/>
        <v>0</v>
      </c>
      <c r="BK104">
        <f t="shared" si="145"/>
        <v>0</v>
      </c>
      <c r="BL104">
        <f t="shared" si="173"/>
        <v>0</v>
      </c>
      <c r="BM104">
        <f t="shared" si="146"/>
        <v>0</v>
      </c>
      <c r="BN104">
        <f t="shared" si="147"/>
        <v>1</v>
      </c>
      <c r="BO104">
        <f t="shared" si="148"/>
        <v>1</v>
      </c>
      <c r="BP104">
        <f t="shared" si="149"/>
        <v>1</v>
      </c>
      <c r="BQ104">
        <f t="shared" si="150"/>
        <v>1</v>
      </c>
      <c r="BR104">
        <f t="shared" si="151"/>
        <v>1</v>
      </c>
      <c r="BS104">
        <f t="shared" si="152"/>
        <v>1</v>
      </c>
      <c r="BT104">
        <f t="shared" si="153"/>
        <v>1</v>
      </c>
      <c r="BU104">
        <f t="shared" si="154"/>
        <v>1</v>
      </c>
      <c r="BV104">
        <f t="shared" si="155"/>
        <v>0</v>
      </c>
      <c r="BW104">
        <f t="shared" si="156"/>
        <v>1</v>
      </c>
      <c r="BX104">
        <f t="shared" si="157"/>
        <v>1</v>
      </c>
      <c r="BY104">
        <f t="shared" si="158"/>
        <v>1</v>
      </c>
      <c r="BZ104">
        <f t="shared" si="159"/>
        <v>0</v>
      </c>
      <c r="CA104">
        <f t="shared" si="160"/>
        <v>0</v>
      </c>
      <c r="CB104">
        <f t="shared" si="161"/>
        <v>0</v>
      </c>
      <c r="CC104">
        <f t="shared" si="162"/>
        <v>0</v>
      </c>
      <c r="CD104">
        <f t="shared" si="163"/>
        <v>0</v>
      </c>
      <c r="CE104">
        <f t="shared" si="164"/>
        <v>0</v>
      </c>
      <c r="CF104">
        <f t="shared" si="165"/>
        <v>0</v>
      </c>
      <c r="CG104">
        <f t="shared" si="166"/>
        <v>0</v>
      </c>
      <c r="CH104">
        <f t="shared" si="177"/>
        <v>0</v>
      </c>
      <c r="CI104">
        <f t="shared" si="178"/>
        <v>4</v>
      </c>
      <c r="CJ104">
        <f t="shared" si="179"/>
        <v>5</v>
      </c>
      <c r="CK104">
        <f t="shared" si="180"/>
        <v>6</v>
      </c>
      <c r="CL104">
        <f t="shared" si="181"/>
        <v>15</v>
      </c>
    </row>
    <row r="105" spans="1:90">
      <c r="A105">
        <v>98</v>
      </c>
      <c r="B105">
        <v>1</v>
      </c>
      <c r="C105">
        <v>1</v>
      </c>
      <c r="D105">
        <v>1</v>
      </c>
      <c r="E105">
        <v>1</v>
      </c>
      <c r="F105" s="1">
        <v>25</v>
      </c>
      <c r="G105">
        <v>18</v>
      </c>
      <c r="H105">
        <v>3</v>
      </c>
      <c r="I105">
        <v>1.0296135</v>
      </c>
      <c r="J105">
        <v>0.41498249999999998</v>
      </c>
      <c r="K105">
        <v>0.91908200000000007</v>
      </c>
      <c r="L105">
        <v>0</v>
      </c>
      <c r="M105">
        <v>0</v>
      </c>
      <c r="N105">
        <v>1.1046705999999999</v>
      </c>
      <c r="O105">
        <v>0</v>
      </c>
      <c r="P105">
        <v>0</v>
      </c>
      <c r="Q105">
        <v>0</v>
      </c>
      <c r="R105">
        <v>0.14850000000000002</v>
      </c>
      <c r="S105">
        <v>0</v>
      </c>
      <c r="T105">
        <v>0.52660666666666667</v>
      </c>
      <c r="U105">
        <v>1.6E-2</v>
      </c>
      <c r="V105">
        <v>4.1686000000000001E-2</v>
      </c>
      <c r="W105">
        <v>8.5112610000000011</v>
      </c>
      <c r="X105">
        <v>2.2709860000000002</v>
      </c>
      <c r="Y105">
        <v>7.6499999999999999E-2</v>
      </c>
      <c r="Z105">
        <v>1.1658E-3</v>
      </c>
      <c r="AA105">
        <v>4.0667000000000002E-2</v>
      </c>
      <c r="AB105">
        <v>0</v>
      </c>
      <c r="AC105">
        <v>2.0500000000000002E-3</v>
      </c>
      <c r="AD105">
        <v>0</v>
      </c>
      <c r="AE105">
        <v>0.18</v>
      </c>
      <c r="AF105">
        <v>0</v>
      </c>
      <c r="AG105" s="2">
        <v>0</v>
      </c>
      <c r="AH105" s="2">
        <v>0</v>
      </c>
      <c r="AI105" s="2">
        <v>0</v>
      </c>
      <c r="AJ105" s="2">
        <v>0.15734999999999999</v>
      </c>
      <c r="AK105" s="2">
        <v>0</v>
      </c>
      <c r="AL105" s="2">
        <v>0</v>
      </c>
      <c r="AM105" s="2">
        <v>1</v>
      </c>
      <c r="AN105">
        <v>2</v>
      </c>
      <c r="AO105">
        <v>4</v>
      </c>
      <c r="AP105">
        <v>6</v>
      </c>
      <c r="AQ105">
        <v>5</v>
      </c>
      <c r="AR105">
        <v>17</v>
      </c>
      <c r="AS105">
        <f t="shared" si="167"/>
        <v>3.4683486000000001</v>
      </c>
      <c r="AT105">
        <f t="shared" si="174"/>
        <v>11.515039666666668</v>
      </c>
      <c r="AU105">
        <f t="shared" si="175"/>
        <v>0.30038279999999995</v>
      </c>
      <c r="AV105">
        <f t="shared" si="168"/>
        <v>15.441121066666668</v>
      </c>
      <c r="AW105">
        <f t="shared" si="171"/>
        <v>0.34082499033419617</v>
      </c>
      <c r="AX105">
        <f t="shared" si="182"/>
        <v>2.9340571506198807</v>
      </c>
      <c r="AY105">
        <f t="shared" si="176"/>
        <v>15</v>
      </c>
      <c r="AZ105">
        <f t="shared" si="169"/>
        <v>15.283771066666668</v>
      </c>
      <c r="BA105">
        <f t="shared" si="172"/>
        <v>0.34777286923744305</v>
      </c>
      <c r="BB105">
        <f t="shared" si="183"/>
        <v>2.8754399450212627</v>
      </c>
      <c r="BC105">
        <f t="shared" si="170"/>
        <v>1</v>
      </c>
      <c r="BD105">
        <f t="shared" si="138"/>
        <v>1</v>
      </c>
      <c r="BE105">
        <f t="shared" si="139"/>
        <v>1</v>
      </c>
      <c r="BF105">
        <f t="shared" si="140"/>
        <v>0</v>
      </c>
      <c r="BG105">
        <f t="shared" si="141"/>
        <v>0</v>
      </c>
      <c r="BH105">
        <f t="shared" si="142"/>
        <v>1</v>
      </c>
      <c r="BI105">
        <f t="shared" si="143"/>
        <v>0</v>
      </c>
      <c r="BJ105">
        <f t="shared" si="144"/>
        <v>0</v>
      </c>
      <c r="BK105">
        <f t="shared" si="145"/>
        <v>0</v>
      </c>
      <c r="BL105">
        <f t="shared" si="173"/>
        <v>1</v>
      </c>
      <c r="BM105">
        <f t="shared" si="146"/>
        <v>0</v>
      </c>
      <c r="BN105">
        <f t="shared" si="147"/>
        <v>1</v>
      </c>
      <c r="BO105">
        <f t="shared" si="148"/>
        <v>1</v>
      </c>
      <c r="BP105">
        <f t="shared" si="149"/>
        <v>1</v>
      </c>
      <c r="BQ105">
        <f t="shared" si="150"/>
        <v>1</v>
      </c>
      <c r="BR105">
        <f t="shared" si="151"/>
        <v>1</v>
      </c>
      <c r="BS105">
        <f t="shared" si="152"/>
        <v>1</v>
      </c>
      <c r="BT105">
        <f t="shared" si="153"/>
        <v>1</v>
      </c>
      <c r="BU105">
        <f t="shared" si="154"/>
        <v>1</v>
      </c>
      <c r="BV105">
        <f t="shared" si="155"/>
        <v>0</v>
      </c>
      <c r="BW105">
        <f t="shared" si="156"/>
        <v>1</v>
      </c>
      <c r="BX105">
        <f t="shared" si="157"/>
        <v>0</v>
      </c>
      <c r="BY105">
        <f t="shared" si="158"/>
        <v>1</v>
      </c>
      <c r="BZ105">
        <f t="shared" si="159"/>
        <v>0</v>
      </c>
      <c r="CA105">
        <f t="shared" si="160"/>
        <v>0</v>
      </c>
      <c r="CB105">
        <f t="shared" si="161"/>
        <v>0</v>
      </c>
      <c r="CC105">
        <f t="shared" si="162"/>
        <v>0</v>
      </c>
      <c r="CD105">
        <f t="shared" si="163"/>
        <v>1</v>
      </c>
      <c r="CE105">
        <f t="shared" si="164"/>
        <v>0</v>
      </c>
      <c r="CF105">
        <f t="shared" si="165"/>
        <v>0</v>
      </c>
      <c r="CG105">
        <f t="shared" si="166"/>
        <v>1</v>
      </c>
      <c r="CH105">
        <f t="shared" si="177"/>
        <v>2</v>
      </c>
      <c r="CI105">
        <f t="shared" si="178"/>
        <v>4</v>
      </c>
      <c r="CJ105">
        <f t="shared" si="179"/>
        <v>6</v>
      </c>
      <c r="CK105">
        <f t="shared" si="180"/>
        <v>5</v>
      </c>
      <c r="CL105">
        <f t="shared" si="181"/>
        <v>17</v>
      </c>
    </row>
    <row r="106" spans="1:90">
      <c r="A106">
        <v>8</v>
      </c>
      <c r="B106">
        <v>1</v>
      </c>
      <c r="C106">
        <v>1</v>
      </c>
      <c r="D106">
        <v>1</v>
      </c>
      <c r="E106">
        <v>0</v>
      </c>
      <c r="F106" s="1">
        <v>26</v>
      </c>
      <c r="G106">
        <v>18</v>
      </c>
      <c r="H106">
        <v>3</v>
      </c>
      <c r="I106">
        <v>1.261077</v>
      </c>
      <c r="J106">
        <v>0</v>
      </c>
      <c r="K106">
        <v>1.0473260000000002</v>
      </c>
      <c r="L106">
        <v>0</v>
      </c>
      <c r="M106">
        <v>0</v>
      </c>
      <c r="N106">
        <v>2.17814058</v>
      </c>
      <c r="O106">
        <v>0</v>
      </c>
      <c r="P106">
        <v>4.2092285599999997</v>
      </c>
      <c r="Q106">
        <v>1.3500000000000002E-2</v>
      </c>
      <c r="R106">
        <v>0.76950000000000007</v>
      </c>
      <c r="S106">
        <v>0</v>
      </c>
      <c r="T106">
        <v>0</v>
      </c>
      <c r="U106">
        <v>1.6E-2</v>
      </c>
      <c r="V106">
        <v>2.1940000000000001E-2</v>
      </c>
      <c r="W106">
        <v>2.6433299999999997</v>
      </c>
      <c r="X106">
        <v>0</v>
      </c>
      <c r="Y106">
        <v>0</v>
      </c>
      <c r="Z106">
        <v>0</v>
      </c>
      <c r="AA106" s="1">
        <v>0</v>
      </c>
      <c r="AB106">
        <v>0</v>
      </c>
      <c r="AC106">
        <v>0</v>
      </c>
      <c r="AD106">
        <v>2.31E-3</v>
      </c>
      <c r="AE106">
        <v>0.09</v>
      </c>
      <c r="AF106">
        <v>0.38400000000000001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>
        <v>0</v>
      </c>
      <c r="AO106">
        <v>4</v>
      </c>
      <c r="AP106">
        <v>5</v>
      </c>
      <c r="AQ106">
        <v>3</v>
      </c>
      <c r="AR106">
        <v>12</v>
      </c>
      <c r="AS106">
        <f t="shared" si="167"/>
        <v>8.695772139999999</v>
      </c>
      <c r="AT106">
        <f t="shared" si="174"/>
        <v>3.46427</v>
      </c>
      <c r="AU106">
        <f t="shared" si="175"/>
        <v>0.47631000000000001</v>
      </c>
      <c r="AV106">
        <f t="shared" si="168"/>
        <v>12.636352140000001</v>
      </c>
      <c r="AW106">
        <f t="shared" si="171"/>
        <v>0.20594595128343826</v>
      </c>
      <c r="AX106">
        <f t="shared" si="182"/>
        <v>4.8556429187759313</v>
      </c>
      <c r="AY106">
        <f t="shared" si="176"/>
        <v>12</v>
      </c>
      <c r="AZ106">
        <f t="shared" si="169"/>
        <v>12.636352140000001</v>
      </c>
      <c r="BA106">
        <f t="shared" si="172"/>
        <v>0.20594595128343826</v>
      </c>
      <c r="BB106">
        <f t="shared" si="183"/>
        <v>4.8556429187759313</v>
      </c>
      <c r="BC106">
        <f t="shared" si="170"/>
        <v>1</v>
      </c>
      <c r="BD106">
        <f t="shared" si="138"/>
        <v>0</v>
      </c>
      <c r="BE106">
        <f t="shared" si="139"/>
        <v>1</v>
      </c>
      <c r="BF106">
        <f t="shared" si="140"/>
        <v>0</v>
      </c>
      <c r="BG106">
        <f t="shared" si="141"/>
        <v>0</v>
      </c>
      <c r="BH106">
        <f t="shared" si="142"/>
        <v>1</v>
      </c>
      <c r="BI106">
        <f t="shared" si="143"/>
        <v>0</v>
      </c>
      <c r="BJ106">
        <f t="shared" si="144"/>
        <v>1</v>
      </c>
      <c r="BK106">
        <f t="shared" si="145"/>
        <v>1</v>
      </c>
      <c r="BL106">
        <f t="shared" si="173"/>
        <v>1</v>
      </c>
      <c r="BM106">
        <f t="shared" si="146"/>
        <v>0</v>
      </c>
      <c r="BN106">
        <f t="shared" si="147"/>
        <v>0</v>
      </c>
      <c r="BO106">
        <f t="shared" si="148"/>
        <v>1</v>
      </c>
      <c r="BP106">
        <f t="shared" si="149"/>
        <v>1</v>
      </c>
      <c r="BQ106">
        <f t="shared" si="150"/>
        <v>1</v>
      </c>
      <c r="BR106">
        <f t="shared" si="151"/>
        <v>0</v>
      </c>
      <c r="BS106">
        <f t="shared" si="152"/>
        <v>0</v>
      </c>
      <c r="BT106">
        <f t="shared" si="153"/>
        <v>0</v>
      </c>
      <c r="BU106">
        <f t="shared" si="154"/>
        <v>0</v>
      </c>
      <c r="BV106">
        <f t="shared" si="155"/>
        <v>0</v>
      </c>
      <c r="BW106">
        <f t="shared" si="156"/>
        <v>0</v>
      </c>
      <c r="BX106">
        <f t="shared" si="157"/>
        <v>1</v>
      </c>
      <c r="BY106">
        <f t="shared" si="158"/>
        <v>1</v>
      </c>
      <c r="BZ106">
        <f t="shared" si="159"/>
        <v>1</v>
      </c>
      <c r="CA106">
        <f t="shared" si="160"/>
        <v>0</v>
      </c>
      <c r="CB106">
        <f t="shared" si="161"/>
        <v>0</v>
      </c>
      <c r="CC106">
        <f t="shared" si="162"/>
        <v>0</v>
      </c>
      <c r="CD106">
        <f t="shared" si="163"/>
        <v>0</v>
      </c>
      <c r="CE106">
        <f t="shared" si="164"/>
        <v>0</v>
      </c>
      <c r="CF106">
        <f t="shared" si="165"/>
        <v>0</v>
      </c>
      <c r="CG106">
        <f t="shared" si="166"/>
        <v>0</v>
      </c>
      <c r="CH106">
        <f t="shared" si="177"/>
        <v>0</v>
      </c>
      <c r="CI106">
        <f t="shared" si="178"/>
        <v>4</v>
      </c>
      <c r="CJ106">
        <f t="shared" si="179"/>
        <v>5</v>
      </c>
      <c r="CK106">
        <f t="shared" si="180"/>
        <v>3</v>
      </c>
      <c r="CL106">
        <f t="shared" si="181"/>
        <v>12</v>
      </c>
    </row>
    <row r="107" spans="1:90">
      <c r="A107">
        <v>19</v>
      </c>
      <c r="B107">
        <v>1</v>
      </c>
      <c r="C107">
        <v>1</v>
      </c>
      <c r="D107">
        <v>1</v>
      </c>
      <c r="E107">
        <v>1</v>
      </c>
      <c r="F107" s="1">
        <v>26</v>
      </c>
      <c r="G107">
        <v>18</v>
      </c>
      <c r="H107">
        <v>3</v>
      </c>
      <c r="I107">
        <v>1.7479484999999999</v>
      </c>
      <c r="J107">
        <v>0</v>
      </c>
      <c r="K107">
        <v>1.0045780000000002</v>
      </c>
      <c r="L107">
        <v>0</v>
      </c>
      <c r="M107">
        <v>0</v>
      </c>
      <c r="N107">
        <v>0.80109699999999995</v>
      </c>
      <c r="O107">
        <v>0</v>
      </c>
      <c r="P107">
        <v>2.6822123999999996</v>
      </c>
      <c r="Q107">
        <v>0.15525</v>
      </c>
      <c r="R107">
        <v>0.50624999999999998</v>
      </c>
      <c r="S107">
        <v>7.5569999999999995E-3</v>
      </c>
      <c r="T107">
        <v>0</v>
      </c>
      <c r="U107">
        <v>1.6E-2</v>
      </c>
      <c r="V107">
        <v>6.5820000000000004E-2</v>
      </c>
      <c r="W107">
        <v>4.5101700000000005</v>
      </c>
      <c r="X107">
        <v>0</v>
      </c>
      <c r="Y107">
        <v>2.23E-2</v>
      </c>
      <c r="Z107">
        <v>0</v>
      </c>
      <c r="AA107" s="1">
        <v>0</v>
      </c>
      <c r="AB107">
        <v>0</v>
      </c>
      <c r="AC107">
        <v>0</v>
      </c>
      <c r="AD107">
        <v>3.8499999999999998E-4</v>
      </c>
      <c r="AE107">
        <v>0</v>
      </c>
      <c r="AF107">
        <v>0.128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>
        <v>0</v>
      </c>
      <c r="AO107">
        <v>4</v>
      </c>
      <c r="AP107">
        <v>6</v>
      </c>
      <c r="AQ107">
        <v>3</v>
      </c>
      <c r="AR107">
        <v>13</v>
      </c>
      <c r="AS107">
        <f t="shared" si="167"/>
        <v>6.2358358999999997</v>
      </c>
      <c r="AT107">
        <f t="shared" si="174"/>
        <v>5.2610470000000005</v>
      </c>
      <c r="AU107">
        <f t="shared" si="175"/>
        <v>0.15068500000000001</v>
      </c>
      <c r="AV107">
        <f t="shared" si="168"/>
        <v>11.647567899999999</v>
      </c>
      <c r="AW107">
        <f t="shared" si="171"/>
        <v>0.23988406392480913</v>
      </c>
      <c r="AX107">
        <f t="shared" si="182"/>
        <v>4.1686804185268711</v>
      </c>
      <c r="AY107">
        <f t="shared" si="176"/>
        <v>13</v>
      </c>
      <c r="AZ107">
        <f t="shared" si="169"/>
        <v>11.647567899999999</v>
      </c>
      <c r="BA107">
        <f t="shared" si="172"/>
        <v>0.23988406392480913</v>
      </c>
      <c r="BB107">
        <f t="shared" si="183"/>
        <v>4.1686804185268711</v>
      </c>
      <c r="BC107">
        <f t="shared" si="170"/>
        <v>1</v>
      </c>
      <c r="BD107">
        <f t="shared" si="138"/>
        <v>0</v>
      </c>
      <c r="BE107">
        <f t="shared" si="139"/>
        <v>1</v>
      </c>
      <c r="BF107">
        <f t="shared" si="140"/>
        <v>0</v>
      </c>
      <c r="BG107">
        <f t="shared" si="141"/>
        <v>0</v>
      </c>
      <c r="BH107">
        <f t="shared" si="142"/>
        <v>1</v>
      </c>
      <c r="BI107">
        <f t="shared" si="143"/>
        <v>0</v>
      </c>
      <c r="BJ107">
        <f t="shared" si="144"/>
        <v>1</v>
      </c>
      <c r="BK107">
        <f t="shared" si="145"/>
        <v>1</v>
      </c>
      <c r="BL107">
        <f t="shared" si="173"/>
        <v>1</v>
      </c>
      <c r="BM107">
        <f t="shared" si="146"/>
        <v>1</v>
      </c>
      <c r="BN107">
        <f t="shared" si="147"/>
        <v>0</v>
      </c>
      <c r="BO107">
        <f t="shared" si="148"/>
        <v>1</v>
      </c>
      <c r="BP107">
        <f t="shared" si="149"/>
        <v>1</v>
      </c>
      <c r="BQ107">
        <f t="shared" si="150"/>
        <v>1</v>
      </c>
      <c r="BR107">
        <f t="shared" si="151"/>
        <v>0</v>
      </c>
      <c r="BS107">
        <f t="shared" si="152"/>
        <v>1</v>
      </c>
      <c r="BT107">
        <f t="shared" si="153"/>
        <v>0</v>
      </c>
      <c r="BU107">
        <f t="shared" si="154"/>
        <v>0</v>
      </c>
      <c r="BV107">
        <f t="shared" si="155"/>
        <v>0</v>
      </c>
      <c r="BW107">
        <f t="shared" si="156"/>
        <v>0</v>
      </c>
      <c r="BX107">
        <f t="shared" si="157"/>
        <v>1</v>
      </c>
      <c r="BY107">
        <f t="shared" si="158"/>
        <v>0</v>
      </c>
      <c r="BZ107">
        <f t="shared" si="159"/>
        <v>1</v>
      </c>
      <c r="CA107">
        <f t="shared" si="160"/>
        <v>0</v>
      </c>
      <c r="CB107">
        <f t="shared" si="161"/>
        <v>0</v>
      </c>
      <c r="CC107">
        <f t="shared" si="162"/>
        <v>0</v>
      </c>
      <c r="CD107">
        <f t="shared" si="163"/>
        <v>0</v>
      </c>
      <c r="CE107">
        <f t="shared" si="164"/>
        <v>0</v>
      </c>
      <c r="CF107">
        <f t="shared" si="165"/>
        <v>0</v>
      </c>
      <c r="CG107">
        <f t="shared" si="166"/>
        <v>0</v>
      </c>
      <c r="CH107">
        <f t="shared" si="177"/>
        <v>0</v>
      </c>
      <c r="CI107">
        <f t="shared" si="178"/>
        <v>4</v>
      </c>
      <c r="CJ107">
        <f t="shared" si="179"/>
        <v>6</v>
      </c>
      <c r="CK107">
        <f t="shared" si="180"/>
        <v>3</v>
      </c>
      <c r="CL107">
        <f t="shared" si="181"/>
        <v>13</v>
      </c>
    </row>
    <row r="108" spans="1:90">
      <c r="A108">
        <v>99</v>
      </c>
      <c r="B108">
        <v>1</v>
      </c>
      <c r="C108">
        <v>1</v>
      </c>
      <c r="D108">
        <v>1</v>
      </c>
      <c r="E108">
        <v>0</v>
      </c>
      <c r="F108" s="1">
        <v>26</v>
      </c>
      <c r="G108">
        <v>18</v>
      </c>
      <c r="H108">
        <v>3</v>
      </c>
      <c r="I108">
        <v>0.89392799999999994</v>
      </c>
      <c r="J108">
        <v>0</v>
      </c>
      <c r="K108">
        <v>2.1374</v>
      </c>
      <c r="L108">
        <v>6.3727199999999998E-2</v>
      </c>
      <c r="M108">
        <v>0</v>
      </c>
      <c r="N108">
        <v>1.4925701999999998</v>
      </c>
      <c r="O108">
        <v>0</v>
      </c>
      <c r="P108">
        <v>1.206286</v>
      </c>
      <c r="Q108">
        <v>0</v>
      </c>
      <c r="R108">
        <v>0.81</v>
      </c>
      <c r="S108">
        <v>1.0076E-2</v>
      </c>
      <c r="T108">
        <v>0</v>
      </c>
      <c r="U108">
        <v>3.2000000000000001E-2</v>
      </c>
      <c r="V108">
        <v>5.7044000000000004E-2</v>
      </c>
      <c r="W108">
        <v>2.1954570000000002</v>
      </c>
      <c r="X108" s="1">
        <v>3.3210000000000002E-3</v>
      </c>
      <c r="Y108">
        <v>1.5299999999999999E-2</v>
      </c>
      <c r="Z108">
        <v>0</v>
      </c>
      <c r="AA108" s="1">
        <v>0</v>
      </c>
      <c r="AB108">
        <v>0</v>
      </c>
      <c r="AC108">
        <v>0</v>
      </c>
      <c r="AD108">
        <v>7.6999999999999994E-3</v>
      </c>
      <c r="AE108">
        <v>0.09</v>
      </c>
      <c r="AF108">
        <v>0.128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>
        <v>0</v>
      </c>
      <c r="AO108">
        <v>5</v>
      </c>
      <c r="AP108">
        <v>6</v>
      </c>
      <c r="AQ108">
        <v>4</v>
      </c>
      <c r="AR108">
        <v>15</v>
      </c>
      <c r="AS108">
        <f t="shared" si="167"/>
        <v>5.7939114000000007</v>
      </c>
      <c r="AT108">
        <f t="shared" si="174"/>
        <v>3.1078980000000005</v>
      </c>
      <c r="AU108">
        <f t="shared" si="175"/>
        <v>0.24099999999999999</v>
      </c>
      <c r="AV108">
        <f t="shared" si="168"/>
        <v>9.1428094000000009</v>
      </c>
      <c r="AW108">
        <f t="shared" si="171"/>
        <v>0.1741795720943782</v>
      </c>
      <c r="AX108">
        <f t="shared" si="182"/>
        <v>5.7412013818598417</v>
      </c>
      <c r="AY108">
        <f t="shared" si="176"/>
        <v>15</v>
      </c>
      <c r="AZ108">
        <f t="shared" si="169"/>
        <v>9.1428094000000009</v>
      </c>
      <c r="BA108">
        <f t="shared" si="172"/>
        <v>0.17417957209437823</v>
      </c>
      <c r="BB108">
        <f t="shared" si="183"/>
        <v>5.74120138185984</v>
      </c>
      <c r="BC108">
        <f t="shared" si="170"/>
        <v>1</v>
      </c>
      <c r="BD108">
        <f t="shared" si="138"/>
        <v>0</v>
      </c>
      <c r="BE108">
        <f t="shared" si="139"/>
        <v>1</v>
      </c>
      <c r="BF108">
        <f t="shared" si="140"/>
        <v>1</v>
      </c>
      <c r="BG108">
        <f t="shared" si="141"/>
        <v>0</v>
      </c>
      <c r="BH108">
        <f t="shared" si="142"/>
        <v>1</v>
      </c>
      <c r="BI108">
        <f t="shared" si="143"/>
        <v>0</v>
      </c>
      <c r="BJ108">
        <f t="shared" si="144"/>
        <v>1</v>
      </c>
      <c r="BK108">
        <f t="shared" si="145"/>
        <v>0</v>
      </c>
      <c r="BL108">
        <f t="shared" si="173"/>
        <v>1</v>
      </c>
      <c r="BM108">
        <f t="shared" si="146"/>
        <v>1</v>
      </c>
      <c r="BN108">
        <f t="shared" si="147"/>
        <v>0</v>
      </c>
      <c r="BO108">
        <f t="shared" si="148"/>
        <v>1</v>
      </c>
      <c r="BP108">
        <f t="shared" si="149"/>
        <v>1</v>
      </c>
      <c r="BQ108">
        <f t="shared" si="150"/>
        <v>1</v>
      </c>
      <c r="BR108">
        <f t="shared" si="151"/>
        <v>1</v>
      </c>
      <c r="BS108">
        <f t="shared" si="152"/>
        <v>1</v>
      </c>
      <c r="BT108">
        <f t="shared" si="153"/>
        <v>0</v>
      </c>
      <c r="BU108">
        <f t="shared" si="154"/>
        <v>0</v>
      </c>
      <c r="BV108">
        <f t="shared" si="155"/>
        <v>0</v>
      </c>
      <c r="BW108">
        <f t="shared" si="156"/>
        <v>0</v>
      </c>
      <c r="BX108">
        <f t="shared" si="157"/>
        <v>1</v>
      </c>
      <c r="BY108">
        <f t="shared" si="158"/>
        <v>1</v>
      </c>
      <c r="BZ108">
        <f t="shared" si="159"/>
        <v>1</v>
      </c>
      <c r="CA108">
        <f t="shared" si="160"/>
        <v>0</v>
      </c>
      <c r="CB108">
        <f t="shared" si="161"/>
        <v>0</v>
      </c>
      <c r="CC108">
        <f t="shared" si="162"/>
        <v>0</v>
      </c>
      <c r="CD108">
        <f t="shared" si="163"/>
        <v>0</v>
      </c>
      <c r="CE108">
        <f t="shared" si="164"/>
        <v>0</v>
      </c>
      <c r="CF108">
        <f t="shared" si="165"/>
        <v>0</v>
      </c>
      <c r="CG108">
        <f t="shared" si="166"/>
        <v>0</v>
      </c>
      <c r="CH108">
        <f t="shared" si="177"/>
        <v>0</v>
      </c>
      <c r="CI108">
        <f t="shared" si="178"/>
        <v>5</v>
      </c>
      <c r="CJ108">
        <f t="shared" si="179"/>
        <v>6</v>
      </c>
      <c r="CK108">
        <f t="shared" si="180"/>
        <v>4</v>
      </c>
      <c r="CL108">
        <f t="shared" si="181"/>
        <v>15</v>
      </c>
    </row>
    <row r="109" spans="1:90">
      <c r="A109">
        <v>107</v>
      </c>
      <c r="B109">
        <v>1</v>
      </c>
      <c r="C109">
        <v>1</v>
      </c>
      <c r="D109">
        <v>1</v>
      </c>
      <c r="E109">
        <v>1</v>
      </c>
      <c r="F109" s="1">
        <v>26</v>
      </c>
      <c r="G109">
        <v>18</v>
      </c>
      <c r="H109">
        <v>3</v>
      </c>
      <c r="I109">
        <v>0.74227949999999998</v>
      </c>
      <c r="J109">
        <v>0</v>
      </c>
      <c r="K109">
        <v>1.303814</v>
      </c>
      <c r="L109">
        <v>4.2484800000000003E-2</v>
      </c>
      <c r="M109">
        <v>0</v>
      </c>
      <c r="N109">
        <v>0.97818159999999998</v>
      </c>
      <c r="O109">
        <v>0</v>
      </c>
      <c r="P109">
        <v>1.7171835999999998</v>
      </c>
      <c r="Q109">
        <v>0</v>
      </c>
      <c r="R109">
        <v>0.99900000000000011</v>
      </c>
      <c r="S109">
        <v>7.5569999999999995E-3</v>
      </c>
      <c r="T109">
        <v>0</v>
      </c>
      <c r="U109">
        <v>1.6E-2</v>
      </c>
      <c r="V109">
        <v>0.10970000000000001</v>
      </c>
      <c r="W109">
        <v>4.7171639999999995</v>
      </c>
      <c r="X109">
        <v>0</v>
      </c>
      <c r="Y109">
        <v>0</v>
      </c>
      <c r="Z109">
        <v>0</v>
      </c>
      <c r="AA109" s="1">
        <v>0</v>
      </c>
      <c r="AB109">
        <v>0</v>
      </c>
      <c r="AC109">
        <v>0</v>
      </c>
      <c r="AD109">
        <v>3.8499999999999998E-4</v>
      </c>
      <c r="AE109">
        <v>4.4999999999999998E-2</v>
      </c>
      <c r="AF109">
        <v>0.192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>
        <v>0</v>
      </c>
      <c r="AO109">
        <v>5</v>
      </c>
      <c r="AP109">
        <v>5</v>
      </c>
      <c r="AQ109">
        <v>3</v>
      </c>
      <c r="AR109">
        <v>13</v>
      </c>
      <c r="AS109">
        <f t="shared" si="167"/>
        <v>4.7839434999999995</v>
      </c>
      <c r="AT109">
        <f t="shared" si="174"/>
        <v>5.8494209999999995</v>
      </c>
      <c r="AU109">
        <f t="shared" si="175"/>
        <v>0.23738500000000001</v>
      </c>
      <c r="AV109">
        <f t="shared" si="168"/>
        <v>10.870749499999999</v>
      </c>
      <c r="AW109">
        <f t="shared" si="171"/>
        <v>0.24928789600592374</v>
      </c>
      <c r="AX109">
        <f t="shared" si="182"/>
        <v>4.011426210505773</v>
      </c>
      <c r="AY109">
        <f t="shared" si="176"/>
        <v>13</v>
      </c>
      <c r="AZ109">
        <f t="shared" si="169"/>
        <v>10.870749499999999</v>
      </c>
      <c r="BA109">
        <f t="shared" si="172"/>
        <v>0.24928789600592374</v>
      </c>
      <c r="BB109">
        <f t="shared" si="183"/>
        <v>4.011426210505773</v>
      </c>
      <c r="BC109">
        <f t="shared" si="170"/>
        <v>1</v>
      </c>
      <c r="BD109">
        <f t="shared" si="138"/>
        <v>0</v>
      </c>
      <c r="BE109">
        <f t="shared" si="139"/>
        <v>1</v>
      </c>
      <c r="BF109">
        <f t="shared" si="140"/>
        <v>1</v>
      </c>
      <c r="BG109">
        <f t="shared" si="141"/>
        <v>0</v>
      </c>
      <c r="BH109">
        <f t="shared" si="142"/>
        <v>1</v>
      </c>
      <c r="BI109">
        <f t="shared" si="143"/>
        <v>0</v>
      </c>
      <c r="BJ109">
        <f t="shared" si="144"/>
        <v>1</v>
      </c>
      <c r="BK109">
        <f t="shared" si="145"/>
        <v>0</v>
      </c>
      <c r="BL109">
        <f t="shared" si="173"/>
        <v>1</v>
      </c>
      <c r="BM109">
        <f t="shared" si="146"/>
        <v>1</v>
      </c>
      <c r="BN109">
        <f t="shared" si="147"/>
        <v>0</v>
      </c>
      <c r="BO109">
        <f t="shared" si="148"/>
        <v>1</v>
      </c>
      <c r="BP109">
        <f t="shared" si="149"/>
        <v>1</v>
      </c>
      <c r="BQ109">
        <f t="shared" si="150"/>
        <v>1</v>
      </c>
      <c r="BR109">
        <f t="shared" si="151"/>
        <v>0</v>
      </c>
      <c r="BS109">
        <f t="shared" si="152"/>
        <v>0</v>
      </c>
      <c r="BT109">
        <f t="shared" si="153"/>
        <v>0</v>
      </c>
      <c r="BU109">
        <f t="shared" si="154"/>
        <v>0</v>
      </c>
      <c r="BV109">
        <f t="shared" si="155"/>
        <v>0</v>
      </c>
      <c r="BW109">
        <f t="shared" si="156"/>
        <v>0</v>
      </c>
      <c r="BX109">
        <f t="shared" si="157"/>
        <v>1</v>
      </c>
      <c r="BY109">
        <f t="shared" si="158"/>
        <v>1</v>
      </c>
      <c r="BZ109">
        <f t="shared" si="159"/>
        <v>1</v>
      </c>
      <c r="CA109">
        <f t="shared" si="160"/>
        <v>0</v>
      </c>
      <c r="CB109">
        <f t="shared" si="161"/>
        <v>0</v>
      </c>
      <c r="CC109">
        <f t="shared" si="162"/>
        <v>0</v>
      </c>
      <c r="CD109">
        <f t="shared" si="163"/>
        <v>0</v>
      </c>
      <c r="CE109">
        <f t="shared" si="164"/>
        <v>0</v>
      </c>
      <c r="CF109">
        <f t="shared" si="165"/>
        <v>0</v>
      </c>
      <c r="CG109">
        <f t="shared" si="166"/>
        <v>0</v>
      </c>
      <c r="CH109">
        <f t="shared" si="177"/>
        <v>0</v>
      </c>
      <c r="CI109">
        <f t="shared" si="178"/>
        <v>5</v>
      </c>
      <c r="CJ109">
        <f t="shared" si="179"/>
        <v>5</v>
      </c>
      <c r="CK109">
        <f t="shared" si="180"/>
        <v>3</v>
      </c>
      <c r="CL109">
        <f t="shared" si="181"/>
        <v>13</v>
      </c>
    </row>
  </sheetData>
  <sortState ref="A2:CL109">
    <sortCondition ref="F2:F109"/>
  </sortState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0"/>
  <sheetViews>
    <sheetView workbookViewId="0">
      <selection activeCell="AF42" sqref="AF42"/>
    </sheetView>
  </sheetViews>
  <sheetFormatPr baseColWidth="10" defaultColWidth="9.1640625" defaultRowHeight="15" x14ac:dyDescent="0"/>
  <cols>
    <col min="1" max="8" width="3.83203125" style="7" customWidth="1"/>
    <col min="9" max="11" width="3.83203125" style="8" customWidth="1"/>
    <col min="12" max="12" width="3.5" style="8" customWidth="1"/>
    <col min="13" max="14" width="3.83203125" style="8" customWidth="1"/>
    <col min="15" max="20" width="3.83203125" style="9" customWidth="1"/>
    <col min="21" max="26" width="3.83203125" style="7" customWidth="1"/>
    <col min="27" max="27" width="2" style="7" customWidth="1"/>
    <col min="28" max="16384" width="9.1640625" style="7"/>
  </cols>
  <sheetData>
    <row r="1" spans="1:2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85</v>
      </c>
      <c r="J1" s="8" t="s">
        <v>85</v>
      </c>
      <c r="K1" s="8" t="s">
        <v>85</v>
      </c>
      <c r="L1" s="8" t="s">
        <v>85</v>
      </c>
      <c r="M1" s="8" t="s">
        <v>85</v>
      </c>
      <c r="N1" s="8" t="s">
        <v>85</v>
      </c>
      <c r="O1" s="9" t="s">
        <v>86</v>
      </c>
      <c r="P1" s="9" t="s">
        <v>86</v>
      </c>
      <c r="Q1" s="9" t="s">
        <v>86</v>
      </c>
      <c r="R1" s="9" t="s">
        <v>86</v>
      </c>
      <c r="S1" s="9" t="s">
        <v>86</v>
      </c>
      <c r="T1" s="9" t="s">
        <v>86</v>
      </c>
      <c r="U1" s="7" t="s">
        <v>87</v>
      </c>
      <c r="V1" s="7" t="s">
        <v>87</v>
      </c>
      <c r="W1" s="7" t="s">
        <v>87</v>
      </c>
      <c r="X1" s="7" t="s">
        <v>87</v>
      </c>
      <c r="Y1" s="7" t="s">
        <v>87</v>
      </c>
      <c r="Z1" s="7" t="s">
        <v>87</v>
      </c>
    </row>
    <row r="2" spans="1:26">
      <c r="A2" s="7">
        <v>40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</row>
    <row r="3" spans="1:26">
      <c r="A3" s="7">
        <v>42</v>
      </c>
      <c r="B3" s="7">
        <v>0</v>
      </c>
      <c r="C3" s="7">
        <v>0</v>
      </c>
      <c r="D3" s="7">
        <v>0</v>
      </c>
      <c r="E3" s="7">
        <v>1</v>
      </c>
      <c r="F3" s="7">
        <v>0</v>
      </c>
      <c r="G3" s="7">
        <v>0</v>
      </c>
      <c r="H3" s="7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</row>
    <row r="4" spans="1:26">
      <c r="A4" s="7">
        <v>66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</row>
    <row r="5" spans="1:26">
      <c r="A5" s="7">
        <v>77</v>
      </c>
      <c r="B5" s="7">
        <v>0</v>
      </c>
      <c r="C5" s="7">
        <v>0</v>
      </c>
      <c r="D5" s="7">
        <v>0</v>
      </c>
      <c r="E5" s="7">
        <v>1</v>
      </c>
      <c r="F5" s="7">
        <v>0</v>
      </c>
      <c r="G5" s="7">
        <v>0</v>
      </c>
      <c r="H5" s="7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</row>
    <row r="6" spans="1:26">
      <c r="A6" s="7">
        <v>4</v>
      </c>
      <c r="B6" s="7">
        <v>1</v>
      </c>
      <c r="C6" s="7">
        <v>0</v>
      </c>
      <c r="D6" s="7">
        <v>0</v>
      </c>
      <c r="E6" s="7">
        <v>0</v>
      </c>
      <c r="F6" s="7">
        <v>1</v>
      </c>
      <c r="G6" s="7">
        <v>6</v>
      </c>
      <c r="H6" s="7">
        <v>1</v>
      </c>
      <c r="I6" s="8" t="s">
        <v>58</v>
      </c>
      <c r="J6" s="8" t="s">
        <v>61</v>
      </c>
      <c r="K6" s="8" t="s">
        <v>59</v>
      </c>
      <c r="L6" s="8" t="s">
        <v>89</v>
      </c>
      <c r="M6" s="8" t="s">
        <v>57</v>
      </c>
      <c r="N6" s="8" t="s">
        <v>90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</row>
    <row r="7" spans="1:26">
      <c r="A7" s="7">
        <v>17</v>
      </c>
      <c r="B7" s="7">
        <v>1</v>
      </c>
      <c r="C7" s="7">
        <v>0</v>
      </c>
      <c r="D7" s="7">
        <v>0</v>
      </c>
      <c r="E7" s="7">
        <v>1</v>
      </c>
      <c r="F7" s="7">
        <v>1</v>
      </c>
      <c r="G7" s="7">
        <v>6</v>
      </c>
      <c r="H7" s="7">
        <v>1</v>
      </c>
      <c r="I7" s="8" t="s">
        <v>58</v>
      </c>
      <c r="J7" s="8" t="s">
        <v>61</v>
      </c>
      <c r="K7" s="8" t="s">
        <v>59</v>
      </c>
      <c r="L7" s="8" t="s">
        <v>89</v>
      </c>
      <c r="M7" s="8" t="s">
        <v>57</v>
      </c>
      <c r="N7" s="8" t="s">
        <v>90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</row>
    <row r="8" spans="1:26">
      <c r="A8" s="7">
        <v>76</v>
      </c>
      <c r="B8" s="7">
        <v>1</v>
      </c>
      <c r="C8" s="7">
        <v>0</v>
      </c>
      <c r="D8" s="7">
        <v>0</v>
      </c>
      <c r="E8" s="7">
        <v>0</v>
      </c>
      <c r="F8" s="7">
        <v>1</v>
      </c>
      <c r="G8" s="7">
        <v>6</v>
      </c>
      <c r="H8" s="7">
        <v>1</v>
      </c>
      <c r="I8" s="8" t="s">
        <v>58</v>
      </c>
      <c r="J8" s="8" t="s">
        <v>61</v>
      </c>
      <c r="K8" s="8" t="s">
        <v>59</v>
      </c>
      <c r="L8" s="8" t="s">
        <v>89</v>
      </c>
      <c r="M8" s="8" t="s">
        <v>57</v>
      </c>
      <c r="N8" s="8" t="s">
        <v>90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</row>
    <row r="9" spans="1:26">
      <c r="A9" s="7">
        <v>78</v>
      </c>
      <c r="B9" s="7">
        <v>1</v>
      </c>
      <c r="C9" s="7">
        <v>0</v>
      </c>
      <c r="D9" s="7">
        <v>0</v>
      </c>
      <c r="E9" s="7">
        <v>1</v>
      </c>
      <c r="F9" s="7">
        <v>1</v>
      </c>
      <c r="G9" s="7">
        <v>6</v>
      </c>
      <c r="H9" s="7">
        <v>1</v>
      </c>
      <c r="I9" s="8" t="s">
        <v>58</v>
      </c>
      <c r="J9" s="8" t="s">
        <v>61</v>
      </c>
      <c r="K9" s="8" t="s">
        <v>59</v>
      </c>
      <c r="L9" s="8" t="s">
        <v>89</v>
      </c>
      <c r="M9" s="8" t="s">
        <v>57</v>
      </c>
      <c r="N9" s="8" t="s">
        <v>90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</row>
    <row r="10" spans="1:26">
      <c r="A10" s="7">
        <v>6</v>
      </c>
      <c r="B10" s="7">
        <v>1</v>
      </c>
      <c r="C10" s="7">
        <v>0</v>
      </c>
      <c r="D10" s="7">
        <v>0</v>
      </c>
      <c r="E10" s="7">
        <v>0</v>
      </c>
      <c r="F10" s="7">
        <v>2</v>
      </c>
      <c r="G10" s="7">
        <v>6</v>
      </c>
      <c r="H10" s="7">
        <v>1</v>
      </c>
      <c r="I10" s="8" t="s">
        <v>59</v>
      </c>
      <c r="J10" s="8" t="s">
        <v>60</v>
      </c>
      <c r="K10" s="8" t="s">
        <v>61</v>
      </c>
      <c r="L10" s="8" t="s">
        <v>89</v>
      </c>
      <c r="M10" s="8" t="s">
        <v>90</v>
      </c>
      <c r="N10" s="8" t="s">
        <v>58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</row>
    <row r="11" spans="1:26">
      <c r="A11" s="7">
        <v>49</v>
      </c>
      <c r="B11" s="7">
        <v>1</v>
      </c>
      <c r="C11" s="7">
        <v>0</v>
      </c>
      <c r="D11" s="7">
        <v>0</v>
      </c>
      <c r="E11" s="7">
        <v>1</v>
      </c>
      <c r="F11" s="7">
        <v>2</v>
      </c>
      <c r="G11" s="7">
        <v>6</v>
      </c>
      <c r="H11" s="7">
        <v>1</v>
      </c>
      <c r="I11" s="8" t="s">
        <v>59</v>
      </c>
      <c r="J11" s="8" t="s">
        <v>60</v>
      </c>
      <c r="K11" s="8" t="s">
        <v>61</v>
      </c>
      <c r="L11" s="8" t="s">
        <v>89</v>
      </c>
      <c r="M11" s="8" t="s">
        <v>90</v>
      </c>
      <c r="N11" s="8" t="s">
        <v>58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</row>
    <row r="12" spans="1:26">
      <c r="A12" s="7">
        <v>71</v>
      </c>
      <c r="B12" s="7">
        <v>1</v>
      </c>
      <c r="C12" s="7">
        <v>0</v>
      </c>
      <c r="D12" s="7">
        <v>0</v>
      </c>
      <c r="E12" s="7">
        <v>0</v>
      </c>
      <c r="F12" s="7">
        <v>2</v>
      </c>
      <c r="G12" s="7">
        <v>6</v>
      </c>
      <c r="H12" s="7">
        <v>1</v>
      </c>
      <c r="I12" s="8" t="s">
        <v>59</v>
      </c>
      <c r="J12" s="8" t="s">
        <v>60</v>
      </c>
      <c r="K12" s="8" t="s">
        <v>61</v>
      </c>
      <c r="L12" s="8" t="s">
        <v>89</v>
      </c>
      <c r="M12" s="8" t="s">
        <v>90</v>
      </c>
      <c r="N12" s="8" t="s">
        <v>58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</row>
    <row r="13" spans="1:26">
      <c r="A13" s="7">
        <v>108</v>
      </c>
      <c r="B13" s="7">
        <v>1</v>
      </c>
      <c r="C13" s="7">
        <v>0</v>
      </c>
      <c r="D13" s="7">
        <v>0</v>
      </c>
      <c r="E13" s="7">
        <v>1</v>
      </c>
      <c r="F13" s="7">
        <v>2</v>
      </c>
      <c r="G13" s="7">
        <v>6</v>
      </c>
      <c r="H13" s="7">
        <v>1</v>
      </c>
      <c r="I13" s="8" t="s">
        <v>59</v>
      </c>
      <c r="J13" s="8" t="s">
        <v>60</v>
      </c>
      <c r="K13" s="8" t="s">
        <v>61</v>
      </c>
      <c r="L13" s="8" t="s">
        <v>89</v>
      </c>
      <c r="M13" s="8" t="s">
        <v>90</v>
      </c>
      <c r="N13" s="8" t="s">
        <v>58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</row>
    <row r="14" spans="1:26">
      <c r="A14" s="7">
        <v>22</v>
      </c>
      <c r="B14" s="7">
        <v>1</v>
      </c>
      <c r="C14" s="7">
        <v>0</v>
      </c>
      <c r="D14" s="7">
        <v>0</v>
      </c>
      <c r="E14" s="7">
        <v>0</v>
      </c>
      <c r="F14" s="7">
        <v>3</v>
      </c>
      <c r="G14" s="7">
        <v>6</v>
      </c>
      <c r="H14" s="7">
        <v>1</v>
      </c>
      <c r="I14" s="8" t="s">
        <v>60</v>
      </c>
      <c r="J14" s="8" t="s">
        <v>57</v>
      </c>
      <c r="K14" s="8" t="s">
        <v>90</v>
      </c>
      <c r="L14" s="8" t="s">
        <v>55</v>
      </c>
      <c r="M14" s="8" t="s">
        <v>58</v>
      </c>
      <c r="N14" s="8" t="s">
        <v>59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</row>
    <row r="15" spans="1:26">
      <c r="A15" s="7">
        <v>31</v>
      </c>
      <c r="B15" s="7">
        <v>1</v>
      </c>
      <c r="C15" s="7">
        <v>0</v>
      </c>
      <c r="D15" s="7">
        <v>0</v>
      </c>
      <c r="E15" s="7">
        <v>1</v>
      </c>
      <c r="F15" s="7">
        <v>3</v>
      </c>
      <c r="G15" s="7">
        <v>6</v>
      </c>
      <c r="H15" s="7">
        <v>1</v>
      </c>
      <c r="I15" s="8" t="s">
        <v>60</v>
      </c>
      <c r="J15" s="8" t="s">
        <v>57</v>
      </c>
      <c r="K15" s="8" t="s">
        <v>90</v>
      </c>
      <c r="L15" s="8" t="s">
        <v>55</v>
      </c>
      <c r="M15" s="8" t="s">
        <v>58</v>
      </c>
      <c r="N15" s="8" t="s">
        <v>59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</row>
    <row r="16" spans="1:26">
      <c r="A16" s="7">
        <v>89</v>
      </c>
      <c r="B16" s="7">
        <v>1</v>
      </c>
      <c r="C16" s="7">
        <v>0</v>
      </c>
      <c r="D16" s="7">
        <v>0</v>
      </c>
      <c r="E16" s="7">
        <v>0</v>
      </c>
      <c r="F16" s="7">
        <v>3</v>
      </c>
      <c r="G16" s="7">
        <v>6</v>
      </c>
      <c r="H16" s="7">
        <v>1</v>
      </c>
      <c r="I16" s="8" t="s">
        <v>60</v>
      </c>
      <c r="J16" s="8" t="s">
        <v>57</v>
      </c>
      <c r="K16" s="8" t="s">
        <v>90</v>
      </c>
      <c r="L16" s="8" t="s">
        <v>55</v>
      </c>
      <c r="M16" s="8" t="s">
        <v>58</v>
      </c>
      <c r="N16" s="8" t="s">
        <v>59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</row>
    <row r="17" spans="1:26">
      <c r="A17" s="7">
        <v>94</v>
      </c>
      <c r="B17" s="7">
        <v>1</v>
      </c>
      <c r="C17" s="7">
        <v>0</v>
      </c>
      <c r="D17" s="7">
        <v>0</v>
      </c>
      <c r="E17" s="7">
        <v>1</v>
      </c>
      <c r="F17" s="7">
        <v>3</v>
      </c>
      <c r="G17" s="7">
        <v>6</v>
      </c>
      <c r="H17" s="7">
        <v>1</v>
      </c>
      <c r="I17" s="8" t="s">
        <v>60</v>
      </c>
      <c r="J17" s="8" t="s">
        <v>57</v>
      </c>
      <c r="K17" s="8" t="s">
        <v>90</v>
      </c>
      <c r="L17" s="8" t="s">
        <v>55</v>
      </c>
      <c r="M17" s="8" t="s">
        <v>58</v>
      </c>
      <c r="N17" s="8" t="s">
        <v>59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</row>
    <row r="18" spans="1:26">
      <c r="A18" s="7">
        <v>30</v>
      </c>
      <c r="B18" s="7">
        <v>0</v>
      </c>
      <c r="C18" s="7">
        <v>1</v>
      </c>
      <c r="D18" s="7">
        <v>0</v>
      </c>
      <c r="E18" s="7">
        <v>0</v>
      </c>
      <c r="F18" s="7">
        <v>4</v>
      </c>
      <c r="G18" s="7">
        <v>6</v>
      </c>
      <c r="H18" s="7">
        <v>1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9" t="s">
        <v>68</v>
      </c>
      <c r="P18" s="9" t="s">
        <v>92</v>
      </c>
      <c r="Q18" s="9" t="s">
        <v>65</v>
      </c>
      <c r="R18" s="9" t="s">
        <v>64</v>
      </c>
      <c r="S18" s="9" t="s">
        <v>63</v>
      </c>
      <c r="T18" s="9" t="s">
        <v>69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</row>
    <row r="19" spans="1:26">
      <c r="A19" s="7">
        <v>38</v>
      </c>
      <c r="B19" s="7">
        <v>0</v>
      </c>
      <c r="C19" s="7">
        <v>1</v>
      </c>
      <c r="D19" s="7">
        <v>0</v>
      </c>
      <c r="E19" s="7">
        <v>1</v>
      </c>
      <c r="F19" s="7">
        <v>4</v>
      </c>
      <c r="G19" s="7">
        <v>6</v>
      </c>
      <c r="H19" s="7">
        <v>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9" t="s">
        <v>68</v>
      </c>
      <c r="P19" s="9" t="s">
        <v>92</v>
      </c>
      <c r="Q19" s="9" t="s">
        <v>65</v>
      </c>
      <c r="R19" s="9" t="s">
        <v>64</v>
      </c>
      <c r="S19" s="9" t="s">
        <v>63</v>
      </c>
      <c r="T19" s="9" t="s">
        <v>69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</row>
    <row r="20" spans="1:26">
      <c r="A20" s="7">
        <v>69</v>
      </c>
      <c r="B20" s="7">
        <v>0</v>
      </c>
      <c r="C20" s="7">
        <v>1</v>
      </c>
      <c r="D20" s="7">
        <v>0</v>
      </c>
      <c r="E20" s="7">
        <v>0</v>
      </c>
      <c r="F20" s="7">
        <v>4</v>
      </c>
      <c r="G20" s="7">
        <v>6</v>
      </c>
      <c r="H20" s="7">
        <v>1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9" t="s">
        <v>68</v>
      </c>
      <c r="P20" s="9" t="s">
        <v>92</v>
      </c>
      <c r="Q20" s="9" t="s">
        <v>65</v>
      </c>
      <c r="R20" s="9" t="s">
        <v>64</v>
      </c>
      <c r="S20" s="9" t="s">
        <v>63</v>
      </c>
      <c r="T20" s="9" t="s">
        <v>69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</row>
    <row r="21" spans="1:26">
      <c r="A21" s="7">
        <v>102</v>
      </c>
      <c r="B21" s="7">
        <v>0</v>
      </c>
      <c r="C21" s="7">
        <v>1</v>
      </c>
      <c r="D21" s="7">
        <v>0</v>
      </c>
      <c r="E21" s="7">
        <v>1</v>
      </c>
      <c r="F21" s="7">
        <v>4</v>
      </c>
      <c r="G21" s="7">
        <v>6</v>
      </c>
      <c r="H21" s="7">
        <v>1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9" t="s">
        <v>68</v>
      </c>
      <c r="P21" s="9" t="s">
        <v>92</v>
      </c>
      <c r="Q21" s="9" t="s">
        <v>65</v>
      </c>
      <c r="R21" s="9" t="s">
        <v>64</v>
      </c>
      <c r="S21" s="9" t="s">
        <v>63</v>
      </c>
      <c r="T21" s="9" t="s">
        <v>69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</row>
    <row r="22" spans="1:26">
      <c r="A22" s="7">
        <v>44</v>
      </c>
      <c r="B22" s="7">
        <v>0</v>
      </c>
      <c r="C22" s="7">
        <v>1</v>
      </c>
      <c r="D22" s="7">
        <v>0</v>
      </c>
      <c r="E22" s="7">
        <v>0</v>
      </c>
      <c r="F22" s="7">
        <v>5</v>
      </c>
      <c r="G22" s="7">
        <v>6</v>
      </c>
      <c r="H22" s="7">
        <v>1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9" t="s">
        <v>63</v>
      </c>
      <c r="P22" s="9" t="s">
        <v>93</v>
      </c>
      <c r="Q22" s="9" t="s">
        <v>91</v>
      </c>
      <c r="R22" s="9" t="s">
        <v>69</v>
      </c>
      <c r="S22" s="9" t="s">
        <v>65</v>
      </c>
      <c r="T22" s="9" t="s">
        <v>92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</row>
    <row r="23" spans="1:26">
      <c r="A23" s="7">
        <v>45</v>
      </c>
      <c r="B23" s="7">
        <v>0</v>
      </c>
      <c r="C23" s="7">
        <v>1</v>
      </c>
      <c r="D23" s="7">
        <v>0</v>
      </c>
      <c r="E23" s="7">
        <v>1</v>
      </c>
      <c r="F23" s="7">
        <v>5</v>
      </c>
      <c r="G23" s="7">
        <v>6</v>
      </c>
      <c r="H23" s="7">
        <v>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9" t="s">
        <v>63</v>
      </c>
      <c r="P23" s="9" t="s">
        <v>93</v>
      </c>
      <c r="Q23" s="9" t="s">
        <v>91</v>
      </c>
      <c r="R23" s="9" t="s">
        <v>69</v>
      </c>
      <c r="S23" s="9" t="s">
        <v>65</v>
      </c>
      <c r="T23" s="9" t="s">
        <v>92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</row>
    <row r="24" spans="1:26">
      <c r="A24" s="7">
        <v>62</v>
      </c>
      <c r="B24" s="7">
        <v>0</v>
      </c>
      <c r="C24" s="7">
        <v>1</v>
      </c>
      <c r="D24" s="7">
        <v>0</v>
      </c>
      <c r="E24" s="7">
        <v>0</v>
      </c>
      <c r="F24" s="7">
        <v>5</v>
      </c>
      <c r="G24" s="7">
        <v>6</v>
      </c>
      <c r="H24" s="7">
        <v>1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9" t="s">
        <v>63</v>
      </c>
      <c r="P24" s="9" t="s">
        <v>93</v>
      </c>
      <c r="Q24" s="9" t="s">
        <v>91</v>
      </c>
      <c r="R24" s="9" t="s">
        <v>69</v>
      </c>
      <c r="S24" s="9" t="s">
        <v>65</v>
      </c>
      <c r="T24" s="9" t="s">
        <v>92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</row>
    <row r="25" spans="1:26">
      <c r="A25" s="7">
        <v>63</v>
      </c>
      <c r="B25" s="7">
        <v>0</v>
      </c>
      <c r="C25" s="7">
        <v>1</v>
      </c>
      <c r="D25" s="7">
        <v>0</v>
      </c>
      <c r="E25" s="7">
        <v>1</v>
      </c>
      <c r="F25" s="7">
        <v>5</v>
      </c>
      <c r="G25" s="7">
        <v>6</v>
      </c>
      <c r="H25" s="7">
        <v>1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9" t="s">
        <v>63</v>
      </c>
      <c r="P25" s="9" t="s">
        <v>93</v>
      </c>
      <c r="Q25" s="9" t="s">
        <v>91</v>
      </c>
      <c r="R25" s="9" t="s">
        <v>69</v>
      </c>
      <c r="S25" s="9" t="s">
        <v>65</v>
      </c>
      <c r="T25" s="9" t="s">
        <v>92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</row>
    <row r="26" spans="1:26">
      <c r="A26" s="7">
        <v>26</v>
      </c>
      <c r="B26" s="7">
        <v>0</v>
      </c>
      <c r="C26" s="7">
        <v>1</v>
      </c>
      <c r="D26" s="7">
        <v>0</v>
      </c>
      <c r="E26" s="7">
        <v>0</v>
      </c>
      <c r="F26" s="7">
        <v>6</v>
      </c>
      <c r="G26" s="7">
        <v>6</v>
      </c>
      <c r="H26" s="7">
        <v>1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9" t="s">
        <v>69</v>
      </c>
      <c r="P26" s="9" t="s">
        <v>64</v>
      </c>
      <c r="Q26" s="9" t="s">
        <v>68</v>
      </c>
      <c r="R26" s="9" t="s">
        <v>63</v>
      </c>
      <c r="S26" s="9" t="s">
        <v>93</v>
      </c>
      <c r="T26" s="9" t="s">
        <v>91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</row>
    <row r="27" spans="1:26">
      <c r="A27" s="7">
        <v>46</v>
      </c>
      <c r="B27" s="7">
        <v>0</v>
      </c>
      <c r="C27" s="7">
        <v>1</v>
      </c>
      <c r="D27" s="7">
        <v>0</v>
      </c>
      <c r="E27" s="7">
        <v>1</v>
      </c>
      <c r="F27" s="7">
        <v>6</v>
      </c>
      <c r="G27" s="7">
        <v>6</v>
      </c>
      <c r="H27" s="7">
        <v>1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9" t="s">
        <v>69</v>
      </c>
      <c r="P27" s="9" t="s">
        <v>64</v>
      </c>
      <c r="Q27" s="9" t="s">
        <v>68</v>
      </c>
      <c r="R27" s="9" t="s">
        <v>63</v>
      </c>
      <c r="S27" s="9" t="s">
        <v>93</v>
      </c>
      <c r="T27" s="9" t="s">
        <v>91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</row>
    <row r="28" spans="1:26">
      <c r="A28" s="7">
        <v>61</v>
      </c>
      <c r="B28" s="7">
        <v>0</v>
      </c>
      <c r="C28" s="7">
        <v>1</v>
      </c>
      <c r="D28" s="7">
        <v>0</v>
      </c>
      <c r="E28" s="7">
        <v>0</v>
      </c>
      <c r="F28" s="7">
        <v>6</v>
      </c>
      <c r="G28" s="7">
        <v>6</v>
      </c>
      <c r="H28" s="7">
        <v>1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9" t="s">
        <v>69</v>
      </c>
      <c r="P28" s="9" t="s">
        <v>64</v>
      </c>
      <c r="Q28" s="9" t="s">
        <v>68</v>
      </c>
      <c r="R28" s="9" t="s">
        <v>63</v>
      </c>
      <c r="S28" s="9" t="s">
        <v>93</v>
      </c>
      <c r="T28" s="9" t="s">
        <v>91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</row>
    <row r="29" spans="1:26">
      <c r="A29" s="7">
        <v>75</v>
      </c>
      <c r="B29" s="7">
        <v>0</v>
      </c>
      <c r="C29" s="7">
        <v>1</v>
      </c>
      <c r="D29" s="7">
        <v>0</v>
      </c>
      <c r="E29" s="7">
        <v>1</v>
      </c>
      <c r="F29" s="7">
        <v>6</v>
      </c>
      <c r="G29" s="7">
        <v>6</v>
      </c>
      <c r="H29" s="7">
        <v>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9" t="s">
        <v>69</v>
      </c>
      <c r="P29" s="9" t="s">
        <v>64</v>
      </c>
      <c r="Q29" s="9" t="s">
        <v>68</v>
      </c>
      <c r="R29" s="9" t="s">
        <v>63</v>
      </c>
      <c r="S29" s="9" t="s">
        <v>93</v>
      </c>
      <c r="T29" s="9" t="s">
        <v>91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</row>
    <row r="30" spans="1:26">
      <c r="A30" s="7">
        <v>28</v>
      </c>
      <c r="B30" s="7">
        <v>1</v>
      </c>
      <c r="C30" s="7">
        <v>1</v>
      </c>
      <c r="D30" s="7">
        <v>0</v>
      </c>
      <c r="E30" s="7">
        <v>0</v>
      </c>
      <c r="F30" s="7">
        <v>7</v>
      </c>
      <c r="G30" s="7">
        <v>6</v>
      </c>
      <c r="H30" s="7">
        <v>2</v>
      </c>
      <c r="I30" s="8" t="s">
        <v>55</v>
      </c>
      <c r="J30" s="8" t="s">
        <v>90</v>
      </c>
      <c r="K30" s="8" t="s">
        <v>59</v>
      </c>
      <c r="L30" s="8">
        <v>0</v>
      </c>
      <c r="M30" s="8">
        <v>0</v>
      </c>
      <c r="N30" s="8">
        <v>0</v>
      </c>
      <c r="O30" s="9" t="s">
        <v>68</v>
      </c>
      <c r="P30" s="9" t="s">
        <v>63</v>
      </c>
      <c r="Q30" s="9" t="s">
        <v>69</v>
      </c>
      <c r="R30" s="9">
        <v>0</v>
      </c>
      <c r="S30" s="9">
        <v>0</v>
      </c>
      <c r="T30" s="9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</row>
    <row r="31" spans="1:26">
      <c r="A31" s="7">
        <v>43</v>
      </c>
      <c r="B31" s="7">
        <v>1</v>
      </c>
      <c r="C31" s="7">
        <v>1</v>
      </c>
      <c r="D31" s="7">
        <v>0</v>
      </c>
      <c r="E31" s="7">
        <v>1</v>
      </c>
      <c r="F31" s="7">
        <v>7</v>
      </c>
      <c r="G31" s="7">
        <v>6</v>
      </c>
      <c r="H31" s="7">
        <v>2</v>
      </c>
      <c r="I31" s="8" t="s">
        <v>55</v>
      </c>
      <c r="J31" s="8" t="s">
        <v>90</v>
      </c>
      <c r="K31" s="8" t="s">
        <v>59</v>
      </c>
      <c r="L31" s="8">
        <v>0</v>
      </c>
      <c r="M31" s="8">
        <v>0</v>
      </c>
      <c r="N31" s="8">
        <v>0</v>
      </c>
      <c r="O31" s="9" t="s">
        <v>68</v>
      </c>
      <c r="P31" s="9" t="s">
        <v>63</v>
      </c>
      <c r="Q31" s="9" t="s">
        <v>69</v>
      </c>
      <c r="R31" s="9">
        <v>0</v>
      </c>
      <c r="S31" s="9">
        <v>0</v>
      </c>
      <c r="T31" s="9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</row>
    <row r="32" spans="1:26">
      <c r="A32" s="7">
        <v>81</v>
      </c>
      <c r="B32" s="7">
        <v>1</v>
      </c>
      <c r="C32" s="7">
        <v>1</v>
      </c>
      <c r="D32" s="7">
        <v>0</v>
      </c>
      <c r="E32" s="7">
        <v>0</v>
      </c>
      <c r="F32" s="7">
        <v>7</v>
      </c>
      <c r="G32" s="7">
        <v>6</v>
      </c>
      <c r="H32" s="7">
        <v>2</v>
      </c>
      <c r="I32" s="8" t="s">
        <v>55</v>
      </c>
      <c r="J32" s="8" t="s">
        <v>90</v>
      </c>
      <c r="K32" s="8" t="s">
        <v>59</v>
      </c>
      <c r="L32" s="8">
        <v>0</v>
      </c>
      <c r="M32" s="8">
        <v>0</v>
      </c>
      <c r="N32" s="8">
        <v>0</v>
      </c>
      <c r="O32" s="9" t="s">
        <v>68</v>
      </c>
      <c r="P32" s="9" t="s">
        <v>63</v>
      </c>
      <c r="Q32" s="9" t="s">
        <v>69</v>
      </c>
      <c r="R32" s="9">
        <v>0</v>
      </c>
      <c r="S32" s="9">
        <v>0</v>
      </c>
      <c r="T32" s="9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</row>
    <row r="33" spans="1:26">
      <c r="A33" s="7">
        <v>92</v>
      </c>
      <c r="B33" s="7">
        <v>1</v>
      </c>
      <c r="C33" s="7">
        <v>1</v>
      </c>
      <c r="D33" s="7">
        <v>0</v>
      </c>
      <c r="E33" s="7">
        <v>1</v>
      </c>
      <c r="F33" s="7">
        <v>7</v>
      </c>
      <c r="G33" s="7">
        <v>6</v>
      </c>
      <c r="H33" s="7">
        <v>2</v>
      </c>
      <c r="I33" s="8" t="s">
        <v>55</v>
      </c>
      <c r="J33" s="8" t="s">
        <v>90</v>
      </c>
      <c r="K33" s="8" t="s">
        <v>59</v>
      </c>
      <c r="L33" s="8">
        <v>0</v>
      </c>
      <c r="M33" s="8">
        <v>0</v>
      </c>
      <c r="N33" s="8">
        <v>0</v>
      </c>
      <c r="O33" s="9" t="s">
        <v>68</v>
      </c>
      <c r="P33" s="9" t="s">
        <v>63</v>
      </c>
      <c r="Q33" s="9" t="s">
        <v>69</v>
      </c>
      <c r="R33" s="9">
        <v>0</v>
      </c>
      <c r="S33" s="9">
        <v>0</v>
      </c>
      <c r="T33" s="9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</row>
    <row r="34" spans="1:26">
      <c r="A34" s="7">
        <v>5</v>
      </c>
      <c r="B34" s="7">
        <v>1</v>
      </c>
      <c r="C34" s="7">
        <v>1</v>
      </c>
      <c r="D34" s="7">
        <v>0</v>
      </c>
      <c r="E34" s="7">
        <v>0</v>
      </c>
      <c r="F34" s="7">
        <v>8</v>
      </c>
      <c r="G34" s="7">
        <v>6</v>
      </c>
      <c r="H34" s="7">
        <v>2</v>
      </c>
      <c r="I34" s="8" t="s">
        <v>59</v>
      </c>
      <c r="J34" s="8" t="s">
        <v>90</v>
      </c>
      <c r="K34" s="8" t="s">
        <v>60</v>
      </c>
      <c r="L34" s="8">
        <v>0</v>
      </c>
      <c r="M34" s="8">
        <v>0</v>
      </c>
      <c r="N34" s="8">
        <v>0</v>
      </c>
      <c r="O34" s="9" t="s">
        <v>65</v>
      </c>
      <c r="P34" s="9" t="s">
        <v>68</v>
      </c>
      <c r="Q34" s="9" t="s">
        <v>93</v>
      </c>
      <c r="R34" s="9">
        <v>0</v>
      </c>
      <c r="S34" s="9">
        <v>0</v>
      </c>
      <c r="T34" s="9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</row>
    <row r="35" spans="1:26">
      <c r="A35" s="7">
        <v>35</v>
      </c>
      <c r="B35" s="7">
        <v>1</v>
      </c>
      <c r="C35" s="7">
        <v>1</v>
      </c>
      <c r="D35" s="7">
        <v>0</v>
      </c>
      <c r="E35" s="7">
        <v>1</v>
      </c>
      <c r="F35" s="7">
        <v>8</v>
      </c>
      <c r="G35" s="7">
        <v>6</v>
      </c>
      <c r="H35" s="7">
        <v>2</v>
      </c>
      <c r="I35" s="8" t="s">
        <v>59</v>
      </c>
      <c r="J35" s="8" t="s">
        <v>90</v>
      </c>
      <c r="K35" s="8" t="s">
        <v>60</v>
      </c>
      <c r="L35" s="8">
        <v>0</v>
      </c>
      <c r="M35" s="8">
        <v>0</v>
      </c>
      <c r="N35" s="8">
        <v>0</v>
      </c>
      <c r="O35" s="9" t="s">
        <v>65</v>
      </c>
      <c r="P35" s="9" t="s">
        <v>68</v>
      </c>
      <c r="Q35" s="9" t="s">
        <v>93</v>
      </c>
      <c r="R35" s="9">
        <v>0</v>
      </c>
      <c r="S35" s="9">
        <v>0</v>
      </c>
      <c r="T35" s="9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</row>
    <row r="36" spans="1:26">
      <c r="A36" s="7">
        <v>68</v>
      </c>
      <c r="B36" s="7">
        <v>1</v>
      </c>
      <c r="C36" s="7">
        <v>1</v>
      </c>
      <c r="D36" s="7">
        <v>0</v>
      </c>
      <c r="E36" s="7">
        <v>0</v>
      </c>
      <c r="F36" s="7">
        <v>8</v>
      </c>
      <c r="G36" s="7">
        <v>6</v>
      </c>
      <c r="H36" s="7">
        <v>2</v>
      </c>
      <c r="I36" s="8" t="s">
        <v>59</v>
      </c>
      <c r="J36" s="8" t="s">
        <v>90</v>
      </c>
      <c r="K36" s="8" t="s">
        <v>60</v>
      </c>
      <c r="L36" s="8">
        <v>0</v>
      </c>
      <c r="M36" s="8">
        <v>0</v>
      </c>
      <c r="N36" s="8">
        <v>0</v>
      </c>
      <c r="O36" s="9" t="s">
        <v>65</v>
      </c>
      <c r="P36" s="9" t="s">
        <v>68</v>
      </c>
      <c r="Q36" s="9" t="s">
        <v>93</v>
      </c>
      <c r="R36" s="9">
        <v>0</v>
      </c>
      <c r="S36" s="9">
        <v>0</v>
      </c>
      <c r="T36" s="9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</row>
    <row r="37" spans="1:26">
      <c r="A37" s="7">
        <v>95</v>
      </c>
      <c r="B37" s="7">
        <v>1</v>
      </c>
      <c r="C37" s="7">
        <v>1</v>
      </c>
      <c r="D37" s="7">
        <v>0</v>
      </c>
      <c r="E37" s="7">
        <v>1</v>
      </c>
      <c r="F37" s="7">
        <v>8</v>
      </c>
      <c r="G37" s="7">
        <v>6</v>
      </c>
      <c r="H37" s="7">
        <v>2</v>
      </c>
      <c r="I37" s="8" t="s">
        <v>59</v>
      </c>
      <c r="J37" s="8" t="s">
        <v>90</v>
      </c>
      <c r="K37" s="8" t="s">
        <v>60</v>
      </c>
      <c r="L37" s="8">
        <v>0</v>
      </c>
      <c r="M37" s="8">
        <v>0</v>
      </c>
      <c r="N37" s="8">
        <v>0</v>
      </c>
      <c r="O37" s="9" t="s">
        <v>65</v>
      </c>
      <c r="P37" s="9" t="s">
        <v>68</v>
      </c>
      <c r="Q37" s="9" t="s">
        <v>93</v>
      </c>
      <c r="R37" s="9">
        <v>0</v>
      </c>
      <c r="S37" s="9">
        <v>0</v>
      </c>
      <c r="T37" s="9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</row>
    <row r="38" spans="1:26">
      <c r="A38" s="7">
        <v>27</v>
      </c>
      <c r="B38" s="7">
        <v>1</v>
      </c>
      <c r="C38" s="7">
        <v>1</v>
      </c>
      <c r="D38" s="7">
        <v>0</v>
      </c>
      <c r="E38" s="7">
        <v>0</v>
      </c>
      <c r="F38" s="7">
        <v>9</v>
      </c>
      <c r="G38" s="7">
        <v>6</v>
      </c>
      <c r="H38" s="7">
        <v>2</v>
      </c>
      <c r="I38" s="8" t="s">
        <v>55</v>
      </c>
      <c r="J38" s="8" t="s">
        <v>58</v>
      </c>
      <c r="K38" s="8" t="s">
        <v>59</v>
      </c>
      <c r="L38" s="8">
        <v>0</v>
      </c>
      <c r="M38" s="8">
        <v>0</v>
      </c>
      <c r="N38" s="8">
        <v>0</v>
      </c>
      <c r="O38" s="9" t="s">
        <v>63</v>
      </c>
      <c r="P38" s="9" t="s">
        <v>93</v>
      </c>
      <c r="Q38" s="9" t="s">
        <v>64</v>
      </c>
      <c r="R38" s="9">
        <v>0</v>
      </c>
      <c r="S38" s="9">
        <v>0</v>
      </c>
      <c r="T38" s="9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</row>
    <row r="39" spans="1:26">
      <c r="A39" s="7">
        <v>41</v>
      </c>
      <c r="B39" s="7">
        <v>1</v>
      </c>
      <c r="C39" s="7">
        <v>1</v>
      </c>
      <c r="D39" s="7">
        <v>0</v>
      </c>
      <c r="E39" s="7">
        <v>1</v>
      </c>
      <c r="F39" s="7">
        <v>9</v>
      </c>
      <c r="G39" s="7">
        <v>6</v>
      </c>
      <c r="H39" s="7">
        <v>2</v>
      </c>
      <c r="I39" s="8" t="s">
        <v>55</v>
      </c>
      <c r="J39" s="8" t="s">
        <v>58</v>
      </c>
      <c r="K39" s="8" t="s">
        <v>59</v>
      </c>
      <c r="L39" s="8">
        <v>0</v>
      </c>
      <c r="M39" s="8">
        <v>0</v>
      </c>
      <c r="N39" s="8">
        <v>0</v>
      </c>
      <c r="O39" s="9" t="s">
        <v>63</v>
      </c>
      <c r="P39" s="9" t="s">
        <v>93</v>
      </c>
      <c r="Q39" s="9" t="s">
        <v>64</v>
      </c>
      <c r="R39" s="9">
        <v>0</v>
      </c>
      <c r="S39" s="9">
        <v>0</v>
      </c>
      <c r="T39" s="9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</row>
    <row r="40" spans="1:26">
      <c r="A40" s="7">
        <v>64</v>
      </c>
      <c r="B40" s="7">
        <v>1</v>
      </c>
      <c r="C40" s="7">
        <v>1</v>
      </c>
      <c r="D40" s="7">
        <v>0</v>
      </c>
      <c r="E40" s="7">
        <v>0</v>
      </c>
      <c r="F40" s="7">
        <v>9</v>
      </c>
      <c r="G40" s="7">
        <v>6</v>
      </c>
      <c r="H40" s="7">
        <v>2</v>
      </c>
      <c r="I40" s="8" t="s">
        <v>55</v>
      </c>
      <c r="J40" s="8" t="s">
        <v>58</v>
      </c>
      <c r="K40" s="8" t="s">
        <v>59</v>
      </c>
      <c r="L40" s="8">
        <v>0</v>
      </c>
      <c r="M40" s="8">
        <v>0</v>
      </c>
      <c r="N40" s="8">
        <v>0</v>
      </c>
      <c r="O40" s="9" t="s">
        <v>63</v>
      </c>
      <c r="P40" s="9" t="s">
        <v>93</v>
      </c>
      <c r="Q40" s="9" t="s">
        <v>64</v>
      </c>
      <c r="R40" s="9">
        <v>0</v>
      </c>
      <c r="S40" s="9">
        <v>0</v>
      </c>
      <c r="T40" s="9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</row>
    <row r="41" spans="1:26">
      <c r="A41" s="7">
        <v>96</v>
      </c>
      <c r="B41" s="7">
        <v>1</v>
      </c>
      <c r="C41" s="7">
        <v>1</v>
      </c>
      <c r="D41" s="7">
        <v>0</v>
      </c>
      <c r="E41" s="7">
        <v>1</v>
      </c>
      <c r="F41" s="7">
        <v>9</v>
      </c>
      <c r="G41" s="7">
        <v>6</v>
      </c>
      <c r="H41" s="7">
        <v>2</v>
      </c>
      <c r="I41" s="8" t="s">
        <v>55</v>
      </c>
      <c r="J41" s="8" t="s">
        <v>58</v>
      </c>
      <c r="K41" s="8" t="s">
        <v>59</v>
      </c>
      <c r="L41" s="8">
        <v>0</v>
      </c>
      <c r="M41" s="8">
        <v>0</v>
      </c>
      <c r="N41" s="8">
        <v>0</v>
      </c>
      <c r="O41" s="9" t="s">
        <v>63</v>
      </c>
      <c r="P41" s="9" t="s">
        <v>93</v>
      </c>
      <c r="Q41" s="9" t="s">
        <v>64</v>
      </c>
      <c r="R41" s="9">
        <v>0</v>
      </c>
      <c r="S41" s="9">
        <v>0</v>
      </c>
      <c r="T41" s="9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</row>
    <row r="42" spans="1:26">
      <c r="A42" s="7">
        <v>25</v>
      </c>
      <c r="B42" s="7">
        <v>0</v>
      </c>
      <c r="C42" s="7">
        <v>1</v>
      </c>
      <c r="D42" s="7">
        <v>1</v>
      </c>
      <c r="E42" s="7">
        <v>0</v>
      </c>
      <c r="F42" s="7">
        <v>10</v>
      </c>
      <c r="G42" s="7">
        <v>6</v>
      </c>
      <c r="H42" s="7">
        <v>2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9" t="s">
        <v>92</v>
      </c>
      <c r="P42" s="9" t="s">
        <v>65</v>
      </c>
      <c r="Q42" s="9" t="s">
        <v>63</v>
      </c>
      <c r="R42" s="9">
        <v>0</v>
      </c>
      <c r="S42" s="9">
        <v>0</v>
      </c>
      <c r="T42" s="9">
        <v>0</v>
      </c>
      <c r="U42" s="7" t="s">
        <v>70</v>
      </c>
      <c r="V42" s="7" t="s">
        <v>75</v>
      </c>
      <c r="W42" s="7" t="s">
        <v>96</v>
      </c>
      <c r="X42" s="7">
        <v>0</v>
      </c>
      <c r="Y42" s="7">
        <v>0</v>
      </c>
      <c r="Z42" s="7">
        <v>0</v>
      </c>
    </row>
    <row r="43" spans="1:26">
      <c r="A43" s="7">
        <v>34</v>
      </c>
      <c r="B43" s="7">
        <v>0</v>
      </c>
      <c r="C43" s="7">
        <v>1</v>
      </c>
      <c r="D43" s="7">
        <v>1</v>
      </c>
      <c r="E43" s="7">
        <v>1</v>
      </c>
      <c r="F43" s="7">
        <v>10</v>
      </c>
      <c r="G43" s="7">
        <v>6</v>
      </c>
      <c r="H43" s="7">
        <v>2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9" t="s">
        <v>92</v>
      </c>
      <c r="P43" s="9" t="s">
        <v>65</v>
      </c>
      <c r="Q43" s="9" t="s">
        <v>63</v>
      </c>
      <c r="R43" s="9">
        <v>0</v>
      </c>
      <c r="S43" s="9">
        <v>0</v>
      </c>
      <c r="T43" s="9">
        <v>0</v>
      </c>
      <c r="U43" s="7" t="s">
        <v>70</v>
      </c>
      <c r="V43" s="7" t="s">
        <v>75</v>
      </c>
      <c r="W43" s="7" t="s">
        <v>96</v>
      </c>
      <c r="X43" s="7">
        <v>0</v>
      </c>
      <c r="Y43" s="7">
        <v>0</v>
      </c>
      <c r="Z43" s="7">
        <v>0</v>
      </c>
    </row>
    <row r="44" spans="1:26">
      <c r="A44" s="7">
        <v>56</v>
      </c>
      <c r="B44" s="7">
        <v>0</v>
      </c>
      <c r="C44" s="7">
        <v>1</v>
      </c>
      <c r="D44" s="7">
        <v>1</v>
      </c>
      <c r="E44" s="7">
        <v>0</v>
      </c>
      <c r="F44" s="7">
        <v>10</v>
      </c>
      <c r="G44" s="7">
        <v>6</v>
      </c>
      <c r="H44" s="7">
        <v>2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9" t="s">
        <v>92</v>
      </c>
      <c r="P44" s="9" t="s">
        <v>65</v>
      </c>
      <c r="Q44" s="9" t="s">
        <v>63</v>
      </c>
      <c r="R44" s="9">
        <v>0</v>
      </c>
      <c r="S44" s="9">
        <v>0</v>
      </c>
      <c r="T44" s="9">
        <v>0</v>
      </c>
      <c r="U44" s="7" t="s">
        <v>70</v>
      </c>
      <c r="V44" s="7" t="s">
        <v>75</v>
      </c>
      <c r="W44" s="7" t="s">
        <v>96</v>
      </c>
      <c r="X44" s="7">
        <v>0</v>
      </c>
      <c r="Y44" s="7">
        <v>0</v>
      </c>
      <c r="Z44" s="7">
        <v>0</v>
      </c>
    </row>
    <row r="45" spans="1:26">
      <c r="A45" s="7">
        <v>103</v>
      </c>
      <c r="B45" s="7">
        <v>0</v>
      </c>
      <c r="C45" s="7">
        <v>1</v>
      </c>
      <c r="D45" s="7">
        <v>1</v>
      </c>
      <c r="E45" s="7">
        <v>1</v>
      </c>
      <c r="F45" s="7">
        <v>10</v>
      </c>
      <c r="G45" s="7">
        <v>6</v>
      </c>
      <c r="H45" s="7">
        <v>2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9" t="s">
        <v>92</v>
      </c>
      <c r="P45" s="9" t="s">
        <v>65</v>
      </c>
      <c r="Q45" s="9" t="s">
        <v>63</v>
      </c>
      <c r="R45" s="9">
        <v>0</v>
      </c>
      <c r="S45" s="9">
        <v>0</v>
      </c>
      <c r="T45" s="9">
        <v>0</v>
      </c>
      <c r="U45" s="7" t="s">
        <v>70</v>
      </c>
      <c r="V45" s="7" t="s">
        <v>75</v>
      </c>
      <c r="W45" s="7" t="s">
        <v>96</v>
      </c>
      <c r="X45" s="7">
        <v>0</v>
      </c>
      <c r="Y45" s="7">
        <v>0</v>
      </c>
      <c r="Z45" s="7">
        <v>0</v>
      </c>
    </row>
    <row r="46" spans="1:26">
      <c r="A46" s="7">
        <v>51</v>
      </c>
      <c r="B46" s="7">
        <v>0</v>
      </c>
      <c r="C46" s="7">
        <v>1</v>
      </c>
      <c r="D46" s="7">
        <v>1</v>
      </c>
      <c r="E46" s="7">
        <v>0</v>
      </c>
      <c r="F46" s="7">
        <v>11</v>
      </c>
      <c r="G46" s="7">
        <v>6</v>
      </c>
      <c r="H46" s="7">
        <v>2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9" t="s">
        <v>93</v>
      </c>
      <c r="P46" s="9" t="s">
        <v>63</v>
      </c>
      <c r="Q46" s="9" t="s">
        <v>69</v>
      </c>
      <c r="R46" s="9">
        <v>0</v>
      </c>
      <c r="S46" s="9">
        <v>0</v>
      </c>
      <c r="T46" s="9">
        <v>0</v>
      </c>
      <c r="U46" s="7" t="s">
        <v>76</v>
      </c>
      <c r="V46" s="7" t="s">
        <v>94</v>
      </c>
      <c r="W46" s="7" t="s">
        <v>96</v>
      </c>
      <c r="X46" s="7">
        <v>0</v>
      </c>
      <c r="Y46" s="7">
        <v>0</v>
      </c>
      <c r="Z46" s="7">
        <v>0</v>
      </c>
    </row>
    <row r="47" spans="1:26">
      <c r="A47" s="7">
        <v>52</v>
      </c>
      <c r="B47" s="7">
        <v>0</v>
      </c>
      <c r="C47" s="7">
        <v>1</v>
      </c>
      <c r="D47" s="7">
        <v>1</v>
      </c>
      <c r="E47" s="7">
        <v>1</v>
      </c>
      <c r="F47" s="7">
        <v>11</v>
      </c>
      <c r="G47" s="7">
        <v>6</v>
      </c>
      <c r="H47" s="7">
        <v>2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9" t="s">
        <v>93</v>
      </c>
      <c r="P47" s="9" t="s">
        <v>63</v>
      </c>
      <c r="Q47" s="9" t="s">
        <v>69</v>
      </c>
      <c r="R47" s="9">
        <v>0</v>
      </c>
      <c r="S47" s="9">
        <v>0</v>
      </c>
      <c r="T47" s="9">
        <v>0</v>
      </c>
      <c r="U47" s="7" t="s">
        <v>76</v>
      </c>
      <c r="V47" s="7" t="s">
        <v>94</v>
      </c>
      <c r="W47" s="7" t="s">
        <v>96</v>
      </c>
      <c r="X47" s="7">
        <v>0</v>
      </c>
      <c r="Y47" s="7">
        <v>0</v>
      </c>
      <c r="Z47" s="7">
        <v>0</v>
      </c>
    </row>
    <row r="48" spans="1:26">
      <c r="A48" s="7">
        <v>55</v>
      </c>
      <c r="B48" s="7">
        <v>0</v>
      </c>
      <c r="C48" s="7">
        <v>1</v>
      </c>
      <c r="D48" s="7">
        <v>1</v>
      </c>
      <c r="E48" s="7">
        <v>0</v>
      </c>
      <c r="F48" s="7">
        <v>11</v>
      </c>
      <c r="G48" s="7">
        <v>6</v>
      </c>
      <c r="H48" s="7">
        <v>2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9" t="s">
        <v>93</v>
      </c>
      <c r="P48" s="9" t="s">
        <v>63</v>
      </c>
      <c r="Q48" s="9" t="s">
        <v>69</v>
      </c>
      <c r="R48" s="9">
        <v>0</v>
      </c>
      <c r="S48" s="9">
        <v>0</v>
      </c>
      <c r="T48" s="9">
        <v>0</v>
      </c>
      <c r="U48" s="7" t="s">
        <v>76</v>
      </c>
      <c r="V48" s="7" t="s">
        <v>94</v>
      </c>
      <c r="W48" s="7" t="s">
        <v>96</v>
      </c>
      <c r="X48" s="7">
        <v>0</v>
      </c>
      <c r="Y48" s="7">
        <v>0</v>
      </c>
      <c r="Z48" s="7">
        <v>0</v>
      </c>
    </row>
    <row r="49" spans="1:26">
      <c r="A49" s="7">
        <v>93</v>
      </c>
      <c r="B49" s="7">
        <v>0</v>
      </c>
      <c r="C49" s="7">
        <v>1</v>
      </c>
      <c r="D49" s="7">
        <v>1</v>
      </c>
      <c r="E49" s="7">
        <v>1</v>
      </c>
      <c r="F49" s="7">
        <v>11</v>
      </c>
      <c r="G49" s="7">
        <v>6</v>
      </c>
      <c r="H49" s="7">
        <v>2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9" t="s">
        <v>93</v>
      </c>
      <c r="P49" s="9" t="s">
        <v>63</v>
      </c>
      <c r="Q49" s="9" t="s">
        <v>69</v>
      </c>
      <c r="R49" s="9">
        <v>0</v>
      </c>
      <c r="S49" s="9">
        <v>0</v>
      </c>
      <c r="T49" s="9">
        <v>0</v>
      </c>
      <c r="U49" s="7" t="s">
        <v>76</v>
      </c>
      <c r="V49" s="7" t="s">
        <v>94</v>
      </c>
      <c r="W49" s="7" t="s">
        <v>96</v>
      </c>
      <c r="X49" s="7">
        <v>0</v>
      </c>
      <c r="Y49" s="7">
        <v>0</v>
      </c>
      <c r="Z49" s="7">
        <v>0</v>
      </c>
    </row>
    <row r="50" spans="1:26">
      <c r="A50" s="7">
        <v>33</v>
      </c>
      <c r="B50" s="7">
        <v>0</v>
      </c>
      <c r="C50" s="7">
        <v>1</v>
      </c>
      <c r="D50" s="7">
        <v>1</v>
      </c>
      <c r="E50" s="7">
        <v>0</v>
      </c>
      <c r="F50" s="7">
        <v>12</v>
      </c>
      <c r="G50" s="7">
        <v>6</v>
      </c>
      <c r="H50" s="7">
        <v>2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9" t="s">
        <v>91</v>
      </c>
      <c r="P50" s="9" t="s">
        <v>65</v>
      </c>
      <c r="Q50" s="9" t="s">
        <v>64</v>
      </c>
      <c r="R50" s="9">
        <v>0</v>
      </c>
      <c r="S50" s="9">
        <v>0</v>
      </c>
      <c r="T50" s="9">
        <v>0</v>
      </c>
      <c r="U50" s="7" t="s">
        <v>96</v>
      </c>
      <c r="V50" s="7" t="s">
        <v>77</v>
      </c>
      <c r="W50" s="7" t="s">
        <v>95</v>
      </c>
      <c r="X50" s="7">
        <v>0</v>
      </c>
      <c r="Y50" s="7">
        <v>0</v>
      </c>
      <c r="Z50" s="7">
        <v>0</v>
      </c>
    </row>
    <row r="51" spans="1:26">
      <c r="A51" s="7">
        <v>48</v>
      </c>
      <c r="B51" s="7">
        <v>0</v>
      </c>
      <c r="C51" s="7">
        <v>1</v>
      </c>
      <c r="D51" s="7">
        <v>1</v>
      </c>
      <c r="E51" s="7">
        <v>1</v>
      </c>
      <c r="F51" s="7">
        <v>12</v>
      </c>
      <c r="G51" s="7">
        <v>6</v>
      </c>
      <c r="H51" s="7">
        <v>2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9" t="s">
        <v>91</v>
      </c>
      <c r="P51" s="9" t="s">
        <v>65</v>
      </c>
      <c r="Q51" s="9" t="s">
        <v>64</v>
      </c>
      <c r="R51" s="9">
        <v>0</v>
      </c>
      <c r="S51" s="9">
        <v>0</v>
      </c>
      <c r="T51" s="9">
        <v>0</v>
      </c>
      <c r="U51" s="7" t="s">
        <v>96</v>
      </c>
      <c r="V51" s="7" t="s">
        <v>77</v>
      </c>
      <c r="W51" s="7" t="s">
        <v>95</v>
      </c>
      <c r="X51" s="7">
        <v>0</v>
      </c>
      <c r="Y51" s="7">
        <v>0</v>
      </c>
      <c r="Z51" s="7">
        <v>0</v>
      </c>
    </row>
    <row r="52" spans="1:26">
      <c r="A52" s="7">
        <v>87</v>
      </c>
      <c r="B52" s="7">
        <v>0</v>
      </c>
      <c r="C52" s="7">
        <v>1</v>
      </c>
      <c r="D52" s="7">
        <v>1</v>
      </c>
      <c r="E52" s="7">
        <v>0</v>
      </c>
      <c r="F52" s="7">
        <v>12</v>
      </c>
      <c r="G52" s="7">
        <v>6</v>
      </c>
      <c r="H52" s="7">
        <v>2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9" t="s">
        <v>91</v>
      </c>
      <c r="P52" s="9" t="s">
        <v>65</v>
      </c>
      <c r="Q52" s="9" t="s">
        <v>64</v>
      </c>
      <c r="R52" s="9">
        <v>0</v>
      </c>
      <c r="S52" s="9">
        <v>0</v>
      </c>
      <c r="T52" s="9">
        <v>0</v>
      </c>
      <c r="U52" s="7" t="s">
        <v>96</v>
      </c>
      <c r="V52" s="7" t="s">
        <v>77</v>
      </c>
      <c r="W52" s="7" t="s">
        <v>95</v>
      </c>
      <c r="X52" s="7">
        <v>0</v>
      </c>
      <c r="Y52" s="7">
        <v>0</v>
      </c>
      <c r="Z52" s="7">
        <v>0</v>
      </c>
    </row>
    <row r="53" spans="1:26">
      <c r="A53" s="7">
        <v>104</v>
      </c>
      <c r="B53" s="7">
        <v>0</v>
      </c>
      <c r="C53" s="7">
        <v>1</v>
      </c>
      <c r="D53" s="7">
        <v>1</v>
      </c>
      <c r="E53" s="7">
        <v>1</v>
      </c>
      <c r="F53" s="7">
        <v>12</v>
      </c>
      <c r="G53" s="7">
        <v>6</v>
      </c>
      <c r="H53" s="7">
        <v>2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9" t="s">
        <v>91</v>
      </c>
      <c r="P53" s="9" t="s">
        <v>65</v>
      </c>
      <c r="Q53" s="9" t="s">
        <v>64</v>
      </c>
      <c r="R53" s="9">
        <v>0</v>
      </c>
      <c r="S53" s="9">
        <v>0</v>
      </c>
      <c r="T53" s="9">
        <v>0</v>
      </c>
      <c r="U53" s="7" t="s">
        <v>96</v>
      </c>
      <c r="V53" s="7" t="s">
        <v>77</v>
      </c>
      <c r="W53" s="7" t="s">
        <v>95</v>
      </c>
      <c r="X53" s="7">
        <v>0</v>
      </c>
      <c r="Y53" s="7">
        <v>0</v>
      </c>
      <c r="Z53" s="7">
        <v>0</v>
      </c>
    </row>
    <row r="54" spans="1:26">
      <c r="A54" s="7">
        <v>3</v>
      </c>
      <c r="B54" s="7">
        <v>1</v>
      </c>
      <c r="C54" s="7">
        <v>1</v>
      </c>
      <c r="D54" s="7">
        <v>1</v>
      </c>
      <c r="E54" s="7">
        <v>0</v>
      </c>
      <c r="F54" s="7">
        <v>13</v>
      </c>
      <c r="G54" s="7">
        <v>6</v>
      </c>
      <c r="H54" s="7">
        <v>3</v>
      </c>
      <c r="I54" s="8" t="s">
        <v>57</v>
      </c>
      <c r="J54" s="8" t="s">
        <v>61</v>
      </c>
      <c r="K54" s="8">
        <v>0</v>
      </c>
      <c r="L54" s="8">
        <v>0</v>
      </c>
      <c r="M54" s="8">
        <v>0</v>
      </c>
      <c r="N54" s="8">
        <v>0</v>
      </c>
      <c r="O54" s="9" t="s">
        <v>68</v>
      </c>
      <c r="P54" s="9" t="s">
        <v>93</v>
      </c>
      <c r="Q54" s="9">
        <v>0</v>
      </c>
      <c r="R54" s="9">
        <v>0</v>
      </c>
      <c r="S54" s="9">
        <v>0</v>
      </c>
      <c r="T54" s="9">
        <v>0</v>
      </c>
      <c r="U54" s="7" t="s">
        <v>77</v>
      </c>
      <c r="V54" s="7" t="s">
        <v>75</v>
      </c>
      <c r="W54" s="7">
        <v>0</v>
      </c>
      <c r="X54" s="7">
        <v>0</v>
      </c>
      <c r="Y54" s="7">
        <v>0</v>
      </c>
      <c r="Z54" s="7">
        <v>0</v>
      </c>
    </row>
    <row r="55" spans="1:26">
      <c r="A55" s="7">
        <v>32</v>
      </c>
      <c r="B55" s="7">
        <v>1</v>
      </c>
      <c r="C55" s="7">
        <v>1</v>
      </c>
      <c r="D55" s="7">
        <v>1</v>
      </c>
      <c r="E55" s="7">
        <v>1</v>
      </c>
      <c r="F55" s="7">
        <v>13</v>
      </c>
      <c r="G55" s="7">
        <v>6</v>
      </c>
      <c r="H55" s="7">
        <v>3</v>
      </c>
      <c r="I55" s="8" t="s">
        <v>57</v>
      </c>
      <c r="J55" s="8" t="s">
        <v>61</v>
      </c>
      <c r="K55" s="8">
        <v>0</v>
      </c>
      <c r="L55" s="8">
        <v>0</v>
      </c>
      <c r="M55" s="8">
        <v>0</v>
      </c>
      <c r="N55" s="8">
        <v>0</v>
      </c>
      <c r="O55" s="9" t="s">
        <v>68</v>
      </c>
      <c r="P55" s="9" t="s">
        <v>93</v>
      </c>
      <c r="Q55" s="9">
        <v>0</v>
      </c>
      <c r="R55" s="9">
        <v>0</v>
      </c>
      <c r="S55" s="9">
        <v>0</v>
      </c>
      <c r="T55" s="9">
        <v>0</v>
      </c>
      <c r="U55" s="7" t="s">
        <v>77</v>
      </c>
      <c r="V55" s="7" t="s">
        <v>75</v>
      </c>
      <c r="W55" s="7">
        <v>0</v>
      </c>
      <c r="X55" s="7">
        <v>0</v>
      </c>
      <c r="Y55" s="7">
        <v>0</v>
      </c>
      <c r="Z55" s="7">
        <v>0</v>
      </c>
    </row>
    <row r="56" spans="1:26">
      <c r="A56" s="7">
        <v>74</v>
      </c>
      <c r="B56" s="7">
        <v>1</v>
      </c>
      <c r="C56" s="7">
        <v>1</v>
      </c>
      <c r="D56" s="7">
        <v>1</v>
      </c>
      <c r="E56" s="7">
        <v>0</v>
      </c>
      <c r="F56" s="7">
        <v>13</v>
      </c>
      <c r="G56" s="7">
        <v>6</v>
      </c>
      <c r="H56" s="7">
        <v>3</v>
      </c>
      <c r="I56" s="8" t="s">
        <v>57</v>
      </c>
      <c r="J56" s="8" t="s">
        <v>61</v>
      </c>
      <c r="K56" s="8">
        <v>0</v>
      </c>
      <c r="L56" s="8">
        <v>0</v>
      </c>
      <c r="M56" s="8">
        <v>0</v>
      </c>
      <c r="N56" s="8">
        <v>0</v>
      </c>
      <c r="O56" s="9" t="s">
        <v>68</v>
      </c>
      <c r="P56" s="9" t="s">
        <v>93</v>
      </c>
      <c r="Q56" s="9">
        <v>0</v>
      </c>
      <c r="R56" s="9">
        <v>0</v>
      </c>
      <c r="S56" s="9">
        <v>0</v>
      </c>
      <c r="T56" s="9">
        <v>0</v>
      </c>
      <c r="U56" s="7" t="s">
        <v>77</v>
      </c>
      <c r="V56" s="7" t="s">
        <v>75</v>
      </c>
      <c r="W56" s="7">
        <v>0</v>
      </c>
      <c r="X56" s="7">
        <v>0</v>
      </c>
      <c r="Y56" s="7">
        <v>0</v>
      </c>
      <c r="Z56" s="7">
        <v>0</v>
      </c>
    </row>
    <row r="57" spans="1:26">
      <c r="A57" s="7">
        <v>101</v>
      </c>
      <c r="B57" s="7">
        <v>1</v>
      </c>
      <c r="C57" s="7">
        <v>1</v>
      </c>
      <c r="D57" s="7">
        <v>1</v>
      </c>
      <c r="E57" s="7">
        <v>1</v>
      </c>
      <c r="F57" s="7">
        <v>13</v>
      </c>
      <c r="G57" s="7">
        <v>6</v>
      </c>
      <c r="H57" s="7">
        <v>3</v>
      </c>
      <c r="I57" s="8" t="s">
        <v>57</v>
      </c>
      <c r="J57" s="8" t="s">
        <v>61</v>
      </c>
      <c r="K57" s="8">
        <v>0</v>
      </c>
      <c r="L57" s="8">
        <v>0</v>
      </c>
      <c r="M57" s="8">
        <v>0</v>
      </c>
      <c r="N57" s="8">
        <v>0</v>
      </c>
      <c r="O57" s="9" t="s">
        <v>68</v>
      </c>
      <c r="P57" s="9" t="s">
        <v>93</v>
      </c>
      <c r="Q57" s="9">
        <v>0</v>
      </c>
      <c r="R57" s="9">
        <v>0</v>
      </c>
      <c r="S57" s="9">
        <v>0</v>
      </c>
      <c r="T57" s="9">
        <v>0</v>
      </c>
      <c r="U57" s="7" t="s">
        <v>77</v>
      </c>
      <c r="V57" s="7" t="s">
        <v>75</v>
      </c>
      <c r="W57" s="7">
        <v>0</v>
      </c>
      <c r="X57" s="7">
        <v>0</v>
      </c>
      <c r="Y57" s="7">
        <v>0</v>
      </c>
      <c r="Z57" s="7">
        <v>0</v>
      </c>
    </row>
    <row r="58" spans="1:26">
      <c r="A58" s="7">
        <v>1</v>
      </c>
      <c r="B58" s="7">
        <v>1</v>
      </c>
      <c r="C58" s="7">
        <v>1</v>
      </c>
      <c r="D58" s="7">
        <v>1</v>
      </c>
      <c r="E58" s="7">
        <v>0</v>
      </c>
      <c r="F58" s="7">
        <v>14</v>
      </c>
      <c r="G58" s="7">
        <v>6</v>
      </c>
      <c r="H58" s="7">
        <v>3</v>
      </c>
      <c r="I58" s="8" t="s">
        <v>60</v>
      </c>
      <c r="J58" s="8" t="s">
        <v>57</v>
      </c>
      <c r="K58" s="8">
        <v>0</v>
      </c>
      <c r="L58" s="8">
        <v>0</v>
      </c>
      <c r="M58" s="8">
        <v>0</v>
      </c>
      <c r="N58" s="8">
        <v>0</v>
      </c>
      <c r="O58" s="9" t="s">
        <v>69</v>
      </c>
      <c r="P58" s="9" t="s">
        <v>65</v>
      </c>
      <c r="Q58" s="9">
        <v>0</v>
      </c>
      <c r="R58" s="9">
        <v>0</v>
      </c>
      <c r="S58" s="9">
        <v>0</v>
      </c>
      <c r="T58" s="9">
        <v>0</v>
      </c>
      <c r="U58" s="7" t="s">
        <v>97</v>
      </c>
      <c r="V58" s="7" t="s">
        <v>95</v>
      </c>
      <c r="W58" s="7">
        <v>0</v>
      </c>
      <c r="X58" s="7">
        <v>0</v>
      </c>
      <c r="Y58" s="7">
        <v>0</v>
      </c>
      <c r="Z58" s="7">
        <v>0</v>
      </c>
    </row>
    <row r="59" spans="1:26">
      <c r="A59" s="7">
        <v>14</v>
      </c>
      <c r="B59" s="7">
        <v>1</v>
      </c>
      <c r="C59" s="7">
        <v>1</v>
      </c>
      <c r="D59" s="7">
        <v>1</v>
      </c>
      <c r="E59" s="7">
        <v>1</v>
      </c>
      <c r="F59" s="7">
        <v>14</v>
      </c>
      <c r="G59" s="7">
        <v>6</v>
      </c>
      <c r="H59" s="7">
        <v>3</v>
      </c>
      <c r="I59" s="8" t="s">
        <v>60</v>
      </c>
      <c r="J59" s="8" t="s">
        <v>57</v>
      </c>
      <c r="K59" s="8">
        <v>0</v>
      </c>
      <c r="L59" s="8">
        <v>0</v>
      </c>
      <c r="M59" s="8">
        <v>0</v>
      </c>
      <c r="N59" s="8">
        <v>0</v>
      </c>
      <c r="O59" s="9" t="s">
        <v>69</v>
      </c>
      <c r="P59" s="9" t="s">
        <v>65</v>
      </c>
      <c r="Q59" s="9">
        <v>0</v>
      </c>
      <c r="R59" s="9">
        <v>0</v>
      </c>
      <c r="S59" s="9">
        <v>0</v>
      </c>
      <c r="T59" s="9">
        <v>0</v>
      </c>
      <c r="U59" s="7" t="s">
        <v>97</v>
      </c>
      <c r="V59" s="7" t="s">
        <v>95</v>
      </c>
      <c r="W59" s="7">
        <v>0</v>
      </c>
      <c r="X59" s="7">
        <v>0</v>
      </c>
      <c r="Y59" s="7">
        <v>0</v>
      </c>
      <c r="Z59" s="7">
        <v>0</v>
      </c>
    </row>
    <row r="60" spans="1:26">
      <c r="A60" s="7">
        <v>73</v>
      </c>
      <c r="B60" s="7">
        <v>1</v>
      </c>
      <c r="C60" s="7">
        <v>1</v>
      </c>
      <c r="D60" s="7">
        <v>1</v>
      </c>
      <c r="E60" s="7">
        <v>0</v>
      </c>
      <c r="F60" s="7">
        <v>14</v>
      </c>
      <c r="G60" s="7">
        <v>6</v>
      </c>
      <c r="H60" s="7">
        <v>3</v>
      </c>
      <c r="I60" s="8" t="s">
        <v>60</v>
      </c>
      <c r="J60" s="8" t="s">
        <v>57</v>
      </c>
      <c r="K60" s="8">
        <v>0</v>
      </c>
      <c r="L60" s="8">
        <v>0</v>
      </c>
      <c r="M60" s="8">
        <v>0</v>
      </c>
      <c r="N60" s="8">
        <v>0</v>
      </c>
      <c r="O60" s="9" t="s">
        <v>69</v>
      </c>
      <c r="P60" s="9" t="s">
        <v>65</v>
      </c>
      <c r="Q60" s="9">
        <v>0</v>
      </c>
      <c r="R60" s="9">
        <v>0</v>
      </c>
      <c r="S60" s="9">
        <v>0</v>
      </c>
      <c r="T60" s="9">
        <v>0</v>
      </c>
      <c r="U60" s="7" t="s">
        <v>97</v>
      </c>
      <c r="V60" s="7" t="s">
        <v>95</v>
      </c>
      <c r="W60" s="7">
        <v>0</v>
      </c>
      <c r="X60" s="7">
        <v>0</v>
      </c>
      <c r="Y60" s="7">
        <v>0</v>
      </c>
      <c r="Z60" s="7">
        <v>0</v>
      </c>
    </row>
    <row r="61" spans="1:26">
      <c r="A61" s="7">
        <v>105</v>
      </c>
      <c r="B61" s="7">
        <v>1</v>
      </c>
      <c r="C61" s="7">
        <v>1</v>
      </c>
      <c r="D61" s="7">
        <v>1</v>
      </c>
      <c r="E61" s="7">
        <v>1</v>
      </c>
      <c r="F61" s="7">
        <v>14</v>
      </c>
      <c r="G61" s="7">
        <v>6</v>
      </c>
      <c r="H61" s="7">
        <v>3</v>
      </c>
      <c r="I61" s="8" t="s">
        <v>60</v>
      </c>
      <c r="J61" s="8" t="s">
        <v>57</v>
      </c>
      <c r="K61" s="8">
        <v>0</v>
      </c>
      <c r="L61" s="8">
        <v>0</v>
      </c>
      <c r="M61" s="8">
        <v>0</v>
      </c>
      <c r="N61" s="8">
        <v>0</v>
      </c>
      <c r="O61" s="9" t="s">
        <v>69</v>
      </c>
      <c r="P61" s="9" t="s">
        <v>65</v>
      </c>
      <c r="Q61" s="9">
        <v>0</v>
      </c>
      <c r="R61" s="9">
        <v>0</v>
      </c>
      <c r="S61" s="9">
        <v>0</v>
      </c>
      <c r="T61" s="9">
        <v>0</v>
      </c>
      <c r="U61" s="7" t="s">
        <v>97</v>
      </c>
      <c r="V61" s="7" t="s">
        <v>95</v>
      </c>
      <c r="W61" s="7">
        <v>0</v>
      </c>
      <c r="X61" s="7">
        <v>0</v>
      </c>
      <c r="Y61" s="7">
        <v>0</v>
      </c>
      <c r="Z61" s="7">
        <v>0</v>
      </c>
    </row>
    <row r="62" spans="1:26">
      <c r="A62" s="7">
        <v>2</v>
      </c>
      <c r="B62" s="7">
        <v>1</v>
      </c>
      <c r="C62" s="7">
        <v>1</v>
      </c>
      <c r="D62" s="7">
        <v>1</v>
      </c>
      <c r="E62" s="7">
        <v>0</v>
      </c>
      <c r="F62" s="7">
        <v>15</v>
      </c>
      <c r="G62" s="7">
        <v>6</v>
      </c>
      <c r="H62" s="7">
        <v>3</v>
      </c>
      <c r="I62" s="8" t="s">
        <v>89</v>
      </c>
      <c r="J62" s="8" t="s">
        <v>90</v>
      </c>
      <c r="K62" s="8">
        <v>0</v>
      </c>
      <c r="L62" s="8">
        <v>0</v>
      </c>
      <c r="M62" s="8">
        <v>0</v>
      </c>
      <c r="N62" s="8">
        <v>0</v>
      </c>
      <c r="O62" s="9" t="s">
        <v>92</v>
      </c>
      <c r="P62" s="9" t="s">
        <v>64</v>
      </c>
      <c r="Q62" s="9">
        <v>0</v>
      </c>
      <c r="R62" s="9">
        <v>0</v>
      </c>
      <c r="S62" s="9">
        <v>0</v>
      </c>
      <c r="T62" s="9">
        <v>0</v>
      </c>
      <c r="U62" s="7" t="s">
        <v>70</v>
      </c>
      <c r="V62" s="7" t="s">
        <v>97</v>
      </c>
      <c r="W62" s="7">
        <v>0</v>
      </c>
      <c r="X62" s="7">
        <v>0</v>
      </c>
      <c r="Y62" s="7">
        <v>0</v>
      </c>
      <c r="Z62" s="7">
        <v>0</v>
      </c>
    </row>
    <row r="63" spans="1:26">
      <c r="A63" s="7">
        <v>53</v>
      </c>
      <c r="B63" s="7">
        <v>1</v>
      </c>
      <c r="C63" s="7">
        <v>1</v>
      </c>
      <c r="D63" s="7">
        <v>1</v>
      </c>
      <c r="E63" s="7">
        <v>1</v>
      </c>
      <c r="F63" s="7">
        <v>15</v>
      </c>
      <c r="G63" s="7">
        <v>6</v>
      </c>
      <c r="H63" s="7">
        <v>3</v>
      </c>
      <c r="I63" s="8" t="s">
        <v>89</v>
      </c>
      <c r="J63" s="8" t="s">
        <v>90</v>
      </c>
      <c r="K63" s="8">
        <v>0</v>
      </c>
      <c r="L63" s="8">
        <v>0</v>
      </c>
      <c r="M63" s="8">
        <v>0</v>
      </c>
      <c r="N63" s="8">
        <v>0</v>
      </c>
      <c r="O63" s="9" t="s">
        <v>92</v>
      </c>
      <c r="P63" s="9" t="s">
        <v>64</v>
      </c>
      <c r="Q63" s="9">
        <v>0</v>
      </c>
      <c r="R63" s="9">
        <v>0</v>
      </c>
      <c r="S63" s="9">
        <v>0</v>
      </c>
      <c r="T63" s="9">
        <v>0</v>
      </c>
      <c r="U63" s="7" t="s">
        <v>70</v>
      </c>
      <c r="V63" s="7" t="s">
        <v>97</v>
      </c>
      <c r="W63" s="7">
        <v>0</v>
      </c>
      <c r="X63" s="7">
        <v>0</v>
      </c>
      <c r="Y63" s="7">
        <v>0</v>
      </c>
      <c r="Z63" s="7">
        <v>0</v>
      </c>
    </row>
    <row r="64" spans="1:26">
      <c r="A64" s="7">
        <v>65</v>
      </c>
      <c r="B64" s="7">
        <v>1</v>
      </c>
      <c r="C64" s="7">
        <v>1</v>
      </c>
      <c r="D64" s="7">
        <v>1</v>
      </c>
      <c r="E64" s="7">
        <v>0</v>
      </c>
      <c r="F64" s="7">
        <v>15</v>
      </c>
      <c r="G64" s="7">
        <v>6</v>
      </c>
      <c r="H64" s="7">
        <v>3</v>
      </c>
      <c r="I64" s="8" t="s">
        <v>89</v>
      </c>
      <c r="J64" s="8" t="s">
        <v>90</v>
      </c>
      <c r="K64" s="8">
        <v>0</v>
      </c>
      <c r="L64" s="8">
        <v>0</v>
      </c>
      <c r="M64" s="8">
        <v>0</v>
      </c>
      <c r="N64" s="8">
        <v>0</v>
      </c>
      <c r="O64" s="9" t="s">
        <v>92</v>
      </c>
      <c r="P64" s="9" t="s">
        <v>64</v>
      </c>
      <c r="Q64" s="9">
        <v>0</v>
      </c>
      <c r="R64" s="9">
        <v>0</v>
      </c>
      <c r="S64" s="9">
        <v>0</v>
      </c>
      <c r="T64" s="9">
        <v>0</v>
      </c>
      <c r="U64" s="7" t="s">
        <v>70</v>
      </c>
      <c r="V64" s="7" t="s">
        <v>97</v>
      </c>
      <c r="W64" s="7">
        <v>0</v>
      </c>
      <c r="X64" s="7">
        <v>0</v>
      </c>
      <c r="Y64" s="7">
        <v>0</v>
      </c>
      <c r="Z64" s="7">
        <v>0</v>
      </c>
    </row>
    <row r="65" spans="1:26">
      <c r="A65" s="7">
        <v>88</v>
      </c>
      <c r="B65" s="7">
        <v>1</v>
      </c>
      <c r="C65" s="7">
        <v>1</v>
      </c>
      <c r="D65" s="7">
        <v>1</v>
      </c>
      <c r="E65" s="7">
        <v>1</v>
      </c>
      <c r="F65" s="7">
        <v>15</v>
      </c>
      <c r="G65" s="7">
        <v>6</v>
      </c>
      <c r="H65" s="7">
        <v>3</v>
      </c>
      <c r="I65" s="8" t="s">
        <v>89</v>
      </c>
      <c r="J65" s="8" t="s">
        <v>90</v>
      </c>
      <c r="K65" s="8">
        <v>0</v>
      </c>
      <c r="L65" s="8">
        <v>0</v>
      </c>
      <c r="M65" s="8">
        <v>0</v>
      </c>
      <c r="N65" s="8">
        <v>0</v>
      </c>
      <c r="O65" s="9" t="s">
        <v>92</v>
      </c>
      <c r="P65" s="9" t="s">
        <v>64</v>
      </c>
      <c r="Q65" s="9">
        <v>0</v>
      </c>
      <c r="R65" s="9">
        <v>0</v>
      </c>
      <c r="S65" s="9">
        <v>0</v>
      </c>
      <c r="T65" s="9">
        <v>0</v>
      </c>
      <c r="U65" s="7" t="s">
        <v>70</v>
      </c>
      <c r="V65" s="7" t="s">
        <v>97</v>
      </c>
      <c r="W65" s="7">
        <v>0</v>
      </c>
      <c r="X65" s="7">
        <v>0</v>
      </c>
      <c r="Y65" s="7">
        <v>0</v>
      </c>
      <c r="Z65" s="7">
        <v>0</v>
      </c>
    </row>
    <row r="66" spans="1:26">
      <c r="A66" s="7">
        <v>24</v>
      </c>
      <c r="B66" s="7">
        <v>1</v>
      </c>
      <c r="C66" s="7">
        <v>1</v>
      </c>
      <c r="D66" s="7">
        <v>1</v>
      </c>
      <c r="E66" s="7">
        <v>0</v>
      </c>
      <c r="F66" s="7">
        <v>16</v>
      </c>
      <c r="G66" s="7">
        <v>6</v>
      </c>
      <c r="H66" s="7">
        <v>3</v>
      </c>
      <c r="I66" s="8" t="s">
        <v>55</v>
      </c>
      <c r="J66" s="8" t="s">
        <v>90</v>
      </c>
      <c r="K66" s="8">
        <v>0</v>
      </c>
      <c r="L66" s="8">
        <v>0</v>
      </c>
      <c r="M66" s="8">
        <v>0</v>
      </c>
      <c r="N66" s="8">
        <v>0</v>
      </c>
      <c r="O66" s="9" t="s">
        <v>63</v>
      </c>
      <c r="P66" s="9" t="s">
        <v>69</v>
      </c>
      <c r="Q66" s="9">
        <v>0</v>
      </c>
      <c r="R66" s="9">
        <v>0</v>
      </c>
      <c r="S66" s="9">
        <v>0</v>
      </c>
      <c r="T66" s="9">
        <v>0</v>
      </c>
      <c r="U66" s="7" t="s">
        <v>94</v>
      </c>
      <c r="V66" s="7" t="s">
        <v>95</v>
      </c>
      <c r="W66" s="7">
        <v>0</v>
      </c>
      <c r="X66" s="7">
        <v>0</v>
      </c>
      <c r="Y66" s="7">
        <v>0</v>
      </c>
      <c r="Z66" s="7">
        <v>0</v>
      </c>
    </row>
    <row r="67" spans="1:26">
      <c r="A67" s="7">
        <v>47</v>
      </c>
      <c r="B67" s="7">
        <v>1</v>
      </c>
      <c r="C67" s="7">
        <v>1</v>
      </c>
      <c r="D67" s="7">
        <v>1</v>
      </c>
      <c r="E67" s="7">
        <v>1</v>
      </c>
      <c r="F67" s="7">
        <v>16</v>
      </c>
      <c r="G67" s="7">
        <v>6</v>
      </c>
      <c r="H67" s="7">
        <v>3</v>
      </c>
      <c r="I67" s="8" t="s">
        <v>55</v>
      </c>
      <c r="J67" s="8" t="s">
        <v>90</v>
      </c>
      <c r="K67" s="8">
        <v>0</v>
      </c>
      <c r="L67" s="8">
        <v>0</v>
      </c>
      <c r="M67" s="8">
        <v>0</v>
      </c>
      <c r="N67" s="8">
        <v>0</v>
      </c>
      <c r="O67" s="9" t="s">
        <v>63</v>
      </c>
      <c r="P67" s="9" t="s">
        <v>69</v>
      </c>
      <c r="Q67" s="9">
        <v>0</v>
      </c>
      <c r="R67" s="9">
        <v>0</v>
      </c>
      <c r="S67" s="9">
        <v>0</v>
      </c>
      <c r="T67" s="9">
        <v>0</v>
      </c>
      <c r="U67" s="7" t="s">
        <v>94</v>
      </c>
      <c r="V67" s="7" t="s">
        <v>95</v>
      </c>
      <c r="W67" s="7">
        <v>0</v>
      </c>
      <c r="X67" s="7">
        <v>0</v>
      </c>
      <c r="Y67" s="7">
        <v>0</v>
      </c>
      <c r="Z67" s="7">
        <v>0</v>
      </c>
    </row>
    <row r="68" spans="1:26">
      <c r="A68" s="7">
        <v>79</v>
      </c>
      <c r="B68" s="7">
        <v>1</v>
      </c>
      <c r="C68" s="7">
        <v>1</v>
      </c>
      <c r="D68" s="7">
        <v>1</v>
      </c>
      <c r="E68" s="7">
        <v>0</v>
      </c>
      <c r="F68" s="7">
        <v>16</v>
      </c>
      <c r="G68" s="7">
        <v>6</v>
      </c>
      <c r="H68" s="7">
        <v>3</v>
      </c>
      <c r="I68" s="8" t="s">
        <v>55</v>
      </c>
      <c r="J68" s="8" t="s">
        <v>90</v>
      </c>
      <c r="K68" s="8">
        <v>0</v>
      </c>
      <c r="L68" s="8">
        <v>0</v>
      </c>
      <c r="M68" s="8">
        <v>0</v>
      </c>
      <c r="N68" s="8">
        <v>0</v>
      </c>
      <c r="O68" s="9" t="s">
        <v>63</v>
      </c>
      <c r="P68" s="9" t="s">
        <v>69</v>
      </c>
      <c r="Q68" s="9">
        <v>0</v>
      </c>
      <c r="R68" s="9">
        <v>0</v>
      </c>
      <c r="S68" s="9">
        <v>0</v>
      </c>
      <c r="T68" s="9">
        <v>0</v>
      </c>
      <c r="U68" s="7" t="s">
        <v>94</v>
      </c>
      <c r="V68" s="7" t="s">
        <v>95</v>
      </c>
      <c r="W68" s="7">
        <v>0</v>
      </c>
      <c r="X68" s="7">
        <v>0</v>
      </c>
      <c r="Y68" s="7">
        <v>0</v>
      </c>
      <c r="Z68" s="7">
        <v>0</v>
      </c>
    </row>
    <row r="69" spans="1:26">
      <c r="A69" s="7">
        <v>90</v>
      </c>
      <c r="B69" s="7">
        <v>1</v>
      </c>
      <c r="C69" s="7">
        <v>1</v>
      </c>
      <c r="D69" s="7">
        <v>1</v>
      </c>
      <c r="E69" s="7">
        <v>1</v>
      </c>
      <c r="F69" s="7">
        <v>16</v>
      </c>
      <c r="G69" s="7">
        <v>6</v>
      </c>
      <c r="H69" s="7">
        <v>3</v>
      </c>
      <c r="I69" s="8" t="s">
        <v>55</v>
      </c>
      <c r="J69" s="8" t="s">
        <v>90</v>
      </c>
      <c r="K69" s="8">
        <v>0</v>
      </c>
      <c r="L69" s="8">
        <v>0</v>
      </c>
      <c r="M69" s="8">
        <v>0</v>
      </c>
      <c r="N69" s="8">
        <v>0</v>
      </c>
      <c r="O69" s="9" t="s">
        <v>63</v>
      </c>
      <c r="P69" s="9" t="s">
        <v>69</v>
      </c>
      <c r="Q69" s="9">
        <v>0</v>
      </c>
      <c r="R69" s="9">
        <v>0</v>
      </c>
      <c r="S69" s="9">
        <v>0</v>
      </c>
      <c r="T69" s="9">
        <v>0</v>
      </c>
      <c r="U69" s="7" t="s">
        <v>94</v>
      </c>
      <c r="V69" s="7" t="s">
        <v>95</v>
      </c>
      <c r="W69" s="7">
        <v>0</v>
      </c>
      <c r="X69" s="7">
        <v>0</v>
      </c>
      <c r="Y69" s="7">
        <v>0</v>
      </c>
      <c r="Z69" s="7">
        <v>0</v>
      </c>
    </row>
    <row r="70" spans="1:26">
      <c r="A70" s="7">
        <v>20</v>
      </c>
      <c r="B70" s="7">
        <v>1</v>
      </c>
      <c r="C70" s="7">
        <v>1</v>
      </c>
      <c r="D70" s="7">
        <v>1</v>
      </c>
      <c r="E70" s="7">
        <v>0</v>
      </c>
      <c r="F70" s="7">
        <v>17</v>
      </c>
      <c r="G70" s="7">
        <v>6</v>
      </c>
      <c r="H70" s="7">
        <v>3</v>
      </c>
      <c r="I70" s="8" t="s">
        <v>90</v>
      </c>
      <c r="J70" s="8" t="s">
        <v>60</v>
      </c>
      <c r="K70" s="8">
        <v>0</v>
      </c>
      <c r="L70" s="8">
        <v>0</v>
      </c>
      <c r="M70" s="8">
        <v>0</v>
      </c>
      <c r="N70" s="8">
        <v>0</v>
      </c>
      <c r="O70" s="9" t="s">
        <v>63</v>
      </c>
      <c r="P70" s="9" t="s">
        <v>68</v>
      </c>
      <c r="Q70" s="9">
        <v>0</v>
      </c>
      <c r="R70" s="9">
        <v>0</v>
      </c>
      <c r="S70" s="9">
        <v>0</v>
      </c>
      <c r="T70" s="9">
        <v>0</v>
      </c>
      <c r="U70" s="7" t="s">
        <v>75</v>
      </c>
      <c r="V70" s="7" t="s">
        <v>96</v>
      </c>
      <c r="W70" s="7">
        <v>0</v>
      </c>
      <c r="X70" s="7">
        <v>0</v>
      </c>
      <c r="Y70" s="7">
        <v>0</v>
      </c>
      <c r="Z70" s="7">
        <v>0</v>
      </c>
    </row>
    <row r="71" spans="1:26">
      <c r="A71" s="7">
        <v>50</v>
      </c>
      <c r="B71" s="7">
        <v>1</v>
      </c>
      <c r="C71" s="7">
        <v>1</v>
      </c>
      <c r="D71" s="7">
        <v>1</v>
      </c>
      <c r="E71" s="7">
        <v>1</v>
      </c>
      <c r="F71" s="7">
        <v>17</v>
      </c>
      <c r="G71" s="7">
        <v>6</v>
      </c>
      <c r="H71" s="7">
        <v>3</v>
      </c>
      <c r="I71" s="8" t="s">
        <v>90</v>
      </c>
      <c r="J71" s="8" t="s">
        <v>60</v>
      </c>
      <c r="K71" s="8">
        <v>0</v>
      </c>
      <c r="L71" s="8">
        <v>0</v>
      </c>
      <c r="M71" s="8">
        <v>0</v>
      </c>
      <c r="N71" s="8">
        <v>0</v>
      </c>
      <c r="O71" s="9" t="s">
        <v>63</v>
      </c>
      <c r="P71" s="9" t="s">
        <v>68</v>
      </c>
      <c r="Q71" s="9">
        <v>0</v>
      </c>
      <c r="R71" s="9">
        <v>0</v>
      </c>
      <c r="S71" s="9">
        <v>0</v>
      </c>
      <c r="T71" s="9">
        <v>0</v>
      </c>
      <c r="U71" s="7" t="s">
        <v>75</v>
      </c>
      <c r="V71" s="7" t="s">
        <v>96</v>
      </c>
      <c r="W71" s="7">
        <v>0</v>
      </c>
      <c r="X71" s="7">
        <v>0</v>
      </c>
      <c r="Y71" s="7">
        <v>0</v>
      </c>
      <c r="Z71" s="7">
        <v>0</v>
      </c>
    </row>
    <row r="72" spans="1:26">
      <c r="A72" s="7">
        <v>59</v>
      </c>
      <c r="B72" s="7">
        <v>1</v>
      </c>
      <c r="C72" s="7">
        <v>1</v>
      </c>
      <c r="D72" s="7">
        <v>1</v>
      </c>
      <c r="E72" s="7">
        <v>0</v>
      </c>
      <c r="F72" s="7">
        <v>17</v>
      </c>
      <c r="G72" s="7">
        <v>6</v>
      </c>
      <c r="H72" s="7">
        <v>3</v>
      </c>
      <c r="I72" s="8" t="s">
        <v>90</v>
      </c>
      <c r="J72" s="8" t="s">
        <v>60</v>
      </c>
      <c r="K72" s="8">
        <v>0</v>
      </c>
      <c r="L72" s="8">
        <v>0</v>
      </c>
      <c r="M72" s="8">
        <v>0</v>
      </c>
      <c r="N72" s="8">
        <v>0</v>
      </c>
      <c r="O72" s="9" t="s">
        <v>63</v>
      </c>
      <c r="P72" s="9" t="s">
        <v>68</v>
      </c>
      <c r="Q72" s="9">
        <v>0</v>
      </c>
      <c r="R72" s="9">
        <v>0</v>
      </c>
      <c r="S72" s="9">
        <v>0</v>
      </c>
      <c r="T72" s="9">
        <v>0</v>
      </c>
      <c r="U72" s="7" t="s">
        <v>75</v>
      </c>
      <c r="V72" s="7" t="s">
        <v>96</v>
      </c>
      <c r="W72" s="7">
        <v>0</v>
      </c>
      <c r="X72" s="7">
        <v>0</v>
      </c>
      <c r="Y72" s="7">
        <v>0</v>
      </c>
      <c r="Z72" s="7">
        <v>0</v>
      </c>
    </row>
    <row r="73" spans="1:26">
      <c r="A73" s="7">
        <v>86</v>
      </c>
      <c r="B73" s="7">
        <v>1</v>
      </c>
      <c r="C73" s="7">
        <v>1</v>
      </c>
      <c r="D73" s="7">
        <v>1</v>
      </c>
      <c r="E73" s="7">
        <v>1</v>
      </c>
      <c r="F73" s="7">
        <v>17</v>
      </c>
      <c r="G73" s="7">
        <v>6</v>
      </c>
      <c r="H73" s="7">
        <v>3</v>
      </c>
      <c r="I73" s="8" t="s">
        <v>90</v>
      </c>
      <c r="J73" s="8" t="s">
        <v>60</v>
      </c>
      <c r="K73" s="8">
        <v>0</v>
      </c>
      <c r="L73" s="8">
        <v>0</v>
      </c>
      <c r="M73" s="8">
        <v>0</v>
      </c>
      <c r="N73" s="8">
        <v>0</v>
      </c>
      <c r="O73" s="9" t="s">
        <v>63</v>
      </c>
      <c r="P73" s="9" t="s">
        <v>68</v>
      </c>
      <c r="Q73" s="9">
        <v>0</v>
      </c>
      <c r="R73" s="9">
        <v>0</v>
      </c>
      <c r="S73" s="9">
        <v>0</v>
      </c>
      <c r="T73" s="9">
        <v>0</v>
      </c>
      <c r="U73" s="7" t="s">
        <v>75</v>
      </c>
      <c r="V73" s="7" t="s">
        <v>96</v>
      </c>
      <c r="W73" s="7">
        <v>0</v>
      </c>
      <c r="X73" s="7">
        <v>0</v>
      </c>
      <c r="Y73" s="7">
        <v>0</v>
      </c>
      <c r="Z73" s="7">
        <v>0</v>
      </c>
    </row>
    <row r="74" spans="1:26">
      <c r="A74" s="7">
        <v>12</v>
      </c>
      <c r="B74" s="7">
        <v>1</v>
      </c>
      <c r="C74" s="7">
        <v>1</v>
      </c>
      <c r="D74" s="7">
        <v>1</v>
      </c>
      <c r="E74" s="7">
        <v>1</v>
      </c>
      <c r="F74" s="7">
        <v>18</v>
      </c>
      <c r="G74" s="7">
        <v>6</v>
      </c>
      <c r="H74" s="7">
        <v>3</v>
      </c>
      <c r="I74" s="8" t="s">
        <v>59</v>
      </c>
      <c r="J74" s="8" t="s">
        <v>60</v>
      </c>
      <c r="K74" s="8">
        <v>0</v>
      </c>
      <c r="L74" s="8">
        <v>0</v>
      </c>
      <c r="M74" s="8">
        <v>0</v>
      </c>
      <c r="N74" s="8">
        <v>0</v>
      </c>
      <c r="O74" s="9" t="s">
        <v>93</v>
      </c>
      <c r="P74" s="9" t="s">
        <v>91</v>
      </c>
      <c r="Q74" s="9">
        <v>0</v>
      </c>
      <c r="R74" s="9">
        <v>0</v>
      </c>
      <c r="S74" s="9">
        <v>0</v>
      </c>
      <c r="T74" s="9">
        <v>0</v>
      </c>
      <c r="U74" s="7" t="s">
        <v>75</v>
      </c>
      <c r="V74" s="7" t="s">
        <v>95</v>
      </c>
      <c r="W74" s="7">
        <v>0</v>
      </c>
      <c r="X74" s="7">
        <v>0</v>
      </c>
      <c r="Y74" s="7">
        <v>0</v>
      </c>
      <c r="Z74" s="7">
        <v>0</v>
      </c>
    </row>
    <row r="75" spans="1:26">
      <c r="A75" s="7">
        <v>15</v>
      </c>
      <c r="B75" s="7">
        <v>1</v>
      </c>
      <c r="C75" s="7">
        <v>1</v>
      </c>
      <c r="D75" s="7">
        <v>1</v>
      </c>
      <c r="E75" s="7">
        <v>0</v>
      </c>
      <c r="F75" s="7">
        <v>18</v>
      </c>
      <c r="G75" s="7">
        <v>6</v>
      </c>
      <c r="H75" s="7">
        <v>3</v>
      </c>
      <c r="I75" s="8" t="s">
        <v>59</v>
      </c>
      <c r="J75" s="8" t="s">
        <v>60</v>
      </c>
      <c r="K75" s="8">
        <v>0</v>
      </c>
      <c r="L75" s="8">
        <v>0</v>
      </c>
      <c r="M75" s="8">
        <v>0</v>
      </c>
      <c r="N75" s="8">
        <v>0</v>
      </c>
      <c r="O75" s="9" t="s">
        <v>93</v>
      </c>
      <c r="P75" s="9" t="s">
        <v>91</v>
      </c>
      <c r="Q75" s="9">
        <v>0</v>
      </c>
      <c r="R75" s="9">
        <v>0</v>
      </c>
      <c r="S75" s="9">
        <v>0</v>
      </c>
      <c r="T75" s="9">
        <v>0</v>
      </c>
      <c r="U75" s="7" t="s">
        <v>75</v>
      </c>
      <c r="V75" s="7" t="s">
        <v>95</v>
      </c>
      <c r="W75" s="7">
        <v>0</v>
      </c>
      <c r="X75" s="7">
        <v>0</v>
      </c>
      <c r="Y75" s="7">
        <v>0</v>
      </c>
      <c r="Z75" s="7">
        <v>0</v>
      </c>
    </row>
    <row r="76" spans="1:26">
      <c r="A76" s="7">
        <v>67</v>
      </c>
      <c r="B76" s="7">
        <v>1</v>
      </c>
      <c r="C76" s="7">
        <v>1</v>
      </c>
      <c r="D76" s="7">
        <v>1</v>
      </c>
      <c r="E76" s="7">
        <v>0</v>
      </c>
      <c r="F76" s="7">
        <v>18</v>
      </c>
      <c r="G76" s="7">
        <v>6</v>
      </c>
      <c r="H76" s="7">
        <v>3</v>
      </c>
      <c r="I76" s="8" t="s">
        <v>59</v>
      </c>
      <c r="J76" s="8" t="s">
        <v>60</v>
      </c>
      <c r="K76" s="8">
        <v>0</v>
      </c>
      <c r="L76" s="8">
        <v>0</v>
      </c>
      <c r="M76" s="8">
        <v>0</v>
      </c>
      <c r="N76" s="8">
        <v>0</v>
      </c>
      <c r="O76" s="9" t="s">
        <v>93</v>
      </c>
      <c r="P76" s="9" t="s">
        <v>91</v>
      </c>
      <c r="Q76" s="9">
        <v>0</v>
      </c>
      <c r="R76" s="9">
        <v>0</v>
      </c>
      <c r="S76" s="9">
        <v>0</v>
      </c>
      <c r="T76" s="9">
        <v>0</v>
      </c>
      <c r="U76" s="7" t="s">
        <v>75</v>
      </c>
      <c r="V76" s="7" t="s">
        <v>95</v>
      </c>
      <c r="W76" s="7">
        <v>0</v>
      </c>
      <c r="X76" s="7">
        <v>0</v>
      </c>
      <c r="Y76" s="7">
        <v>0</v>
      </c>
      <c r="Z76" s="7">
        <v>0</v>
      </c>
    </row>
    <row r="77" spans="1:26">
      <c r="A77" s="7">
        <v>83</v>
      </c>
      <c r="B77" s="7">
        <v>1</v>
      </c>
      <c r="C77" s="7">
        <v>1</v>
      </c>
      <c r="D77" s="7">
        <v>1</v>
      </c>
      <c r="E77" s="7">
        <v>1</v>
      </c>
      <c r="F77" s="7">
        <v>18</v>
      </c>
      <c r="G77" s="7">
        <v>6</v>
      </c>
      <c r="H77" s="7">
        <v>3</v>
      </c>
      <c r="I77" s="8" t="s">
        <v>59</v>
      </c>
      <c r="J77" s="8" t="s">
        <v>60</v>
      </c>
      <c r="K77" s="8">
        <v>0</v>
      </c>
      <c r="L77" s="8">
        <v>0</v>
      </c>
      <c r="M77" s="8">
        <v>0</v>
      </c>
      <c r="N77" s="8">
        <v>0</v>
      </c>
      <c r="O77" s="9" t="s">
        <v>93</v>
      </c>
      <c r="P77" s="9" t="s">
        <v>91</v>
      </c>
      <c r="Q77" s="9">
        <v>0</v>
      </c>
      <c r="R77" s="9">
        <v>0</v>
      </c>
      <c r="S77" s="9">
        <v>0</v>
      </c>
      <c r="T77" s="9">
        <v>0</v>
      </c>
      <c r="U77" s="7" t="s">
        <v>75</v>
      </c>
      <c r="V77" s="7" t="s">
        <v>95</v>
      </c>
      <c r="W77" s="7">
        <v>0</v>
      </c>
      <c r="X77" s="7">
        <v>0</v>
      </c>
      <c r="Y77" s="7">
        <v>0</v>
      </c>
      <c r="Z77" s="7">
        <v>0</v>
      </c>
    </row>
    <row r="78" spans="1:26">
      <c r="A78" s="7">
        <v>21</v>
      </c>
      <c r="B78" s="7">
        <v>1</v>
      </c>
      <c r="C78" s="7">
        <v>1</v>
      </c>
      <c r="D78" s="7">
        <v>1</v>
      </c>
      <c r="E78" s="7">
        <v>0</v>
      </c>
      <c r="F78" s="7">
        <v>19</v>
      </c>
      <c r="G78" s="7">
        <v>6</v>
      </c>
      <c r="H78" s="7">
        <v>3</v>
      </c>
      <c r="I78" s="8" t="s">
        <v>57</v>
      </c>
      <c r="J78" s="8" t="s">
        <v>90</v>
      </c>
      <c r="K78" s="8">
        <v>0</v>
      </c>
      <c r="L78" s="8">
        <v>0</v>
      </c>
      <c r="M78" s="8">
        <v>0</v>
      </c>
      <c r="N78" s="8">
        <v>0</v>
      </c>
      <c r="O78" s="9" t="s">
        <v>92</v>
      </c>
      <c r="P78" s="9" t="s">
        <v>93</v>
      </c>
      <c r="Q78" s="9">
        <v>0</v>
      </c>
      <c r="R78" s="9">
        <v>0</v>
      </c>
      <c r="S78" s="9">
        <v>0</v>
      </c>
      <c r="T78" s="9">
        <v>0</v>
      </c>
      <c r="U78" s="7" t="s">
        <v>97</v>
      </c>
      <c r="V78" s="7" t="s">
        <v>96</v>
      </c>
      <c r="W78" s="7">
        <v>0</v>
      </c>
      <c r="X78" s="7">
        <v>0</v>
      </c>
      <c r="Y78" s="7">
        <v>0</v>
      </c>
      <c r="Z78" s="7">
        <v>0</v>
      </c>
    </row>
    <row r="79" spans="1:26">
      <c r="A79" s="7">
        <v>54</v>
      </c>
      <c r="B79" s="7">
        <v>1</v>
      </c>
      <c r="C79" s="7">
        <v>1</v>
      </c>
      <c r="D79" s="7">
        <v>1</v>
      </c>
      <c r="E79" s="7">
        <v>1</v>
      </c>
      <c r="F79" s="7">
        <v>19</v>
      </c>
      <c r="G79" s="7">
        <v>6</v>
      </c>
      <c r="H79" s="7">
        <v>3</v>
      </c>
      <c r="I79" s="8" t="s">
        <v>57</v>
      </c>
      <c r="J79" s="8" t="s">
        <v>90</v>
      </c>
      <c r="K79" s="8">
        <v>0</v>
      </c>
      <c r="L79" s="8">
        <v>0</v>
      </c>
      <c r="M79" s="8">
        <v>0</v>
      </c>
      <c r="N79" s="8">
        <v>0</v>
      </c>
      <c r="O79" s="9" t="s">
        <v>92</v>
      </c>
      <c r="P79" s="9" t="s">
        <v>93</v>
      </c>
      <c r="Q79" s="9">
        <v>0</v>
      </c>
      <c r="R79" s="9">
        <v>0</v>
      </c>
      <c r="S79" s="9">
        <v>0</v>
      </c>
      <c r="T79" s="9">
        <v>0</v>
      </c>
      <c r="U79" s="7" t="s">
        <v>97</v>
      </c>
      <c r="V79" s="7" t="s">
        <v>96</v>
      </c>
      <c r="W79" s="7">
        <v>0</v>
      </c>
      <c r="X79" s="7">
        <v>0</v>
      </c>
      <c r="Y79" s="7">
        <v>0</v>
      </c>
      <c r="Z79" s="7">
        <v>0</v>
      </c>
    </row>
    <row r="80" spans="1:26">
      <c r="A80" s="7">
        <v>97</v>
      </c>
      <c r="B80" s="7">
        <v>1</v>
      </c>
      <c r="C80" s="7">
        <v>1</v>
      </c>
      <c r="D80" s="7">
        <v>1</v>
      </c>
      <c r="E80" s="7">
        <v>1</v>
      </c>
      <c r="F80" s="7">
        <v>19</v>
      </c>
      <c r="G80" s="7">
        <v>6</v>
      </c>
      <c r="H80" s="7">
        <v>3</v>
      </c>
      <c r="I80" s="8" t="s">
        <v>57</v>
      </c>
      <c r="J80" s="8" t="s">
        <v>90</v>
      </c>
      <c r="K80" s="8">
        <v>0</v>
      </c>
      <c r="L80" s="8">
        <v>0</v>
      </c>
      <c r="M80" s="8">
        <v>0</v>
      </c>
      <c r="N80" s="8">
        <v>0</v>
      </c>
      <c r="O80" s="9" t="s">
        <v>92</v>
      </c>
      <c r="P80" s="9" t="s">
        <v>93</v>
      </c>
      <c r="Q80" s="9">
        <v>0</v>
      </c>
      <c r="R80" s="9">
        <v>0</v>
      </c>
      <c r="S80" s="9">
        <v>0</v>
      </c>
      <c r="T80" s="9">
        <v>0</v>
      </c>
      <c r="U80" s="7" t="s">
        <v>97</v>
      </c>
      <c r="V80" s="7" t="s">
        <v>96</v>
      </c>
      <c r="W80" s="7">
        <v>0</v>
      </c>
      <c r="X80" s="7">
        <v>0</v>
      </c>
      <c r="Y80" s="7">
        <v>0</v>
      </c>
      <c r="Z80" s="7">
        <v>0</v>
      </c>
    </row>
    <row r="81" spans="1:26">
      <c r="A81" s="7">
        <v>106</v>
      </c>
      <c r="B81" s="7">
        <v>1</v>
      </c>
      <c r="C81" s="7">
        <v>1</v>
      </c>
      <c r="D81" s="7">
        <v>1</v>
      </c>
      <c r="E81" s="7">
        <v>0</v>
      </c>
      <c r="F81" s="7">
        <v>19</v>
      </c>
      <c r="G81" s="7">
        <v>6</v>
      </c>
      <c r="H81" s="7">
        <v>3</v>
      </c>
      <c r="I81" s="8" t="s">
        <v>57</v>
      </c>
      <c r="J81" s="8" t="s">
        <v>90</v>
      </c>
      <c r="K81" s="8">
        <v>0</v>
      </c>
      <c r="L81" s="8">
        <v>0</v>
      </c>
      <c r="M81" s="8">
        <v>0</v>
      </c>
      <c r="N81" s="8">
        <v>0</v>
      </c>
      <c r="O81" s="9" t="s">
        <v>92</v>
      </c>
      <c r="P81" s="9" t="s">
        <v>93</v>
      </c>
      <c r="Q81" s="9">
        <v>0</v>
      </c>
      <c r="R81" s="9">
        <v>0</v>
      </c>
      <c r="S81" s="9">
        <v>0</v>
      </c>
      <c r="T81" s="9">
        <v>0</v>
      </c>
      <c r="U81" s="7" t="s">
        <v>97</v>
      </c>
      <c r="V81" s="7" t="s">
        <v>96</v>
      </c>
      <c r="W81" s="7">
        <v>0</v>
      </c>
      <c r="X81" s="7">
        <v>0</v>
      </c>
      <c r="Y81" s="7">
        <v>0</v>
      </c>
      <c r="Z81" s="7">
        <v>0</v>
      </c>
    </row>
    <row r="82" spans="1:26">
      <c r="A82" s="7">
        <v>11</v>
      </c>
      <c r="B82" s="7">
        <v>1</v>
      </c>
      <c r="C82" s="7">
        <v>1</v>
      </c>
      <c r="D82" s="7">
        <v>1</v>
      </c>
      <c r="E82" s="7">
        <v>0</v>
      </c>
      <c r="F82" s="7">
        <v>20</v>
      </c>
      <c r="G82" s="7">
        <v>18</v>
      </c>
      <c r="H82" s="7">
        <v>3</v>
      </c>
      <c r="I82" s="8" t="s">
        <v>58</v>
      </c>
      <c r="J82" s="8" t="s">
        <v>57</v>
      </c>
      <c r="K82" s="8" t="s">
        <v>90</v>
      </c>
      <c r="L82" s="8" t="s">
        <v>60</v>
      </c>
      <c r="M82" s="8" t="s">
        <v>55</v>
      </c>
      <c r="N82" s="8" t="s">
        <v>59</v>
      </c>
      <c r="O82" s="9" t="s">
        <v>65</v>
      </c>
      <c r="P82" s="9" t="s">
        <v>63</v>
      </c>
      <c r="Q82" s="9" t="s">
        <v>91</v>
      </c>
      <c r="R82" s="9" t="s">
        <v>64</v>
      </c>
      <c r="S82" s="9" t="s">
        <v>93</v>
      </c>
      <c r="T82" s="9" t="s">
        <v>69</v>
      </c>
      <c r="U82" s="7" t="s">
        <v>75</v>
      </c>
      <c r="V82" s="7" t="s">
        <v>97</v>
      </c>
      <c r="W82" s="7" t="s">
        <v>77</v>
      </c>
      <c r="X82" s="7" t="s">
        <v>76</v>
      </c>
      <c r="Y82" s="7" t="s">
        <v>94</v>
      </c>
      <c r="Z82" s="7" t="s">
        <v>96</v>
      </c>
    </row>
    <row r="83" spans="1:26">
      <c r="A83" s="7">
        <v>36</v>
      </c>
      <c r="B83" s="7">
        <v>1</v>
      </c>
      <c r="C83" s="7">
        <v>1</v>
      </c>
      <c r="D83" s="7">
        <v>1</v>
      </c>
      <c r="E83" s="7">
        <v>1</v>
      </c>
      <c r="F83" s="7">
        <v>20</v>
      </c>
      <c r="G83" s="7">
        <v>18</v>
      </c>
      <c r="H83" s="7">
        <v>3</v>
      </c>
      <c r="I83" s="8" t="s">
        <v>58</v>
      </c>
      <c r="J83" s="8" t="s">
        <v>57</v>
      </c>
      <c r="K83" s="8" t="s">
        <v>90</v>
      </c>
      <c r="L83" s="8" t="s">
        <v>60</v>
      </c>
      <c r="M83" s="8" t="s">
        <v>55</v>
      </c>
      <c r="N83" s="8" t="s">
        <v>59</v>
      </c>
      <c r="O83" s="9" t="s">
        <v>65</v>
      </c>
      <c r="P83" s="9" t="s">
        <v>63</v>
      </c>
      <c r="Q83" s="9" t="s">
        <v>91</v>
      </c>
      <c r="R83" s="9" t="s">
        <v>64</v>
      </c>
      <c r="S83" s="9" t="s">
        <v>93</v>
      </c>
      <c r="T83" s="9" t="s">
        <v>69</v>
      </c>
      <c r="U83" s="7" t="s">
        <v>75</v>
      </c>
      <c r="V83" s="7" t="s">
        <v>97</v>
      </c>
      <c r="W83" s="7" t="s">
        <v>77</v>
      </c>
      <c r="X83" s="7" t="s">
        <v>76</v>
      </c>
      <c r="Y83" s="7" t="s">
        <v>94</v>
      </c>
      <c r="Z83" s="7" t="s">
        <v>96</v>
      </c>
    </row>
    <row r="84" spans="1:26">
      <c r="A84" s="7">
        <v>57</v>
      </c>
      <c r="B84" s="7">
        <v>1</v>
      </c>
      <c r="C84" s="7">
        <v>1</v>
      </c>
      <c r="D84" s="7">
        <v>1</v>
      </c>
      <c r="E84" s="7">
        <v>0</v>
      </c>
      <c r="F84" s="7">
        <v>20</v>
      </c>
      <c r="G84" s="7">
        <v>18</v>
      </c>
      <c r="H84" s="7">
        <v>3</v>
      </c>
      <c r="I84" s="8" t="s">
        <v>58</v>
      </c>
      <c r="J84" s="8" t="s">
        <v>57</v>
      </c>
      <c r="K84" s="8" t="s">
        <v>90</v>
      </c>
      <c r="L84" s="8" t="s">
        <v>60</v>
      </c>
      <c r="M84" s="8" t="s">
        <v>55</v>
      </c>
      <c r="N84" s="8" t="s">
        <v>59</v>
      </c>
      <c r="O84" s="9" t="s">
        <v>65</v>
      </c>
      <c r="P84" s="9" t="s">
        <v>63</v>
      </c>
      <c r="Q84" s="9" t="s">
        <v>91</v>
      </c>
      <c r="R84" s="9" t="s">
        <v>64</v>
      </c>
      <c r="S84" s="9" t="s">
        <v>93</v>
      </c>
      <c r="T84" s="9" t="s">
        <v>69</v>
      </c>
      <c r="U84" s="7" t="s">
        <v>75</v>
      </c>
      <c r="V84" s="7" t="s">
        <v>97</v>
      </c>
      <c r="W84" s="7" t="s">
        <v>77</v>
      </c>
      <c r="X84" s="7" t="s">
        <v>76</v>
      </c>
      <c r="Y84" s="7" t="s">
        <v>94</v>
      </c>
      <c r="Z84" s="7" t="s">
        <v>96</v>
      </c>
    </row>
    <row r="85" spans="1:26">
      <c r="A85" s="7">
        <v>85</v>
      </c>
      <c r="B85" s="7">
        <v>1</v>
      </c>
      <c r="C85" s="7">
        <v>1</v>
      </c>
      <c r="D85" s="7">
        <v>1</v>
      </c>
      <c r="E85" s="7">
        <v>1</v>
      </c>
      <c r="F85" s="7">
        <v>20</v>
      </c>
      <c r="G85" s="7">
        <v>18</v>
      </c>
      <c r="H85" s="7">
        <v>3</v>
      </c>
      <c r="I85" s="8" t="s">
        <v>58</v>
      </c>
      <c r="J85" s="8" t="s">
        <v>57</v>
      </c>
      <c r="K85" s="8" t="s">
        <v>90</v>
      </c>
      <c r="L85" s="8" t="s">
        <v>60</v>
      </c>
      <c r="M85" s="8" t="s">
        <v>55</v>
      </c>
      <c r="N85" s="8" t="s">
        <v>59</v>
      </c>
      <c r="O85" s="9" t="s">
        <v>65</v>
      </c>
      <c r="P85" s="9" t="s">
        <v>63</v>
      </c>
      <c r="Q85" s="9" t="s">
        <v>91</v>
      </c>
      <c r="R85" s="9" t="s">
        <v>64</v>
      </c>
      <c r="S85" s="9" t="s">
        <v>93</v>
      </c>
      <c r="T85" s="9" t="s">
        <v>69</v>
      </c>
      <c r="U85" s="7" t="s">
        <v>75</v>
      </c>
      <c r="V85" s="7" t="s">
        <v>97</v>
      </c>
      <c r="W85" s="7" t="s">
        <v>77</v>
      </c>
      <c r="X85" s="7" t="s">
        <v>76</v>
      </c>
      <c r="Y85" s="7" t="s">
        <v>94</v>
      </c>
      <c r="Z85" s="7" t="s">
        <v>96</v>
      </c>
    </row>
    <row r="86" spans="1:26">
      <c r="A86" s="7">
        <v>9</v>
      </c>
      <c r="B86" s="7">
        <v>1</v>
      </c>
      <c r="C86" s="7">
        <v>1</v>
      </c>
      <c r="D86" s="7">
        <v>1</v>
      </c>
      <c r="E86" s="7">
        <v>0</v>
      </c>
      <c r="F86" s="7">
        <v>21</v>
      </c>
      <c r="G86" s="7">
        <v>18</v>
      </c>
      <c r="H86" s="7">
        <v>3</v>
      </c>
      <c r="I86" s="8" t="s">
        <v>61</v>
      </c>
      <c r="J86" s="8" t="s">
        <v>89</v>
      </c>
      <c r="K86" s="8" t="s">
        <v>55</v>
      </c>
      <c r="L86" s="8" t="s">
        <v>90</v>
      </c>
      <c r="M86" s="8" t="s">
        <v>58</v>
      </c>
      <c r="N86" s="8" t="s">
        <v>57</v>
      </c>
      <c r="O86" s="9" t="s">
        <v>93</v>
      </c>
      <c r="P86" s="9" t="s">
        <v>91</v>
      </c>
      <c r="Q86" s="9" t="s">
        <v>92</v>
      </c>
      <c r="R86" s="9" t="s">
        <v>68</v>
      </c>
      <c r="S86" s="9" t="s">
        <v>63</v>
      </c>
      <c r="T86" s="9" t="s">
        <v>69</v>
      </c>
      <c r="U86" s="7" t="s">
        <v>96</v>
      </c>
      <c r="V86" s="7" t="s">
        <v>76</v>
      </c>
      <c r="W86" s="7" t="s">
        <v>97</v>
      </c>
      <c r="X86" s="7" t="s">
        <v>77</v>
      </c>
      <c r="Y86" s="7" t="s">
        <v>94</v>
      </c>
      <c r="Z86" s="7" t="s">
        <v>75</v>
      </c>
    </row>
    <row r="87" spans="1:26">
      <c r="A87" s="7">
        <v>16</v>
      </c>
      <c r="B87" s="7">
        <v>1</v>
      </c>
      <c r="C87" s="7">
        <v>1</v>
      </c>
      <c r="D87" s="7">
        <v>1</v>
      </c>
      <c r="E87" s="7">
        <v>1</v>
      </c>
      <c r="F87" s="7">
        <v>21</v>
      </c>
      <c r="G87" s="7">
        <v>18</v>
      </c>
      <c r="H87" s="7">
        <v>3</v>
      </c>
      <c r="I87" s="8" t="s">
        <v>61</v>
      </c>
      <c r="J87" s="8" t="s">
        <v>89</v>
      </c>
      <c r="K87" s="8" t="s">
        <v>55</v>
      </c>
      <c r="L87" s="8" t="s">
        <v>90</v>
      </c>
      <c r="M87" s="8" t="s">
        <v>58</v>
      </c>
      <c r="N87" s="8" t="s">
        <v>57</v>
      </c>
      <c r="O87" s="9" t="s">
        <v>93</v>
      </c>
      <c r="P87" s="9" t="s">
        <v>91</v>
      </c>
      <c r="Q87" s="9" t="s">
        <v>92</v>
      </c>
      <c r="R87" s="9" t="s">
        <v>68</v>
      </c>
      <c r="S87" s="9" t="s">
        <v>63</v>
      </c>
      <c r="T87" s="9" t="s">
        <v>69</v>
      </c>
      <c r="U87" s="7" t="s">
        <v>96</v>
      </c>
      <c r="V87" s="7" t="s">
        <v>76</v>
      </c>
      <c r="W87" s="7" t="s">
        <v>97</v>
      </c>
      <c r="X87" s="7" t="s">
        <v>77</v>
      </c>
      <c r="Y87" s="7" t="s">
        <v>94</v>
      </c>
      <c r="Z87" s="7" t="s">
        <v>75</v>
      </c>
    </row>
    <row r="88" spans="1:26">
      <c r="A88" s="7">
        <v>70</v>
      </c>
      <c r="B88" s="7">
        <v>1</v>
      </c>
      <c r="C88" s="7">
        <v>1</v>
      </c>
      <c r="D88" s="7">
        <v>1</v>
      </c>
      <c r="E88" s="7">
        <v>0</v>
      </c>
      <c r="F88" s="7">
        <v>21</v>
      </c>
      <c r="G88" s="7">
        <v>18</v>
      </c>
      <c r="H88" s="7">
        <v>3</v>
      </c>
      <c r="I88" s="8" t="s">
        <v>61</v>
      </c>
      <c r="J88" s="8" t="s">
        <v>89</v>
      </c>
      <c r="K88" s="8" t="s">
        <v>55</v>
      </c>
      <c r="L88" s="8" t="s">
        <v>90</v>
      </c>
      <c r="M88" s="8" t="s">
        <v>58</v>
      </c>
      <c r="N88" s="8" t="s">
        <v>57</v>
      </c>
      <c r="O88" s="9" t="s">
        <v>93</v>
      </c>
      <c r="P88" s="9" t="s">
        <v>91</v>
      </c>
      <c r="Q88" s="9" t="s">
        <v>92</v>
      </c>
      <c r="R88" s="9" t="s">
        <v>68</v>
      </c>
      <c r="S88" s="9" t="s">
        <v>63</v>
      </c>
      <c r="T88" s="9" t="s">
        <v>69</v>
      </c>
      <c r="U88" s="7" t="s">
        <v>96</v>
      </c>
      <c r="V88" s="7" t="s">
        <v>76</v>
      </c>
      <c r="W88" s="7" t="s">
        <v>97</v>
      </c>
      <c r="X88" s="7" t="s">
        <v>77</v>
      </c>
      <c r="Y88" s="7" t="s">
        <v>94</v>
      </c>
      <c r="Z88" s="7" t="s">
        <v>75</v>
      </c>
    </row>
    <row r="89" spans="1:26">
      <c r="A89" s="7">
        <v>82</v>
      </c>
      <c r="B89" s="7">
        <v>1</v>
      </c>
      <c r="C89" s="7">
        <v>1</v>
      </c>
      <c r="D89" s="7">
        <v>1</v>
      </c>
      <c r="E89" s="7">
        <v>1</v>
      </c>
      <c r="F89" s="7">
        <v>21</v>
      </c>
      <c r="G89" s="7">
        <v>18</v>
      </c>
      <c r="H89" s="7">
        <v>3</v>
      </c>
      <c r="I89" s="8" t="s">
        <v>61</v>
      </c>
      <c r="J89" s="8" t="s">
        <v>89</v>
      </c>
      <c r="K89" s="8" t="s">
        <v>55</v>
      </c>
      <c r="L89" s="8" t="s">
        <v>90</v>
      </c>
      <c r="M89" s="8" t="s">
        <v>58</v>
      </c>
      <c r="N89" s="8" t="s">
        <v>57</v>
      </c>
      <c r="O89" s="9" t="s">
        <v>93</v>
      </c>
      <c r="P89" s="9" t="s">
        <v>91</v>
      </c>
      <c r="Q89" s="9" t="s">
        <v>92</v>
      </c>
      <c r="R89" s="9" t="s">
        <v>68</v>
      </c>
      <c r="S89" s="9" t="s">
        <v>63</v>
      </c>
      <c r="T89" s="9" t="s">
        <v>69</v>
      </c>
      <c r="U89" s="7" t="s">
        <v>96</v>
      </c>
      <c r="V89" s="7" t="s">
        <v>76</v>
      </c>
      <c r="W89" s="7" t="s">
        <v>97</v>
      </c>
      <c r="X89" s="7" t="s">
        <v>77</v>
      </c>
      <c r="Y89" s="7" t="s">
        <v>94</v>
      </c>
      <c r="Z89" s="7" t="s">
        <v>75</v>
      </c>
    </row>
    <row r="90" spans="1:26">
      <c r="A90" s="7">
        <v>18</v>
      </c>
      <c r="B90" s="7">
        <v>1</v>
      </c>
      <c r="C90" s="7">
        <v>1</v>
      </c>
      <c r="D90" s="7">
        <v>1</v>
      </c>
      <c r="E90" s="7">
        <v>0</v>
      </c>
      <c r="F90" s="7">
        <v>22</v>
      </c>
      <c r="G90" s="7">
        <v>18</v>
      </c>
      <c r="H90" s="7">
        <v>3</v>
      </c>
      <c r="I90" s="8" t="s">
        <v>90</v>
      </c>
      <c r="J90" s="8" t="s">
        <v>89</v>
      </c>
      <c r="K90" s="8" t="s">
        <v>61</v>
      </c>
      <c r="L90" s="8" t="s">
        <v>55</v>
      </c>
      <c r="M90" s="8" t="s">
        <v>59</v>
      </c>
      <c r="N90" s="8" t="s">
        <v>57</v>
      </c>
      <c r="O90" s="9" t="s">
        <v>64</v>
      </c>
      <c r="P90" s="9" t="s">
        <v>92</v>
      </c>
      <c r="Q90" s="9" t="s">
        <v>68</v>
      </c>
      <c r="R90" s="9" t="s">
        <v>91</v>
      </c>
      <c r="S90" s="9" t="s">
        <v>69</v>
      </c>
      <c r="T90" s="9" t="s">
        <v>93</v>
      </c>
      <c r="U90" s="7" t="s">
        <v>76</v>
      </c>
      <c r="V90" s="7" t="s">
        <v>75</v>
      </c>
      <c r="W90" s="7" t="s">
        <v>94</v>
      </c>
      <c r="X90" s="7" t="s">
        <v>97</v>
      </c>
      <c r="Y90" s="7" t="s">
        <v>77</v>
      </c>
      <c r="Z90" s="7" t="s">
        <v>95</v>
      </c>
    </row>
    <row r="91" spans="1:26">
      <c r="A91" s="7">
        <v>39</v>
      </c>
      <c r="B91" s="7">
        <v>1</v>
      </c>
      <c r="C91" s="7">
        <v>1</v>
      </c>
      <c r="D91" s="7">
        <v>1</v>
      </c>
      <c r="E91" s="7">
        <v>1</v>
      </c>
      <c r="F91" s="7">
        <v>22</v>
      </c>
      <c r="G91" s="7">
        <v>18</v>
      </c>
      <c r="H91" s="7">
        <v>3</v>
      </c>
      <c r="I91" s="8" t="s">
        <v>90</v>
      </c>
      <c r="J91" s="8" t="s">
        <v>89</v>
      </c>
      <c r="K91" s="8" t="s">
        <v>61</v>
      </c>
      <c r="L91" s="8" t="s">
        <v>55</v>
      </c>
      <c r="M91" s="8" t="s">
        <v>59</v>
      </c>
      <c r="N91" s="8" t="s">
        <v>57</v>
      </c>
      <c r="O91" s="9" t="s">
        <v>64</v>
      </c>
      <c r="P91" s="9" t="s">
        <v>92</v>
      </c>
      <c r="Q91" s="9" t="s">
        <v>68</v>
      </c>
      <c r="R91" s="9" t="s">
        <v>91</v>
      </c>
      <c r="S91" s="9" t="s">
        <v>69</v>
      </c>
      <c r="T91" s="9" t="s">
        <v>93</v>
      </c>
      <c r="U91" s="7" t="s">
        <v>76</v>
      </c>
      <c r="V91" s="7" t="s">
        <v>75</v>
      </c>
      <c r="W91" s="7" t="s">
        <v>94</v>
      </c>
      <c r="X91" s="7" t="s">
        <v>97</v>
      </c>
      <c r="Y91" s="7" t="s">
        <v>77</v>
      </c>
      <c r="Z91" s="7" t="s">
        <v>95</v>
      </c>
    </row>
    <row r="92" spans="1:26">
      <c r="A92" s="7">
        <v>91</v>
      </c>
      <c r="B92" s="7">
        <v>1</v>
      </c>
      <c r="C92" s="7">
        <v>1</v>
      </c>
      <c r="D92" s="7">
        <v>1</v>
      </c>
      <c r="E92" s="7">
        <v>0</v>
      </c>
      <c r="F92" s="7">
        <v>22</v>
      </c>
      <c r="G92" s="7">
        <v>18</v>
      </c>
      <c r="H92" s="7">
        <v>3</v>
      </c>
      <c r="I92" s="8" t="s">
        <v>90</v>
      </c>
      <c r="J92" s="8" t="s">
        <v>89</v>
      </c>
      <c r="K92" s="8" t="s">
        <v>61</v>
      </c>
      <c r="L92" s="8" t="s">
        <v>55</v>
      </c>
      <c r="M92" s="8" t="s">
        <v>59</v>
      </c>
      <c r="N92" s="8" t="s">
        <v>57</v>
      </c>
      <c r="O92" s="9" t="s">
        <v>64</v>
      </c>
      <c r="P92" s="9" t="s">
        <v>92</v>
      </c>
      <c r="Q92" s="9" t="s">
        <v>68</v>
      </c>
      <c r="R92" s="9" t="s">
        <v>91</v>
      </c>
      <c r="S92" s="9" t="s">
        <v>69</v>
      </c>
      <c r="T92" s="9" t="s">
        <v>93</v>
      </c>
      <c r="U92" s="7" t="s">
        <v>76</v>
      </c>
      <c r="V92" s="7" t="s">
        <v>75</v>
      </c>
      <c r="W92" s="7" t="s">
        <v>94</v>
      </c>
      <c r="X92" s="7" t="s">
        <v>97</v>
      </c>
      <c r="Y92" s="7" t="s">
        <v>77</v>
      </c>
      <c r="Z92" s="7" t="s">
        <v>95</v>
      </c>
    </row>
    <row r="93" spans="1:26">
      <c r="A93" s="7">
        <v>100</v>
      </c>
      <c r="B93" s="7">
        <v>1</v>
      </c>
      <c r="C93" s="7">
        <v>1</v>
      </c>
      <c r="D93" s="7">
        <v>1</v>
      </c>
      <c r="E93" s="7">
        <v>1</v>
      </c>
      <c r="F93" s="7">
        <v>22</v>
      </c>
      <c r="G93" s="7">
        <v>18</v>
      </c>
      <c r="H93" s="7">
        <v>3</v>
      </c>
      <c r="I93" s="8" t="s">
        <v>90</v>
      </c>
      <c r="J93" s="8" t="s">
        <v>89</v>
      </c>
      <c r="K93" s="8" t="s">
        <v>61</v>
      </c>
      <c r="L93" s="8" t="s">
        <v>55</v>
      </c>
      <c r="M93" s="8" t="s">
        <v>59</v>
      </c>
      <c r="N93" s="8" t="s">
        <v>57</v>
      </c>
      <c r="O93" s="9" t="s">
        <v>64</v>
      </c>
      <c r="P93" s="9" t="s">
        <v>92</v>
      </c>
      <c r="Q93" s="9" t="s">
        <v>68</v>
      </c>
      <c r="R93" s="9" t="s">
        <v>91</v>
      </c>
      <c r="S93" s="9" t="s">
        <v>69</v>
      </c>
      <c r="T93" s="9" t="s">
        <v>93</v>
      </c>
      <c r="U93" s="7" t="s">
        <v>76</v>
      </c>
      <c r="V93" s="7" t="s">
        <v>75</v>
      </c>
      <c r="W93" s="7" t="s">
        <v>94</v>
      </c>
      <c r="X93" s="7" t="s">
        <v>97</v>
      </c>
      <c r="Y93" s="7" t="s">
        <v>77</v>
      </c>
      <c r="Z93" s="7" t="s">
        <v>95</v>
      </c>
    </row>
    <row r="94" spans="1:26">
      <c r="A94" s="7">
        <v>29</v>
      </c>
      <c r="B94" s="7">
        <v>1</v>
      </c>
      <c r="C94" s="7">
        <v>1</v>
      </c>
      <c r="D94" s="7">
        <v>1</v>
      </c>
      <c r="E94" s="7">
        <v>0</v>
      </c>
      <c r="F94" s="7">
        <v>23</v>
      </c>
      <c r="G94" s="7">
        <v>18</v>
      </c>
      <c r="H94" s="7">
        <v>3</v>
      </c>
      <c r="I94" s="8" t="s">
        <v>60</v>
      </c>
      <c r="J94" s="8" t="s">
        <v>59</v>
      </c>
      <c r="K94" s="8" t="s">
        <v>55</v>
      </c>
      <c r="L94" s="8" t="s">
        <v>61</v>
      </c>
      <c r="M94" s="8" t="s">
        <v>58</v>
      </c>
      <c r="N94" s="8" t="s">
        <v>57</v>
      </c>
      <c r="O94" s="9" t="s">
        <v>63</v>
      </c>
      <c r="P94" s="9" t="s">
        <v>92</v>
      </c>
      <c r="Q94" s="9" t="s">
        <v>93</v>
      </c>
      <c r="R94" s="9" t="s">
        <v>91</v>
      </c>
      <c r="S94" s="9" t="s">
        <v>64</v>
      </c>
      <c r="T94" s="9" t="s">
        <v>65</v>
      </c>
      <c r="U94" s="7" t="s">
        <v>94</v>
      </c>
      <c r="V94" s="7" t="s">
        <v>95</v>
      </c>
      <c r="W94" s="7" t="s">
        <v>75</v>
      </c>
      <c r="X94" s="7" t="s">
        <v>70</v>
      </c>
      <c r="Y94" s="7" t="s">
        <v>97</v>
      </c>
      <c r="Z94" s="7" t="s">
        <v>76</v>
      </c>
    </row>
    <row r="95" spans="1:26">
      <c r="A95" s="7">
        <v>37</v>
      </c>
      <c r="B95" s="7">
        <v>1</v>
      </c>
      <c r="C95" s="7">
        <v>1</v>
      </c>
      <c r="D95" s="7">
        <v>1</v>
      </c>
      <c r="E95" s="7">
        <v>1</v>
      </c>
      <c r="F95" s="7">
        <v>23</v>
      </c>
      <c r="G95" s="7">
        <v>18</v>
      </c>
      <c r="H95" s="7">
        <v>3</v>
      </c>
      <c r="I95" s="8" t="s">
        <v>60</v>
      </c>
      <c r="J95" s="8" t="s">
        <v>59</v>
      </c>
      <c r="K95" s="8" t="s">
        <v>55</v>
      </c>
      <c r="L95" s="8" t="s">
        <v>61</v>
      </c>
      <c r="M95" s="8" t="s">
        <v>58</v>
      </c>
      <c r="N95" s="8" t="s">
        <v>57</v>
      </c>
      <c r="O95" s="9" t="s">
        <v>63</v>
      </c>
      <c r="P95" s="9" t="s">
        <v>92</v>
      </c>
      <c r="Q95" s="9" t="s">
        <v>93</v>
      </c>
      <c r="R95" s="9" t="s">
        <v>91</v>
      </c>
      <c r="S95" s="9" t="s">
        <v>64</v>
      </c>
      <c r="T95" s="9" t="s">
        <v>65</v>
      </c>
      <c r="U95" s="7" t="s">
        <v>94</v>
      </c>
      <c r="V95" s="7" t="s">
        <v>95</v>
      </c>
      <c r="W95" s="7" t="s">
        <v>75</v>
      </c>
      <c r="X95" s="7" t="s">
        <v>70</v>
      </c>
      <c r="Y95" s="7" t="s">
        <v>97</v>
      </c>
      <c r="Z95" s="7" t="s">
        <v>76</v>
      </c>
    </row>
    <row r="96" spans="1:26">
      <c r="A96" s="7">
        <v>60</v>
      </c>
      <c r="B96" s="7">
        <v>1</v>
      </c>
      <c r="C96" s="7">
        <v>1</v>
      </c>
      <c r="D96" s="7">
        <v>1</v>
      </c>
      <c r="E96" s="7">
        <v>0</v>
      </c>
      <c r="F96" s="7">
        <v>23</v>
      </c>
      <c r="G96" s="7">
        <v>18</v>
      </c>
      <c r="H96" s="7">
        <v>3</v>
      </c>
      <c r="I96" s="8" t="s">
        <v>60</v>
      </c>
      <c r="J96" s="8" t="s">
        <v>59</v>
      </c>
      <c r="K96" s="8" t="s">
        <v>55</v>
      </c>
      <c r="L96" s="8" t="s">
        <v>61</v>
      </c>
      <c r="M96" s="8" t="s">
        <v>58</v>
      </c>
      <c r="N96" s="8" t="s">
        <v>57</v>
      </c>
      <c r="O96" s="9" t="s">
        <v>63</v>
      </c>
      <c r="P96" s="9" t="s">
        <v>92</v>
      </c>
      <c r="Q96" s="9" t="s">
        <v>93</v>
      </c>
      <c r="R96" s="9" t="s">
        <v>91</v>
      </c>
      <c r="S96" s="9" t="s">
        <v>64</v>
      </c>
      <c r="T96" s="9" t="s">
        <v>65</v>
      </c>
      <c r="U96" s="7" t="s">
        <v>94</v>
      </c>
      <c r="V96" s="7" t="s">
        <v>95</v>
      </c>
      <c r="W96" s="7" t="s">
        <v>75</v>
      </c>
      <c r="X96" s="7" t="s">
        <v>70</v>
      </c>
      <c r="Y96" s="7" t="s">
        <v>97</v>
      </c>
      <c r="Z96" s="7" t="s">
        <v>76</v>
      </c>
    </row>
    <row r="97" spans="1:26">
      <c r="A97" s="7">
        <v>80</v>
      </c>
      <c r="B97" s="7">
        <v>1</v>
      </c>
      <c r="C97" s="7">
        <v>1</v>
      </c>
      <c r="D97" s="7">
        <v>1</v>
      </c>
      <c r="E97" s="7">
        <v>1</v>
      </c>
      <c r="F97" s="7">
        <v>23</v>
      </c>
      <c r="G97" s="7">
        <v>18</v>
      </c>
      <c r="H97" s="7">
        <v>3</v>
      </c>
      <c r="I97" s="8" t="s">
        <v>60</v>
      </c>
      <c r="J97" s="8" t="s">
        <v>59</v>
      </c>
      <c r="K97" s="8" t="s">
        <v>55</v>
      </c>
      <c r="L97" s="8" t="s">
        <v>61</v>
      </c>
      <c r="M97" s="8" t="s">
        <v>58</v>
      </c>
      <c r="N97" s="8" t="s">
        <v>57</v>
      </c>
      <c r="O97" s="9" t="s">
        <v>63</v>
      </c>
      <c r="P97" s="9" t="s">
        <v>92</v>
      </c>
      <c r="Q97" s="9" t="s">
        <v>93</v>
      </c>
      <c r="R97" s="9" t="s">
        <v>91</v>
      </c>
      <c r="S97" s="9" t="s">
        <v>64</v>
      </c>
      <c r="T97" s="9" t="s">
        <v>65</v>
      </c>
      <c r="U97" s="7" t="s">
        <v>94</v>
      </c>
      <c r="V97" s="7" t="s">
        <v>95</v>
      </c>
      <c r="W97" s="7" t="s">
        <v>75</v>
      </c>
      <c r="X97" s="7" t="s">
        <v>70</v>
      </c>
      <c r="Y97" s="7" t="s">
        <v>97</v>
      </c>
      <c r="Z97" s="7" t="s">
        <v>76</v>
      </c>
    </row>
    <row r="98" spans="1:26">
      <c r="A98" s="7">
        <v>7</v>
      </c>
      <c r="B98" s="7">
        <v>1</v>
      </c>
      <c r="C98" s="7">
        <v>1</v>
      </c>
      <c r="D98" s="7">
        <v>1</v>
      </c>
      <c r="E98" s="7">
        <v>0</v>
      </c>
      <c r="F98" s="7">
        <v>24</v>
      </c>
      <c r="G98" s="7">
        <v>18</v>
      </c>
      <c r="H98" s="7">
        <v>3</v>
      </c>
      <c r="I98" s="8" t="s">
        <v>89</v>
      </c>
      <c r="J98" s="8" t="s">
        <v>55</v>
      </c>
      <c r="K98" s="8" t="s">
        <v>90</v>
      </c>
      <c r="L98" s="8" t="s">
        <v>57</v>
      </c>
      <c r="M98" s="8" t="s">
        <v>58</v>
      </c>
      <c r="N98" s="8" t="s">
        <v>60</v>
      </c>
      <c r="O98" s="9" t="s">
        <v>63</v>
      </c>
      <c r="P98" s="9" t="s">
        <v>64</v>
      </c>
      <c r="Q98" s="9" t="s">
        <v>68</v>
      </c>
      <c r="R98" s="9" t="s">
        <v>91</v>
      </c>
      <c r="S98" s="9" t="s">
        <v>92</v>
      </c>
      <c r="T98" s="9" t="s">
        <v>93</v>
      </c>
      <c r="U98" s="7" t="s">
        <v>94</v>
      </c>
      <c r="V98" s="7" t="s">
        <v>97</v>
      </c>
      <c r="W98" s="7" t="s">
        <v>96</v>
      </c>
      <c r="X98" s="7" t="s">
        <v>77</v>
      </c>
      <c r="Y98" s="7" t="s">
        <v>76</v>
      </c>
      <c r="Z98" s="7" t="s">
        <v>70</v>
      </c>
    </row>
    <row r="99" spans="1:26">
      <c r="A99" s="7">
        <v>23</v>
      </c>
      <c r="B99" s="7">
        <v>1</v>
      </c>
      <c r="C99" s="7">
        <v>1</v>
      </c>
      <c r="D99" s="7">
        <v>1</v>
      </c>
      <c r="E99" s="7">
        <v>1</v>
      </c>
      <c r="F99" s="7">
        <v>24</v>
      </c>
      <c r="G99" s="7">
        <v>18</v>
      </c>
      <c r="H99" s="7">
        <v>3</v>
      </c>
      <c r="I99" s="8" t="s">
        <v>89</v>
      </c>
      <c r="J99" s="8" t="s">
        <v>55</v>
      </c>
      <c r="K99" s="8" t="s">
        <v>90</v>
      </c>
      <c r="L99" s="8" t="s">
        <v>57</v>
      </c>
      <c r="M99" s="8" t="s">
        <v>58</v>
      </c>
      <c r="N99" s="8" t="s">
        <v>60</v>
      </c>
      <c r="O99" s="9" t="s">
        <v>63</v>
      </c>
      <c r="P99" s="9" t="s">
        <v>64</v>
      </c>
      <c r="Q99" s="9" t="s">
        <v>68</v>
      </c>
      <c r="R99" s="9" t="s">
        <v>91</v>
      </c>
      <c r="S99" s="9" t="s">
        <v>92</v>
      </c>
      <c r="T99" s="9" t="s">
        <v>93</v>
      </c>
      <c r="U99" s="7" t="s">
        <v>94</v>
      </c>
      <c r="V99" s="7" t="s">
        <v>97</v>
      </c>
      <c r="W99" s="7" t="s">
        <v>96</v>
      </c>
      <c r="X99" s="7" t="s">
        <v>77</v>
      </c>
      <c r="Y99" s="7" t="s">
        <v>76</v>
      </c>
      <c r="Z99" s="7" t="s">
        <v>70</v>
      </c>
    </row>
    <row r="100" spans="1:26">
      <c r="A100" s="7">
        <v>72</v>
      </c>
      <c r="B100" s="7">
        <v>1</v>
      </c>
      <c r="C100" s="7">
        <v>1</v>
      </c>
      <c r="D100" s="7">
        <v>1</v>
      </c>
      <c r="E100" s="7">
        <v>0</v>
      </c>
      <c r="F100" s="7">
        <v>24</v>
      </c>
      <c r="G100" s="7">
        <v>18</v>
      </c>
      <c r="H100" s="7">
        <v>3</v>
      </c>
      <c r="I100" s="8" t="s">
        <v>89</v>
      </c>
      <c r="J100" s="8" t="s">
        <v>55</v>
      </c>
      <c r="K100" s="8" t="s">
        <v>90</v>
      </c>
      <c r="L100" s="8" t="s">
        <v>57</v>
      </c>
      <c r="M100" s="8" t="s">
        <v>58</v>
      </c>
      <c r="N100" s="8" t="s">
        <v>60</v>
      </c>
      <c r="O100" s="9" t="s">
        <v>63</v>
      </c>
      <c r="P100" s="9" t="s">
        <v>64</v>
      </c>
      <c r="Q100" s="9" t="s">
        <v>68</v>
      </c>
      <c r="R100" s="9" t="s">
        <v>91</v>
      </c>
      <c r="S100" s="9" t="s">
        <v>92</v>
      </c>
      <c r="T100" s="9" t="s">
        <v>93</v>
      </c>
      <c r="U100" s="7" t="s">
        <v>94</v>
      </c>
      <c r="V100" s="7" t="s">
        <v>97</v>
      </c>
      <c r="W100" s="7" t="s">
        <v>96</v>
      </c>
      <c r="X100" s="7" t="s">
        <v>77</v>
      </c>
      <c r="Y100" s="7" t="s">
        <v>76</v>
      </c>
      <c r="Z100" s="7" t="s">
        <v>70</v>
      </c>
    </row>
    <row r="101" spans="1:26">
      <c r="A101" s="7">
        <v>84</v>
      </c>
      <c r="B101" s="7">
        <v>1</v>
      </c>
      <c r="C101" s="7">
        <v>1</v>
      </c>
      <c r="D101" s="7">
        <v>1</v>
      </c>
      <c r="E101" s="7">
        <v>1</v>
      </c>
      <c r="F101" s="7">
        <v>24</v>
      </c>
      <c r="G101" s="7">
        <v>18</v>
      </c>
      <c r="H101" s="7">
        <v>3</v>
      </c>
      <c r="I101" s="8" t="s">
        <v>89</v>
      </c>
      <c r="J101" s="8" t="s">
        <v>55</v>
      </c>
      <c r="K101" s="8" t="s">
        <v>90</v>
      </c>
      <c r="L101" s="8" t="s">
        <v>57</v>
      </c>
      <c r="M101" s="8" t="s">
        <v>58</v>
      </c>
      <c r="N101" s="8" t="s">
        <v>60</v>
      </c>
      <c r="O101" s="9" t="s">
        <v>63</v>
      </c>
      <c r="P101" s="9" t="s">
        <v>64</v>
      </c>
      <c r="Q101" s="9" t="s">
        <v>68</v>
      </c>
      <c r="R101" s="9" t="s">
        <v>91</v>
      </c>
      <c r="S101" s="9" t="s">
        <v>92</v>
      </c>
      <c r="T101" s="9" t="s">
        <v>93</v>
      </c>
      <c r="U101" s="7" t="s">
        <v>94</v>
      </c>
      <c r="V101" s="7" t="s">
        <v>97</v>
      </c>
      <c r="W101" s="7" t="s">
        <v>96</v>
      </c>
      <c r="X101" s="7" t="s">
        <v>77</v>
      </c>
      <c r="Y101" s="7" t="s">
        <v>76</v>
      </c>
      <c r="Z101" s="7" t="s">
        <v>70</v>
      </c>
    </row>
    <row r="102" spans="1:26">
      <c r="A102" s="7">
        <v>10</v>
      </c>
      <c r="B102" s="7">
        <v>1</v>
      </c>
      <c r="C102" s="7">
        <v>1</v>
      </c>
      <c r="D102" s="7">
        <v>1</v>
      </c>
      <c r="E102" s="7">
        <v>0</v>
      </c>
      <c r="F102" s="7">
        <v>25</v>
      </c>
      <c r="G102" s="7">
        <v>18</v>
      </c>
      <c r="H102" s="7">
        <v>3</v>
      </c>
      <c r="I102" s="8" t="s">
        <v>59</v>
      </c>
      <c r="J102" s="8" t="s">
        <v>58</v>
      </c>
      <c r="K102" s="8" t="s">
        <v>60</v>
      </c>
      <c r="L102" s="8" t="s">
        <v>90</v>
      </c>
      <c r="M102" s="8" t="s">
        <v>89</v>
      </c>
      <c r="N102" s="8" t="s">
        <v>55</v>
      </c>
      <c r="O102" s="9" t="s">
        <v>69</v>
      </c>
      <c r="P102" s="9" t="s">
        <v>63</v>
      </c>
      <c r="Q102" s="9" t="s">
        <v>92</v>
      </c>
      <c r="R102" s="9" t="s">
        <v>68</v>
      </c>
      <c r="S102" s="9" t="s">
        <v>91</v>
      </c>
      <c r="T102" s="9" t="s">
        <v>65</v>
      </c>
      <c r="U102" s="7" t="s">
        <v>75</v>
      </c>
      <c r="V102" s="7" t="s">
        <v>76</v>
      </c>
      <c r="W102" s="7" t="s">
        <v>96</v>
      </c>
      <c r="X102" s="7" t="s">
        <v>95</v>
      </c>
      <c r="Y102" s="7" t="s">
        <v>97</v>
      </c>
      <c r="Z102" s="7" t="s">
        <v>70</v>
      </c>
    </row>
    <row r="103" spans="1:26">
      <c r="A103" s="7">
        <v>13</v>
      </c>
      <c r="B103" s="7">
        <v>1</v>
      </c>
      <c r="C103" s="7">
        <v>1</v>
      </c>
      <c r="D103" s="7">
        <v>1</v>
      </c>
      <c r="E103" s="7">
        <v>1</v>
      </c>
      <c r="F103" s="7">
        <v>25</v>
      </c>
      <c r="G103" s="7">
        <v>18</v>
      </c>
      <c r="H103" s="7">
        <v>3</v>
      </c>
      <c r="I103" s="8" t="s">
        <v>59</v>
      </c>
      <c r="J103" s="8" t="s">
        <v>58</v>
      </c>
      <c r="K103" s="8" t="s">
        <v>60</v>
      </c>
      <c r="L103" s="8" t="s">
        <v>90</v>
      </c>
      <c r="M103" s="8" t="s">
        <v>89</v>
      </c>
      <c r="N103" s="8" t="s">
        <v>55</v>
      </c>
      <c r="O103" s="9" t="s">
        <v>69</v>
      </c>
      <c r="P103" s="9" t="s">
        <v>63</v>
      </c>
      <c r="Q103" s="9" t="s">
        <v>92</v>
      </c>
      <c r="R103" s="9" t="s">
        <v>68</v>
      </c>
      <c r="S103" s="9" t="s">
        <v>91</v>
      </c>
      <c r="T103" s="9" t="s">
        <v>65</v>
      </c>
      <c r="U103" s="7" t="s">
        <v>75</v>
      </c>
      <c r="V103" s="7" t="s">
        <v>76</v>
      </c>
      <c r="W103" s="7" t="s">
        <v>96</v>
      </c>
      <c r="X103" s="7" t="s">
        <v>95</v>
      </c>
      <c r="Y103" s="7" t="s">
        <v>97</v>
      </c>
      <c r="Z103" s="7" t="s">
        <v>70</v>
      </c>
    </row>
    <row r="104" spans="1:26">
      <c r="A104" s="7">
        <v>58</v>
      </c>
      <c r="B104" s="7">
        <v>1</v>
      </c>
      <c r="C104" s="7">
        <v>1</v>
      </c>
      <c r="D104" s="7">
        <v>1</v>
      </c>
      <c r="E104" s="7">
        <v>0</v>
      </c>
      <c r="F104" s="7">
        <v>25</v>
      </c>
      <c r="G104" s="7">
        <v>18</v>
      </c>
      <c r="H104" s="7">
        <v>3</v>
      </c>
      <c r="I104" s="8" t="s">
        <v>59</v>
      </c>
      <c r="J104" s="8" t="s">
        <v>58</v>
      </c>
      <c r="K104" s="8" t="s">
        <v>60</v>
      </c>
      <c r="L104" s="8" t="s">
        <v>90</v>
      </c>
      <c r="M104" s="8" t="s">
        <v>89</v>
      </c>
      <c r="N104" s="8" t="s">
        <v>55</v>
      </c>
      <c r="O104" s="9" t="s">
        <v>69</v>
      </c>
      <c r="P104" s="9" t="s">
        <v>63</v>
      </c>
      <c r="Q104" s="9" t="s">
        <v>92</v>
      </c>
      <c r="R104" s="9" t="s">
        <v>68</v>
      </c>
      <c r="S104" s="9" t="s">
        <v>91</v>
      </c>
      <c r="T104" s="9" t="s">
        <v>65</v>
      </c>
      <c r="U104" s="7" t="s">
        <v>75</v>
      </c>
      <c r="V104" s="7" t="s">
        <v>76</v>
      </c>
      <c r="W104" s="7" t="s">
        <v>96</v>
      </c>
      <c r="X104" s="7" t="s">
        <v>95</v>
      </c>
      <c r="Y104" s="7" t="s">
        <v>97</v>
      </c>
      <c r="Z104" s="7" t="s">
        <v>70</v>
      </c>
    </row>
    <row r="105" spans="1:26">
      <c r="A105" s="7">
        <v>98</v>
      </c>
      <c r="B105" s="7">
        <v>1</v>
      </c>
      <c r="C105" s="7">
        <v>1</v>
      </c>
      <c r="D105" s="7">
        <v>1</v>
      </c>
      <c r="E105" s="7">
        <v>1</v>
      </c>
      <c r="F105" s="7">
        <v>25</v>
      </c>
      <c r="G105" s="7">
        <v>18</v>
      </c>
      <c r="H105" s="7">
        <v>3</v>
      </c>
      <c r="I105" s="8" t="s">
        <v>59</v>
      </c>
      <c r="J105" s="8" t="s">
        <v>58</v>
      </c>
      <c r="K105" s="8" t="s">
        <v>60</v>
      </c>
      <c r="L105" s="8" t="s">
        <v>90</v>
      </c>
      <c r="M105" s="8" t="s">
        <v>89</v>
      </c>
      <c r="N105" s="8" t="s">
        <v>55</v>
      </c>
      <c r="O105" s="9" t="s">
        <v>69</v>
      </c>
      <c r="P105" s="9" t="s">
        <v>63</v>
      </c>
      <c r="Q105" s="9" t="s">
        <v>92</v>
      </c>
      <c r="R105" s="9" t="s">
        <v>68</v>
      </c>
      <c r="S105" s="9" t="s">
        <v>91</v>
      </c>
      <c r="T105" s="9" t="s">
        <v>65</v>
      </c>
      <c r="U105" s="7" t="s">
        <v>75</v>
      </c>
      <c r="V105" s="7" t="s">
        <v>76</v>
      </c>
      <c r="W105" s="7" t="s">
        <v>96</v>
      </c>
      <c r="X105" s="7" t="s">
        <v>95</v>
      </c>
      <c r="Y105" s="7" t="s">
        <v>97</v>
      </c>
      <c r="Z105" s="7" t="s">
        <v>70</v>
      </c>
    </row>
    <row r="106" spans="1:26">
      <c r="A106" s="7">
        <v>8</v>
      </c>
      <c r="B106" s="7">
        <v>1</v>
      </c>
      <c r="C106" s="7">
        <v>1</v>
      </c>
      <c r="D106" s="7">
        <v>1</v>
      </c>
      <c r="E106" s="7">
        <v>0</v>
      </c>
      <c r="F106" s="7">
        <v>26</v>
      </c>
      <c r="G106" s="7">
        <v>18</v>
      </c>
      <c r="H106" s="7">
        <v>3</v>
      </c>
      <c r="I106" s="8" t="s">
        <v>59</v>
      </c>
      <c r="J106" s="8" t="s">
        <v>90</v>
      </c>
      <c r="K106" s="8" t="s">
        <v>58</v>
      </c>
      <c r="L106" s="8" t="s">
        <v>57</v>
      </c>
      <c r="M106" s="8" t="s">
        <v>61</v>
      </c>
      <c r="N106" s="8" t="s">
        <v>89</v>
      </c>
      <c r="O106" s="9" t="s">
        <v>91</v>
      </c>
      <c r="P106" s="9" t="s">
        <v>93</v>
      </c>
      <c r="Q106" s="9" t="s">
        <v>68</v>
      </c>
      <c r="R106" s="9" t="s">
        <v>92</v>
      </c>
      <c r="S106" s="9" t="s">
        <v>63</v>
      </c>
      <c r="T106" s="9" t="s">
        <v>64</v>
      </c>
      <c r="U106" s="7" t="s">
        <v>75</v>
      </c>
      <c r="V106" s="7" t="s">
        <v>77</v>
      </c>
      <c r="W106" s="7" t="s">
        <v>94</v>
      </c>
      <c r="X106" s="7" t="s">
        <v>96</v>
      </c>
      <c r="Y106" s="7" t="s">
        <v>76</v>
      </c>
      <c r="Z106" s="7" t="s">
        <v>70</v>
      </c>
    </row>
    <row r="107" spans="1:26">
      <c r="A107" s="7">
        <v>19</v>
      </c>
      <c r="B107" s="7">
        <v>1</v>
      </c>
      <c r="C107" s="7">
        <v>1</v>
      </c>
      <c r="D107" s="7">
        <v>1</v>
      </c>
      <c r="E107" s="7">
        <v>1</v>
      </c>
      <c r="F107" s="7">
        <v>26</v>
      </c>
      <c r="G107" s="7">
        <v>18</v>
      </c>
      <c r="H107" s="7">
        <v>3</v>
      </c>
      <c r="I107" s="8" t="s">
        <v>59</v>
      </c>
      <c r="J107" s="8" t="s">
        <v>90</v>
      </c>
      <c r="K107" s="8" t="s">
        <v>58</v>
      </c>
      <c r="L107" s="8" t="s">
        <v>57</v>
      </c>
      <c r="M107" s="8" t="s">
        <v>61</v>
      </c>
      <c r="N107" s="8" t="s">
        <v>89</v>
      </c>
      <c r="O107" s="9" t="s">
        <v>91</v>
      </c>
      <c r="P107" s="9" t="s">
        <v>93</v>
      </c>
      <c r="Q107" s="9" t="s">
        <v>68</v>
      </c>
      <c r="R107" s="9" t="s">
        <v>92</v>
      </c>
      <c r="S107" s="9" t="s">
        <v>63</v>
      </c>
      <c r="T107" s="9" t="s">
        <v>64</v>
      </c>
      <c r="U107" s="7" t="s">
        <v>75</v>
      </c>
      <c r="V107" s="7" t="s">
        <v>77</v>
      </c>
      <c r="W107" s="7" t="s">
        <v>94</v>
      </c>
      <c r="X107" s="7" t="s">
        <v>96</v>
      </c>
      <c r="Y107" s="7" t="s">
        <v>76</v>
      </c>
      <c r="Z107" s="7" t="s">
        <v>70</v>
      </c>
    </row>
    <row r="108" spans="1:26">
      <c r="A108" s="7">
        <v>99</v>
      </c>
      <c r="B108" s="7">
        <v>1</v>
      </c>
      <c r="C108" s="7">
        <v>1</v>
      </c>
      <c r="D108" s="7">
        <v>1</v>
      </c>
      <c r="E108" s="7">
        <v>0</v>
      </c>
      <c r="F108" s="7">
        <v>26</v>
      </c>
      <c r="G108" s="7">
        <v>18</v>
      </c>
      <c r="H108" s="7">
        <v>3</v>
      </c>
      <c r="I108" s="8" t="s">
        <v>59</v>
      </c>
      <c r="J108" s="8" t="s">
        <v>90</v>
      </c>
      <c r="K108" s="8" t="s">
        <v>58</v>
      </c>
      <c r="L108" s="8" t="s">
        <v>57</v>
      </c>
      <c r="M108" s="8" t="s">
        <v>61</v>
      </c>
      <c r="N108" s="8" t="s">
        <v>89</v>
      </c>
      <c r="O108" s="9" t="s">
        <v>91</v>
      </c>
      <c r="P108" s="9" t="s">
        <v>93</v>
      </c>
      <c r="Q108" s="9" t="s">
        <v>68</v>
      </c>
      <c r="R108" s="9" t="s">
        <v>92</v>
      </c>
      <c r="S108" s="9" t="s">
        <v>63</v>
      </c>
      <c r="T108" s="9" t="s">
        <v>64</v>
      </c>
      <c r="U108" s="7" t="s">
        <v>75</v>
      </c>
      <c r="V108" s="7" t="s">
        <v>77</v>
      </c>
      <c r="W108" s="7" t="s">
        <v>94</v>
      </c>
      <c r="X108" s="7" t="s">
        <v>96</v>
      </c>
      <c r="Y108" s="7" t="s">
        <v>76</v>
      </c>
      <c r="Z108" s="7" t="s">
        <v>70</v>
      </c>
    </row>
    <row r="109" spans="1:26">
      <c r="A109" s="7">
        <v>107</v>
      </c>
      <c r="B109" s="7">
        <v>1</v>
      </c>
      <c r="C109" s="7">
        <v>1</v>
      </c>
      <c r="D109" s="7">
        <v>1</v>
      </c>
      <c r="E109" s="7">
        <v>1</v>
      </c>
      <c r="F109" s="7">
        <v>26</v>
      </c>
      <c r="G109" s="7">
        <v>18</v>
      </c>
      <c r="H109" s="7">
        <v>3</v>
      </c>
      <c r="I109" s="8" t="s">
        <v>59</v>
      </c>
      <c r="J109" s="8" t="s">
        <v>90</v>
      </c>
      <c r="K109" s="8" t="s">
        <v>58</v>
      </c>
      <c r="L109" s="8" t="s">
        <v>57</v>
      </c>
      <c r="M109" s="8" t="s">
        <v>61</v>
      </c>
      <c r="N109" s="8" t="s">
        <v>89</v>
      </c>
      <c r="O109" s="9" t="s">
        <v>91</v>
      </c>
      <c r="P109" s="9" t="s">
        <v>93</v>
      </c>
      <c r="Q109" s="9" t="s">
        <v>68</v>
      </c>
      <c r="R109" s="9" t="s">
        <v>92</v>
      </c>
      <c r="S109" s="9" t="s">
        <v>63</v>
      </c>
      <c r="T109" s="9" t="s">
        <v>64</v>
      </c>
      <c r="U109" s="7" t="s">
        <v>75</v>
      </c>
      <c r="V109" s="7" t="s">
        <v>77</v>
      </c>
      <c r="W109" s="7" t="s">
        <v>94</v>
      </c>
      <c r="X109" s="7" t="s">
        <v>96</v>
      </c>
      <c r="Y109" s="7" t="s">
        <v>76</v>
      </c>
      <c r="Z109" s="7" t="s">
        <v>70</v>
      </c>
    </row>
    <row r="110" spans="1:26">
      <c r="O110" s="9" t="s">
        <v>88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110"/>
  <sheetViews>
    <sheetView tabSelected="1" topLeftCell="N2" workbookViewId="0">
      <selection activeCell="AI36" sqref="AI36"/>
    </sheetView>
  </sheetViews>
  <sheetFormatPr baseColWidth="10" defaultColWidth="8.83203125" defaultRowHeight="15" x14ac:dyDescent="0"/>
  <cols>
    <col min="1" max="1" width="4.5" style="1" customWidth="1"/>
    <col min="2" max="2" width="4.1640625" style="1" customWidth="1"/>
    <col min="3" max="4" width="3.5" style="1" customWidth="1"/>
    <col min="5" max="5" width="4.1640625" style="1" bestFit="1" customWidth="1"/>
    <col min="6" max="6" width="6.5" style="1" customWidth="1"/>
    <col min="7" max="7" width="4.6640625" style="1" customWidth="1"/>
    <col min="8" max="9" width="4.1640625" style="1" customWidth="1"/>
    <col min="10" max="10" width="7.33203125" style="1" customWidth="1"/>
    <col min="20" max="20" width="13.83203125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6</v>
      </c>
      <c r="H1" s="1" t="s">
        <v>7</v>
      </c>
      <c r="I1" s="1" t="s">
        <v>100</v>
      </c>
      <c r="J1" s="1" t="s">
        <v>101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</row>
    <row r="2" spans="1:48">
      <c r="A2" s="1">
        <v>1</v>
      </c>
      <c r="B2" s="1">
        <v>1</v>
      </c>
      <c r="C2" s="1">
        <v>1</v>
      </c>
      <c r="D2" s="1">
        <v>1</v>
      </c>
      <c r="E2" s="1">
        <v>0</v>
      </c>
      <c r="F2" s="1">
        <v>14</v>
      </c>
      <c r="G2" s="1">
        <v>6</v>
      </c>
      <c r="H2" s="1">
        <v>3</v>
      </c>
      <c r="I2" s="1">
        <v>1</v>
      </c>
      <c r="J2" s="1">
        <v>5</v>
      </c>
      <c r="K2">
        <v>4.7817391304347812E-2</v>
      </c>
      <c r="L2">
        <v>6.1886956521739152E-2</v>
      </c>
      <c r="M2">
        <v>6.4023809523809525E-2</v>
      </c>
      <c r="N2">
        <v>4.6183333333333333E-2</v>
      </c>
      <c r="O2">
        <v>4.9554545454545448E-2</v>
      </c>
      <c r="P2">
        <v>5.7849999999999999E-2</v>
      </c>
      <c r="Q2">
        <v>5.1318181818181818E-2</v>
      </c>
      <c r="R2">
        <v>4.3829166666666641E-2</v>
      </c>
      <c r="S2">
        <f>AVERAGE(N2:Q2)</f>
        <v>5.1226515151515148E-2</v>
      </c>
      <c r="T2">
        <f>S2-R2</f>
        <v>7.3973484848485066E-3</v>
      </c>
      <c r="U2">
        <v>4.7870833333333342E-2</v>
      </c>
      <c r="V2">
        <v>6.2561904761904763E-2</v>
      </c>
      <c r="W2">
        <v>0.93656004489337807</v>
      </c>
      <c r="X2">
        <v>0.49035714285714277</v>
      </c>
      <c r="Y2">
        <v>0.36517724867724854</v>
      </c>
      <c r="Z2">
        <v>0.44904761904761897</v>
      </c>
      <c r="AA2">
        <v>0.64236592592592601</v>
      </c>
      <c r="AB2">
        <v>0.41968315972222225</v>
      </c>
      <c r="AC2">
        <v>0.2109244677748616</v>
      </c>
      <c r="AD2">
        <v>0.29291823899371061</v>
      </c>
      <c r="AE2">
        <v>0.25012301587301577</v>
      </c>
      <c r="AF2">
        <v>0.13614618406285078</v>
      </c>
      <c r="AG2">
        <v>0.26182887266828869</v>
      </c>
      <c r="AH2">
        <v>0.20018653690186533</v>
      </c>
      <c r="AI2">
        <v>0.197734522844012</v>
      </c>
      <c r="AJ2">
        <v>0.2121697530864198</v>
      </c>
      <c r="AK2">
        <v>0.43495230078563407</v>
      </c>
      <c r="AL2">
        <v>0.47906565656565653</v>
      </c>
      <c r="AM2">
        <v>0.29001851851851851</v>
      </c>
      <c r="AN2">
        <v>0.56973359324236506</v>
      </c>
      <c r="AO2">
        <v>0.64446097883597897</v>
      </c>
      <c r="AP2">
        <v>0.31311302681992331</v>
      </c>
      <c r="AQ2">
        <v>0.27203962101636497</v>
      </c>
      <c r="AR2">
        <v>0.29880000000000007</v>
      </c>
      <c r="AS2">
        <v>0.15186819172113281</v>
      </c>
      <c r="AT2">
        <v>0.3472029320987654</v>
      </c>
      <c r="AU2">
        <v>0.27076774691358019</v>
      </c>
      <c r="AV2">
        <v>0.33884645061728391</v>
      </c>
    </row>
    <row r="3" spans="1:48">
      <c r="A3" s="1">
        <v>2</v>
      </c>
      <c r="B3" s="1">
        <v>1</v>
      </c>
      <c r="C3" s="1">
        <v>1</v>
      </c>
      <c r="D3" s="1">
        <v>1</v>
      </c>
      <c r="E3" s="1">
        <v>0</v>
      </c>
      <c r="F3" s="1">
        <v>15</v>
      </c>
      <c r="G3" s="1">
        <v>6</v>
      </c>
      <c r="H3" s="1">
        <v>3</v>
      </c>
      <c r="I3" s="1">
        <v>1</v>
      </c>
      <c r="J3" s="1">
        <v>5</v>
      </c>
      <c r="K3">
        <v>3.7169565217391315E-2</v>
      </c>
      <c r="L3">
        <v>4.898695652173915E-2</v>
      </c>
      <c r="M3">
        <v>4.6128571428571435E-2</v>
      </c>
      <c r="N3">
        <v>4.0837500000000006E-2</v>
      </c>
      <c r="O3">
        <v>5.6272727272727273E-2</v>
      </c>
      <c r="P3">
        <v>4.7918181818181811E-2</v>
      </c>
      <c r="Q3">
        <v>4.4754545454545429E-2</v>
      </c>
      <c r="R3">
        <v>4.4214166666666686E-2</v>
      </c>
      <c r="S3">
        <f t="shared" ref="S3:S66" si="0">AVERAGE(N3:Q3)</f>
        <v>4.744573863636363E-2</v>
      </c>
      <c r="T3">
        <f t="shared" ref="T3:T66" si="1">S3-R3</f>
        <v>3.2315719696969433E-3</v>
      </c>
      <c r="U3">
        <v>4.039166666666668E-2</v>
      </c>
      <c r="V3">
        <v>6.1657142857142876E-2</v>
      </c>
      <c r="W3">
        <v>0.81433221099887765</v>
      </c>
      <c r="X3">
        <v>0.39071428571428563</v>
      </c>
      <c r="Y3">
        <v>0.40578306878306897</v>
      </c>
      <c r="Z3">
        <v>0.81952380952380921</v>
      </c>
      <c r="AA3">
        <v>0.63977185185185192</v>
      </c>
      <c r="AB3">
        <v>0.35733506944444438</v>
      </c>
      <c r="AC3">
        <v>0.22641586468358135</v>
      </c>
      <c r="AD3">
        <v>0.33089308176100624</v>
      </c>
      <c r="AE3">
        <v>0.26538888888888895</v>
      </c>
      <c r="AF3">
        <v>0.18820145903479238</v>
      </c>
      <c r="AG3">
        <v>0.34365774533657756</v>
      </c>
      <c r="AH3">
        <v>0.30781832927818342</v>
      </c>
      <c r="AI3">
        <v>0.29006758583400921</v>
      </c>
      <c r="AJ3">
        <v>0.26667283950617282</v>
      </c>
      <c r="AK3">
        <v>0.37384399551066222</v>
      </c>
      <c r="AL3">
        <v>0.52267676767676752</v>
      </c>
      <c r="AM3">
        <v>0.37676430976430969</v>
      </c>
      <c r="AN3">
        <v>0.58262508122157231</v>
      </c>
      <c r="AO3">
        <v>0.74874338624338654</v>
      </c>
      <c r="AP3">
        <v>0.41208812260536409</v>
      </c>
      <c r="AQ3">
        <v>0.28045133505598618</v>
      </c>
      <c r="AR3">
        <v>0.37840000000000007</v>
      </c>
      <c r="AS3">
        <v>0.20824618736383438</v>
      </c>
      <c r="AT3">
        <v>0.51732253086419766</v>
      </c>
      <c r="AU3">
        <v>0.37945216049382746</v>
      </c>
      <c r="AV3">
        <v>0.45185956790123477</v>
      </c>
    </row>
    <row r="4" spans="1:48">
      <c r="A4" s="1">
        <v>3</v>
      </c>
      <c r="B4" s="1">
        <v>1</v>
      </c>
      <c r="C4" s="1">
        <v>1</v>
      </c>
      <c r="D4" s="1">
        <v>1</v>
      </c>
      <c r="E4" s="1">
        <v>0</v>
      </c>
      <c r="F4" s="1">
        <v>13</v>
      </c>
      <c r="G4" s="1">
        <v>6</v>
      </c>
      <c r="H4" s="1">
        <v>3</v>
      </c>
      <c r="I4" s="1">
        <v>1</v>
      </c>
      <c r="J4" s="1">
        <v>5</v>
      </c>
      <c r="K4">
        <v>4.3152173913043483E-2</v>
      </c>
      <c r="L4">
        <v>4.885652173913041E-2</v>
      </c>
      <c r="M4">
        <v>4.8514285714285718E-2</v>
      </c>
      <c r="N4">
        <v>4.7295833333333336E-2</v>
      </c>
      <c r="O4">
        <v>4.7195454545454547E-2</v>
      </c>
      <c r="P4">
        <v>4.7618181818181823E-2</v>
      </c>
      <c r="Q4">
        <v>5.1722727272727281E-2</v>
      </c>
      <c r="R4">
        <v>4.527500000000001E-2</v>
      </c>
      <c r="S4">
        <f t="shared" si="0"/>
        <v>4.8458049242424243E-2</v>
      </c>
      <c r="T4">
        <f t="shared" si="1"/>
        <v>3.1830492424242338E-3</v>
      </c>
      <c r="U4">
        <v>4.0545833333333337E-2</v>
      </c>
      <c r="V4">
        <v>5.06761904761905E-2</v>
      </c>
      <c r="W4">
        <v>0.50664983164983146</v>
      </c>
      <c r="X4">
        <v>0.47678571428571431</v>
      </c>
      <c r="Y4">
        <v>0.66210317460317469</v>
      </c>
      <c r="Z4">
        <v>0.62857142857142867</v>
      </c>
      <c r="AA4">
        <v>0.53717777777777787</v>
      </c>
      <c r="AB4">
        <v>0.36295572916666669</v>
      </c>
      <c r="AC4">
        <v>0.23954505686789163</v>
      </c>
      <c r="AD4">
        <v>0.31301886792452821</v>
      </c>
      <c r="AE4">
        <v>0.29136904761904753</v>
      </c>
      <c r="AF4">
        <v>0.20237794612794607</v>
      </c>
      <c r="AG4">
        <v>0.33570559610705603</v>
      </c>
      <c r="AH4">
        <v>0.25705596107055956</v>
      </c>
      <c r="AI4">
        <v>0.17802108678021084</v>
      </c>
      <c r="AJ4">
        <v>0.12817592592592586</v>
      </c>
      <c r="AK4">
        <v>0.26819023569023576</v>
      </c>
      <c r="AL4">
        <v>0.43537878787878787</v>
      </c>
      <c r="AM4">
        <v>0.3880555555555556</v>
      </c>
      <c r="AN4">
        <v>0.49113060428849914</v>
      </c>
      <c r="AO4">
        <v>0.65838293650793656</v>
      </c>
      <c r="AP4">
        <v>0.34037356321839074</v>
      </c>
      <c r="AQ4">
        <v>0.19863049095607241</v>
      </c>
      <c r="AR4">
        <v>0.37100000000000011</v>
      </c>
      <c r="AS4">
        <v>0.15972222222222221</v>
      </c>
      <c r="AT4">
        <v>0.44160879629629612</v>
      </c>
      <c r="AU4">
        <v>0.38813657407407398</v>
      </c>
      <c r="AV4">
        <v>0.37841435185185179</v>
      </c>
    </row>
    <row r="5" spans="1:48">
      <c r="A5" s="1">
        <v>4</v>
      </c>
      <c r="B5" s="1">
        <v>1</v>
      </c>
      <c r="C5" s="1">
        <v>0</v>
      </c>
      <c r="D5" s="1">
        <v>0</v>
      </c>
      <c r="E5" s="1">
        <v>0</v>
      </c>
      <c r="F5" s="1">
        <v>1</v>
      </c>
      <c r="G5" s="1">
        <v>6</v>
      </c>
      <c r="H5" s="1">
        <v>1</v>
      </c>
      <c r="I5" s="1">
        <v>1</v>
      </c>
      <c r="J5" s="1">
        <v>1</v>
      </c>
      <c r="K5">
        <v>4.0717391304347809E-2</v>
      </c>
      <c r="L5">
        <v>4.9430434782608688E-2</v>
      </c>
      <c r="M5">
        <v>5.5333333333333332E-2</v>
      </c>
      <c r="N5">
        <v>4.7395833333333338E-2</v>
      </c>
      <c r="O5">
        <v>5.3531818181818173E-2</v>
      </c>
      <c r="P5">
        <v>5.3195454545454553E-2</v>
      </c>
      <c r="Q5">
        <v>4.8059090909090912E-2</v>
      </c>
      <c r="R5">
        <v>4.0779166666666665E-2</v>
      </c>
      <c r="S5">
        <f t="shared" si="0"/>
        <v>5.0545549242424243E-2</v>
      </c>
      <c r="T5">
        <f t="shared" si="1"/>
        <v>9.7663825757575776E-3</v>
      </c>
      <c r="U5">
        <v>3.8854166666666669E-2</v>
      </c>
      <c r="V5">
        <v>4.802380952380951E-2</v>
      </c>
      <c r="W5">
        <v>0.77169472502805869</v>
      </c>
      <c r="X5">
        <v>0.33142857142857124</v>
      </c>
      <c r="Y5">
        <v>0.55128042328042326</v>
      </c>
      <c r="Z5">
        <v>0.91761904761904822</v>
      </c>
      <c r="AA5">
        <v>0.69138370370370372</v>
      </c>
      <c r="AB5">
        <v>0.41388888888888875</v>
      </c>
      <c r="AC5">
        <v>0.22905220180810723</v>
      </c>
      <c r="AD5">
        <v>0.32306918238993709</v>
      </c>
      <c r="AE5">
        <v>0.21592063492063499</v>
      </c>
      <c r="AF5">
        <v>0.14458473625140286</v>
      </c>
      <c r="AG5">
        <v>0.19782643957826446</v>
      </c>
      <c r="AH5">
        <v>0.21359286293592863</v>
      </c>
      <c r="AI5">
        <v>0.15210597458772646</v>
      </c>
      <c r="AJ5">
        <v>0.21567901234567904</v>
      </c>
      <c r="AK5">
        <v>0.30890011223344566</v>
      </c>
      <c r="AL5">
        <v>0.56989898989898979</v>
      </c>
      <c r="AM5">
        <v>0.43116498316498325</v>
      </c>
      <c r="AN5">
        <v>0.68998700454840778</v>
      </c>
      <c r="AO5">
        <v>0.84034391534391539</v>
      </c>
      <c r="AP5">
        <v>0.31348659003831408</v>
      </c>
      <c r="AQ5">
        <v>0.20332127476313522</v>
      </c>
      <c r="AR5">
        <v>0.26659999999999984</v>
      </c>
      <c r="AS5">
        <v>0.19845315904139424</v>
      </c>
      <c r="AT5">
        <v>0.33881172839506168</v>
      </c>
      <c r="AU5">
        <v>0.19890432098765437</v>
      </c>
      <c r="AV5">
        <v>0.38830246913580263</v>
      </c>
    </row>
    <row r="6" spans="1:48">
      <c r="A6" s="1">
        <v>5</v>
      </c>
      <c r="B6" s="1">
        <v>1</v>
      </c>
      <c r="C6" s="1">
        <v>1</v>
      </c>
      <c r="D6" s="1">
        <v>0</v>
      </c>
      <c r="E6" s="1">
        <v>0</v>
      </c>
      <c r="F6" s="1">
        <v>8</v>
      </c>
      <c r="G6" s="1">
        <v>6</v>
      </c>
      <c r="H6" s="1">
        <v>2</v>
      </c>
      <c r="I6" s="1">
        <v>1</v>
      </c>
      <c r="J6" s="1">
        <v>3</v>
      </c>
      <c r="K6">
        <v>4.2713043478260874E-2</v>
      </c>
      <c r="L6">
        <v>4.670434782608697E-2</v>
      </c>
      <c r="M6">
        <v>4.478095238095238E-2</v>
      </c>
      <c r="N6">
        <v>4.189166666666666E-2</v>
      </c>
      <c r="O6">
        <v>5.0740909090909107E-2</v>
      </c>
      <c r="P6">
        <v>4.3050000000000012E-2</v>
      </c>
      <c r="Q6">
        <v>5.8231818181818176E-2</v>
      </c>
      <c r="R6">
        <v>4.4466666666666675E-2</v>
      </c>
      <c r="S6">
        <f t="shared" si="0"/>
        <v>4.8478598484848492E-2</v>
      </c>
      <c r="T6">
        <f t="shared" si="1"/>
        <v>4.0119318181818173E-3</v>
      </c>
      <c r="U6">
        <v>4.0904166666666665E-2</v>
      </c>
      <c r="V6">
        <v>5.4761904761904776E-2</v>
      </c>
      <c r="W6">
        <v>0.42037598204264853</v>
      </c>
      <c r="X6">
        <v>0.44035714285714295</v>
      </c>
      <c r="Y6">
        <v>0.54331481481481492</v>
      </c>
      <c r="Z6">
        <v>0.62380952380952404</v>
      </c>
      <c r="AA6">
        <v>0.63598962962962968</v>
      </c>
      <c r="AB6">
        <v>0.40466579861111113</v>
      </c>
      <c r="AC6">
        <v>0.25084281131525232</v>
      </c>
      <c r="AD6">
        <v>0.30293081761006285</v>
      </c>
      <c r="AE6">
        <v>0.30261507936507931</v>
      </c>
      <c r="AF6">
        <v>0.22315516273849609</v>
      </c>
      <c r="AG6">
        <v>0.25629764801297661</v>
      </c>
      <c r="AH6">
        <v>0.24531224655312256</v>
      </c>
      <c r="AI6">
        <v>0.21451203027845364</v>
      </c>
      <c r="AJ6">
        <v>8.0182098765432031E-2</v>
      </c>
      <c r="AK6">
        <v>0.2405190796857464</v>
      </c>
      <c r="AL6">
        <v>0.36805555555555558</v>
      </c>
      <c r="AM6">
        <v>0.29972895622895629</v>
      </c>
      <c r="AN6">
        <v>0.48884340480831706</v>
      </c>
      <c r="AO6">
        <v>0.67855489417989423</v>
      </c>
      <c r="AP6">
        <v>0.32453065134099618</v>
      </c>
      <c r="AQ6">
        <v>0.28429112833764003</v>
      </c>
      <c r="AR6">
        <v>0.33820000000000006</v>
      </c>
      <c r="AS6">
        <v>0.24110566448801732</v>
      </c>
      <c r="AT6">
        <v>0.40163966049382738</v>
      </c>
      <c r="AU6">
        <v>0.33779706790123454</v>
      </c>
      <c r="AV6">
        <v>0.35964891975308638</v>
      </c>
    </row>
    <row r="7" spans="1:48">
      <c r="A7" s="1">
        <v>6</v>
      </c>
      <c r="B7" s="1">
        <v>1</v>
      </c>
      <c r="C7" s="1">
        <v>0</v>
      </c>
      <c r="D7" s="1">
        <v>0</v>
      </c>
      <c r="E7" s="1">
        <v>0</v>
      </c>
      <c r="F7" s="1">
        <v>2</v>
      </c>
      <c r="G7" s="1">
        <v>6</v>
      </c>
      <c r="H7" s="1">
        <v>1</v>
      </c>
      <c r="I7" s="1">
        <v>1</v>
      </c>
      <c r="J7" s="1">
        <v>1</v>
      </c>
      <c r="K7">
        <v>3.8586956521739137E-2</v>
      </c>
      <c r="L7">
        <v>4.3356521739130446E-2</v>
      </c>
      <c r="M7">
        <v>5.0752380952380965E-2</v>
      </c>
      <c r="N7">
        <v>4.4124999999999991E-2</v>
      </c>
      <c r="O7">
        <v>4.6309090909090897E-2</v>
      </c>
      <c r="P7">
        <v>4.236363636363636E-2</v>
      </c>
      <c r="Q7">
        <v>4.6622727272727295E-2</v>
      </c>
      <c r="R7">
        <v>4.4037500000000007E-2</v>
      </c>
      <c r="S7">
        <f t="shared" si="0"/>
        <v>4.485511363636363E-2</v>
      </c>
      <c r="T7">
        <f t="shared" si="1"/>
        <v>8.1761363636362328E-4</v>
      </c>
      <c r="U7">
        <v>4.4491666666666686E-2</v>
      </c>
      <c r="V7">
        <v>5.1033333333333347E-2</v>
      </c>
      <c r="W7">
        <v>0.52542087542087534</v>
      </c>
      <c r="X7">
        <v>0.23357142857142868</v>
      </c>
      <c r="Y7">
        <v>0.61534920634920642</v>
      </c>
      <c r="Z7">
        <v>0.59714285714285709</v>
      </c>
      <c r="AA7">
        <v>0.58619555555555547</v>
      </c>
      <c r="AB7">
        <v>0.24778645833333335</v>
      </c>
      <c r="AC7">
        <v>0.202554680664917</v>
      </c>
      <c r="AD7">
        <v>0.24732075471698114</v>
      </c>
      <c r="AE7">
        <v>0.18716666666666665</v>
      </c>
      <c r="AF7">
        <v>0.14490740740740746</v>
      </c>
      <c r="AG7">
        <v>0.23812652068126522</v>
      </c>
      <c r="AH7">
        <v>0.2565936739659368</v>
      </c>
      <c r="AI7">
        <v>0.27399837793998377</v>
      </c>
      <c r="AJ7">
        <v>0.16168518518518518</v>
      </c>
      <c r="AK7">
        <v>0.19031986531986539</v>
      </c>
      <c r="AL7">
        <v>0.5271212121212121</v>
      </c>
      <c r="AM7">
        <v>0.37738383838383832</v>
      </c>
      <c r="AN7">
        <v>0.50612085769980508</v>
      </c>
      <c r="AO7">
        <v>0.65962301587301597</v>
      </c>
      <c r="AP7">
        <v>0.23298850574712643</v>
      </c>
      <c r="AQ7">
        <v>0.21363307493540037</v>
      </c>
      <c r="AR7">
        <v>0.27879999999999994</v>
      </c>
      <c r="AS7">
        <v>0.1670915032679739</v>
      </c>
      <c r="AT7">
        <v>0.35821759259259262</v>
      </c>
      <c r="AU7">
        <v>0.30377314814814815</v>
      </c>
      <c r="AV7">
        <v>0.44141203703703691</v>
      </c>
    </row>
    <row r="8" spans="1:48">
      <c r="A8" s="1">
        <v>7</v>
      </c>
      <c r="B8" s="1">
        <v>1</v>
      </c>
      <c r="C8" s="1">
        <v>1</v>
      </c>
      <c r="D8" s="1">
        <v>1</v>
      </c>
      <c r="E8" s="1">
        <v>0</v>
      </c>
      <c r="F8" s="1">
        <v>24</v>
      </c>
      <c r="G8" s="1">
        <v>18</v>
      </c>
      <c r="H8" s="1">
        <v>3</v>
      </c>
      <c r="I8" s="1">
        <v>1</v>
      </c>
      <c r="J8" s="1">
        <v>6</v>
      </c>
      <c r="K8">
        <v>4.1208695652173909E-2</v>
      </c>
      <c r="L8">
        <v>4.8121739130434792E-2</v>
      </c>
      <c r="M8">
        <v>4.5547619047619052E-2</v>
      </c>
      <c r="N8">
        <v>4.6237500000000008E-2</v>
      </c>
      <c r="O8">
        <v>4.1831818181818164E-2</v>
      </c>
      <c r="P8">
        <v>4.4900000000000002E-2</v>
      </c>
      <c r="Q8">
        <v>4.2422727272727292E-2</v>
      </c>
      <c r="R8">
        <v>3.783333333333333E-2</v>
      </c>
      <c r="S8">
        <f t="shared" si="0"/>
        <v>4.3848011363636363E-2</v>
      </c>
      <c r="T8">
        <f t="shared" si="1"/>
        <v>6.0146780303030334E-3</v>
      </c>
      <c r="U8">
        <v>4.0324999999999979E-2</v>
      </c>
      <c r="V8">
        <v>4.4723809523809506E-2</v>
      </c>
      <c r="W8">
        <v>0.5613748597081929</v>
      </c>
      <c r="X8">
        <v>0.62107142857142861</v>
      </c>
      <c r="Y8">
        <v>0.7516693121693121</v>
      </c>
      <c r="Z8">
        <v>0.7219047619047616</v>
      </c>
      <c r="AA8">
        <v>0.56120148148148141</v>
      </c>
      <c r="AB8">
        <v>0.33465711805555559</v>
      </c>
      <c r="AC8">
        <v>0.28103820355788861</v>
      </c>
      <c r="AD8">
        <v>0.28680503144654079</v>
      </c>
      <c r="AE8">
        <v>0.25600396825396821</v>
      </c>
      <c r="AF8">
        <v>0.16135662177328866</v>
      </c>
      <c r="AG8">
        <v>0.23674371451743717</v>
      </c>
      <c r="AH8">
        <v>0.21313057583130585</v>
      </c>
      <c r="AI8">
        <v>0.18968910516355775</v>
      </c>
      <c r="AJ8">
        <v>0.18018827160493825</v>
      </c>
      <c r="AK8">
        <v>0.35648428731762072</v>
      </c>
      <c r="AL8">
        <v>0.67164141414141409</v>
      </c>
      <c r="AM8">
        <v>0.37958417508417502</v>
      </c>
      <c r="AN8">
        <v>0.56111760883690709</v>
      </c>
      <c r="AO8">
        <v>0.69783399470899465</v>
      </c>
      <c r="AP8">
        <v>0.40523946360153251</v>
      </c>
      <c r="AQ8">
        <v>0.28902153316106804</v>
      </c>
      <c r="AR8">
        <v>0.37340000000000001</v>
      </c>
      <c r="AS8">
        <v>0.1793518518518519</v>
      </c>
      <c r="AT8">
        <v>0.37625385802469141</v>
      </c>
      <c r="AU8">
        <v>0.21766589506172829</v>
      </c>
      <c r="AV8">
        <v>0.34609182098765423</v>
      </c>
    </row>
    <row r="9" spans="1:48">
      <c r="A9" s="1">
        <v>8</v>
      </c>
      <c r="B9" s="1">
        <v>1</v>
      </c>
      <c r="C9" s="1">
        <v>1</v>
      </c>
      <c r="D9" s="1">
        <v>1</v>
      </c>
      <c r="E9" s="1">
        <v>0</v>
      </c>
      <c r="F9" s="1">
        <v>26</v>
      </c>
      <c r="G9" s="1">
        <v>18</v>
      </c>
      <c r="H9" s="1">
        <v>3</v>
      </c>
      <c r="I9" s="1">
        <v>1</v>
      </c>
      <c r="J9" s="1">
        <v>6</v>
      </c>
      <c r="K9">
        <v>3.6499999999999984E-2</v>
      </c>
      <c r="L9">
        <v>5.104782608695653E-2</v>
      </c>
      <c r="M9">
        <v>4.5919047619047623E-2</v>
      </c>
      <c r="N9">
        <v>4.6837500000000011E-2</v>
      </c>
      <c r="O9">
        <v>5.0009090909090934E-2</v>
      </c>
      <c r="P9">
        <v>4.7250000000000014E-2</v>
      </c>
      <c r="Q9">
        <v>4.8663636363636374E-2</v>
      </c>
      <c r="R9">
        <v>3.607083333333333E-2</v>
      </c>
      <c r="S9">
        <f t="shared" si="0"/>
        <v>4.8190056818181837E-2</v>
      </c>
      <c r="T9">
        <f t="shared" si="1"/>
        <v>1.2119223484848507E-2</v>
      </c>
      <c r="U9">
        <v>3.6879166666666685E-2</v>
      </c>
      <c r="V9">
        <v>5.0585714285714269E-2</v>
      </c>
      <c r="W9">
        <v>0.61005611672278348</v>
      </c>
      <c r="X9">
        <v>0.41857142857142854</v>
      </c>
      <c r="Y9">
        <v>0.59513227513227529</v>
      </c>
      <c r="Z9">
        <v>0.76523809523809516</v>
      </c>
      <c r="AA9">
        <v>0.71620740740740763</v>
      </c>
      <c r="AB9">
        <v>0.40746527777777791</v>
      </c>
      <c r="AC9">
        <v>0.26582093904928555</v>
      </c>
      <c r="AD9">
        <v>0.38591194968553461</v>
      </c>
      <c r="AE9">
        <v>0.29484126984126979</v>
      </c>
      <c r="AF9">
        <v>0.19901795735129069</v>
      </c>
      <c r="AG9">
        <v>0.34703974047039748</v>
      </c>
      <c r="AH9">
        <v>0.27185725871857269</v>
      </c>
      <c r="AI9">
        <v>0.20829954041632867</v>
      </c>
      <c r="AJ9">
        <v>0.19369135802469159</v>
      </c>
      <c r="AK9">
        <v>0.35264870931537601</v>
      </c>
      <c r="AL9">
        <v>0.47434343434343429</v>
      </c>
      <c r="AM9">
        <v>0.34723905723905729</v>
      </c>
      <c r="AN9">
        <v>0.58365821962313191</v>
      </c>
      <c r="AO9">
        <v>0.78783068783068821</v>
      </c>
      <c r="AP9">
        <v>0.34559386973180073</v>
      </c>
      <c r="AQ9">
        <v>0.33092161929371228</v>
      </c>
      <c r="AR9">
        <v>0.40099999999999991</v>
      </c>
      <c r="AS9">
        <v>0.19847494553376918</v>
      </c>
      <c r="AT9">
        <v>0.63074845679012359</v>
      </c>
      <c r="AU9">
        <v>0.32530864197530873</v>
      </c>
      <c r="AV9">
        <v>0.41431327160493842</v>
      </c>
    </row>
    <row r="10" spans="1:48">
      <c r="A10" s="1">
        <v>9</v>
      </c>
      <c r="B10" s="1">
        <v>1</v>
      </c>
      <c r="C10" s="1">
        <v>1</v>
      </c>
      <c r="D10" s="1">
        <v>1</v>
      </c>
      <c r="E10" s="1">
        <v>0</v>
      </c>
      <c r="F10" s="1">
        <v>21</v>
      </c>
      <c r="G10" s="1">
        <v>18</v>
      </c>
      <c r="H10" s="1">
        <v>3</v>
      </c>
      <c r="I10" s="1">
        <v>1</v>
      </c>
      <c r="J10" s="1">
        <v>6</v>
      </c>
      <c r="K10">
        <v>3.8247826086956531E-2</v>
      </c>
      <c r="L10">
        <v>5.2517391304347842E-2</v>
      </c>
      <c r="M10">
        <v>4.9357142857142842E-2</v>
      </c>
      <c r="N10">
        <v>5.2733333333333333E-2</v>
      </c>
      <c r="O10">
        <v>4.9686363636363647E-2</v>
      </c>
      <c r="P10">
        <v>4.7913636363636367E-2</v>
      </c>
      <c r="Q10">
        <v>4.1595454545454554E-2</v>
      </c>
      <c r="R10">
        <v>4.3408333333333347E-2</v>
      </c>
      <c r="S10">
        <f t="shared" si="0"/>
        <v>4.7982196969696973E-2</v>
      </c>
      <c r="T10">
        <f t="shared" si="1"/>
        <v>4.5738636363636259E-3</v>
      </c>
      <c r="U10">
        <v>3.9816666666666667E-2</v>
      </c>
      <c r="V10">
        <v>4.6814285714285732E-2</v>
      </c>
      <c r="W10">
        <v>0.92419191919191945</v>
      </c>
      <c r="X10">
        <v>0.63321428571428573</v>
      </c>
      <c r="Y10">
        <v>0.73859523809523797</v>
      </c>
      <c r="Z10">
        <v>0.88142857142857145</v>
      </c>
      <c r="AA10">
        <v>0.75921333333333318</v>
      </c>
      <c r="AB10">
        <v>0.4794921875</v>
      </c>
      <c r="AC10">
        <v>0.36398950131233609</v>
      </c>
      <c r="AD10">
        <v>0.49332075471698128</v>
      </c>
      <c r="AE10">
        <v>0.35010714285714278</v>
      </c>
      <c r="AF10">
        <v>0.18667929292929286</v>
      </c>
      <c r="AG10">
        <v>0.32229927007299281</v>
      </c>
      <c r="AH10">
        <v>0.26927007299270084</v>
      </c>
      <c r="AI10">
        <v>0.20647201946472035</v>
      </c>
      <c r="AJ10">
        <v>0.17219444444444462</v>
      </c>
      <c r="AK10">
        <v>0.32608585858585853</v>
      </c>
      <c r="AL10">
        <v>0.65795454545454546</v>
      </c>
      <c r="AM10">
        <v>0.39943939393939376</v>
      </c>
      <c r="AN10">
        <v>0.70532163742690035</v>
      </c>
      <c r="AO10">
        <v>0.86264880952380962</v>
      </c>
      <c r="AP10">
        <v>0.43853448275862078</v>
      </c>
      <c r="AQ10">
        <v>0.33375193798449604</v>
      </c>
      <c r="AR10">
        <v>0.4836000000000002</v>
      </c>
      <c r="AS10">
        <v>0.23034313725490188</v>
      </c>
      <c r="AT10">
        <v>0.53420138888888902</v>
      </c>
      <c r="AU10">
        <v>0.28503472222222226</v>
      </c>
      <c r="AV10">
        <v>0.417951388888889</v>
      </c>
    </row>
    <row r="11" spans="1:48">
      <c r="A11" s="1">
        <v>10</v>
      </c>
      <c r="B11" s="1">
        <v>1</v>
      </c>
      <c r="C11" s="1">
        <v>1</v>
      </c>
      <c r="D11" s="1">
        <v>1</v>
      </c>
      <c r="E11" s="1">
        <v>0</v>
      </c>
      <c r="F11" s="1">
        <v>25</v>
      </c>
      <c r="G11" s="1">
        <v>18</v>
      </c>
      <c r="H11" s="1">
        <v>3</v>
      </c>
      <c r="I11" s="1">
        <v>1</v>
      </c>
      <c r="J11" s="1">
        <v>6</v>
      </c>
      <c r="K11">
        <v>4.7978260869565213E-2</v>
      </c>
      <c r="L11">
        <v>5.5952173913043482E-2</v>
      </c>
      <c r="M11">
        <v>5.9657142857142839E-2</v>
      </c>
      <c r="N11">
        <v>6.2195833333333318E-2</v>
      </c>
      <c r="O11">
        <v>6.0104545454545445E-2</v>
      </c>
      <c r="P11">
        <v>5.3672727272727275E-2</v>
      </c>
      <c r="Q11">
        <v>5.0413636363636376E-2</v>
      </c>
      <c r="R11">
        <v>4.1266666666666653E-2</v>
      </c>
      <c r="S11">
        <f t="shared" si="0"/>
        <v>5.6596685606060605E-2</v>
      </c>
      <c r="T11">
        <f t="shared" si="1"/>
        <v>1.5330018939393952E-2</v>
      </c>
      <c r="U11">
        <v>4.1899999999999993E-2</v>
      </c>
      <c r="V11">
        <v>5.8776190476190482E-2</v>
      </c>
      <c r="W11">
        <v>1.025600448933782</v>
      </c>
      <c r="X11">
        <v>0.67500000000000004</v>
      </c>
      <c r="Y11">
        <v>1.1149153439153439</v>
      </c>
      <c r="Z11">
        <v>1.0976190476190477</v>
      </c>
      <c r="AA11">
        <v>0.94461925925925949</v>
      </c>
      <c r="AB11">
        <v>0.66636284722222217</v>
      </c>
      <c r="AC11">
        <v>0.54719743365412654</v>
      </c>
      <c r="AD11">
        <v>0.57733333333333337</v>
      </c>
      <c r="AE11">
        <v>0.39965873015873016</v>
      </c>
      <c r="AF11">
        <v>0.32434062850729523</v>
      </c>
      <c r="AG11">
        <v>0.36836171938361706</v>
      </c>
      <c r="AH11">
        <v>0.32653690186536904</v>
      </c>
      <c r="AI11">
        <v>0.26960800216274672</v>
      </c>
      <c r="AJ11">
        <v>0.18269753086419732</v>
      </c>
      <c r="AK11">
        <v>0.4595230078563412</v>
      </c>
      <c r="AL11">
        <v>0.8552020202020203</v>
      </c>
      <c r="AM11">
        <v>0.64982154882154863</v>
      </c>
      <c r="AN11">
        <v>0.91031838856400271</v>
      </c>
      <c r="AO11">
        <v>1.1508597883597886</v>
      </c>
      <c r="AP11">
        <v>0.50992337164750956</v>
      </c>
      <c r="AQ11">
        <v>0.49193109388458212</v>
      </c>
      <c r="AR11">
        <v>0.50319999999999998</v>
      </c>
      <c r="AS11">
        <v>0.28181917211328983</v>
      </c>
      <c r="AT11">
        <v>0.58869598765432118</v>
      </c>
      <c r="AU11">
        <v>0.35517746913580256</v>
      </c>
      <c r="AV11">
        <v>0.51221450617283948</v>
      </c>
    </row>
    <row r="12" spans="1:48">
      <c r="A12" s="1">
        <v>11</v>
      </c>
      <c r="B12" s="1">
        <v>1</v>
      </c>
      <c r="C12" s="1">
        <v>1</v>
      </c>
      <c r="D12" s="1">
        <v>1</v>
      </c>
      <c r="E12" s="1">
        <v>0</v>
      </c>
      <c r="F12" s="1">
        <v>20</v>
      </c>
      <c r="G12" s="1">
        <v>18</v>
      </c>
      <c r="H12" s="1">
        <v>3</v>
      </c>
      <c r="I12" s="1">
        <v>1</v>
      </c>
      <c r="J12" s="1">
        <v>6</v>
      </c>
      <c r="K12">
        <v>3.8326086956521739E-2</v>
      </c>
      <c r="L12">
        <v>5.3800000000000001E-2</v>
      </c>
      <c r="M12">
        <v>4.9371428571428545E-2</v>
      </c>
      <c r="N12">
        <v>4.836250000000001E-2</v>
      </c>
      <c r="O12">
        <v>5.2999999999999999E-2</v>
      </c>
      <c r="P12">
        <v>4.5350000000000001E-2</v>
      </c>
      <c r="Q12">
        <v>5.1881818181818161E-2</v>
      </c>
      <c r="R12">
        <v>5.0858333333333339E-2</v>
      </c>
      <c r="S12">
        <f t="shared" si="0"/>
        <v>4.9648579545454548E-2</v>
      </c>
      <c r="T12">
        <f t="shared" si="1"/>
        <v>-1.2097537878787909E-3</v>
      </c>
      <c r="U12">
        <v>4.006249999999998E-2</v>
      </c>
      <c r="V12">
        <v>5.9028571428571396E-2</v>
      </c>
      <c r="W12">
        <v>0.86519079685746381</v>
      </c>
      <c r="X12">
        <v>0.54535714285714298</v>
      </c>
      <c r="Y12">
        <v>0.81266402116402126</v>
      </c>
      <c r="Z12">
        <v>0.8995238095238095</v>
      </c>
      <c r="AA12">
        <v>0.77722518518518513</v>
      </c>
      <c r="AB12">
        <v>0.4118272569444445</v>
      </c>
      <c r="AC12">
        <v>0.31150772820064165</v>
      </c>
      <c r="AD12">
        <v>0.44851572327044031</v>
      </c>
      <c r="AE12">
        <v>0.26849603174603182</v>
      </c>
      <c r="AF12">
        <v>0.13775953984287323</v>
      </c>
      <c r="AG12">
        <v>0.28230738037307396</v>
      </c>
      <c r="AH12">
        <v>0.24146796431467971</v>
      </c>
      <c r="AI12">
        <v>0.17945931332792639</v>
      </c>
      <c r="AJ12">
        <v>0.23120061728395064</v>
      </c>
      <c r="AK12">
        <v>0.38750561167227832</v>
      </c>
      <c r="AL12">
        <v>0.7497222222222224</v>
      </c>
      <c r="AM12">
        <v>0.42656734006734015</v>
      </c>
      <c r="AN12">
        <v>0.73285899935022736</v>
      </c>
      <c r="AO12">
        <v>0.87478505291005304</v>
      </c>
      <c r="AP12">
        <v>0.35458812260536393</v>
      </c>
      <c r="AQ12">
        <v>0.30499397071490097</v>
      </c>
      <c r="AR12">
        <v>0.37279999999999996</v>
      </c>
      <c r="AS12">
        <v>0.12545206971677564</v>
      </c>
      <c r="AT12">
        <v>0.39423225308641974</v>
      </c>
      <c r="AU12">
        <v>0.26802854938271614</v>
      </c>
      <c r="AV12">
        <v>0.44710262345679008</v>
      </c>
    </row>
    <row r="13" spans="1:48">
      <c r="A13" s="1">
        <v>12</v>
      </c>
      <c r="B13" s="1">
        <v>1</v>
      </c>
      <c r="C13" s="1">
        <v>1</v>
      </c>
      <c r="D13" s="1">
        <v>1</v>
      </c>
      <c r="E13" s="1">
        <v>1</v>
      </c>
      <c r="F13" s="1">
        <v>18</v>
      </c>
      <c r="G13" s="1">
        <v>6</v>
      </c>
      <c r="H13" s="1">
        <v>3</v>
      </c>
      <c r="I13" s="1">
        <v>1</v>
      </c>
      <c r="J13" s="1">
        <v>5</v>
      </c>
      <c r="K13">
        <v>3.8165217391304351E-2</v>
      </c>
      <c r="L13">
        <v>4.6730434782608687E-2</v>
      </c>
      <c r="M13">
        <v>5.3828571428571462E-2</v>
      </c>
      <c r="N13">
        <v>4.1429166666666663E-2</v>
      </c>
      <c r="O13">
        <v>4.1977272727272717E-2</v>
      </c>
      <c r="P13">
        <v>3.8800000000000008E-2</v>
      </c>
      <c r="Q13">
        <v>3.8359090909090891E-2</v>
      </c>
      <c r="R13">
        <v>2.9249999999999998E-2</v>
      </c>
      <c r="S13">
        <f t="shared" si="0"/>
        <v>4.014138257575757E-2</v>
      </c>
      <c r="T13">
        <f t="shared" si="1"/>
        <v>1.0891382575757572E-2</v>
      </c>
      <c r="U13">
        <v>2.3862499999999971E-2</v>
      </c>
      <c r="V13">
        <v>3.8580952380952382E-2</v>
      </c>
      <c r="W13">
        <v>0.87569023569023619</v>
      </c>
      <c r="X13">
        <v>0.46714285714285736</v>
      </c>
      <c r="Y13">
        <v>0.78326984126984145</v>
      </c>
      <c r="Z13">
        <v>0.65285714285714291</v>
      </c>
      <c r="AA13">
        <v>-5.6725333333333336E-2</v>
      </c>
      <c r="AB13">
        <v>0.14423611111111112</v>
      </c>
      <c r="AC13">
        <v>0.12699912510936132</v>
      </c>
      <c r="AD13">
        <v>0.15719916142557655</v>
      </c>
      <c r="AE13">
        <v>0.10161904761904762</v>
      </c>
      <c r="AF13">
        <v>0.10358585858585859</v>
      </c>
      <c r="AG13">
        <v>0.12269261962692622</v>
      </c>
      <c r="AH13">
        <v>0.12666666666666673</v>
      </c>
      <c r="AI13">
        <v>0.17870235198702353</v>
      </c>
      <c r="AJ13">
        <v>0.16670370370370408</v>
      </c>
      <c r="AK13">
        <v>0.37367003367003365</v>
      </c>
      <c r="AL13">
        <v>0.73606060606060597</v>
      </c>
      <c r="AM13">
        <v>0.39240404040404042</v>
      </c>
      <c r="AN13">
        <v>0.21939571150097459</v>
      </c>
      <c r="AO13">
        <v>0.32272222222222224</v>
      </c>
      <c r="AP13">
        <v>0.11733716475095782</v>
      </c>
      <c r="AQ13">
        <v>0.16487855297157628</v>
      </c>
      <c r="AR13">
        <v>0.17635555555555552</v>
      </c>
      <c r="AS13">
        <v>0.10562091503267979</v>
      </c>
      <c r="AT13">
        <v>0.24037037037037043</v>
      </c>
      <c r="AU13">
        <v>0.10951388888888895</v>
      </c>
      <c r="AV13">
        <v>0.27884259259259248</v>
      </c>
    </row>
    <row r="14" spans="1:48">
      <c r="A14" s="1">
        <v>13</v>
      </c>
      <c r="B14" s="1">
        <v>1</v>
      </c>
      <c r="C14" s="1">
        <v>1</v>
      </c>
      <c r="D14" s="1">
        <v>1</v>
      </c>
      <c r="E14" s="1">
        <v>1</v>
      </c>
      <c r="F14" s="1">
        <v>25</v>
      </c>
      <c r="G14" s="1">
        <v>18</v>
      </c>
      <c r="H14" s="1">
        <v>3</v>
      </c>
      <c r="I14" s="1">
        <v>1</v>
      </c>
      <c r="J14" s="1">
        <v>6</v>
      </c>
      <c r="K14">
        <v>4.1017391304347825E-2</v>
      </c>
      <c r="L14">
        <v>4.9982608695652173E-2</v>
      </c>
      <c r="M14">
        <v>4.9947619047619032E-2</v>
      </c>
      <c r="N14">
        <v>4.5729166666666633E-2</v>
      </c>
      <c r="O14">
        <v>4.3872727272727265E-2</v>
      </c>
      <c r="P14">
        <v>3.9840909090909073E-2</v>
      </c>
      <c r="Q14">
        <v>4.2586363636363637E-2</v>
      </c>
      <c r="R14">
        <v>3.6012499999999982E-2</v>
      </c>
      <c r="S14">
        <f t="shared" si="0"/>
        <v>4.3007291666666655E-2</v>
      </c>
      <c r="T14">
        <f t="shared" si="1"/>
        <v>6.9947916666666735E-3</v>
      </c>
      <c r="U14">
        <v>3.1312499999999986E-2</v>
      </c>
      <c r="V14">
        <v>4.3038095238095216E-2</v>
      </c>
      <c r="W14">
        <v>0.80800785634118943</v>
      </c>
      <c r="X14">
        <v>0.42464285714285704</v>
      </c>
      <c r="Y14">
        <v>0.65387566137566133</v>
      </c>
      <c r="Z14">
        <v>0.62904761904761897</v>
      </c>
      <c r="AA14">
        <v>5.4488888888888452E-3</v>
      </c>
      <c r="AB14">
        <v>0.1728443287037037</v>
      </c>
      <c r="AC14">
        <v>0.22917031204432783</v>
      </c>
      <c r="AD14">
        <v>0.27167016072676442</v>
      </c>
      <c r="AE14">
        <v>0.16646825396825404</v>
      </c>
      <c r="AF14">
        <v>0.12678872053872059</v>
      </c>
      <c r="AG14">
        <v>0.22089753987564215</v>
      </c>
      <c r="AH14">
        <v>0.22575020275750199</v>
      </c>
      <c r="AI14">
        <v>0.17919032170856991</v>
      </c>
      <c r="AJ14">
        <v>0.17820679012345658</v>
      </c>
      <c r="AK14">
        <v>0.29528900112233453</v>
      </c>
      <c r="AL14">
        <v>0.53694444444444434</v>
      </c>
      <c r="AM14">
        <v>0.33824074074074079</v>
      </c>
      <c r="AN14">
        <v>0.30595354126055874</v>
      </c>
      <c r="AO14">
        <v>0.34583002645502642</v>
      </c>
      <c r="AP14">
        <v>0.18447876756066411</v>
      </c>
      <c r="AQ14">
        <v>0.2555641688199829</v>
      </c>
      <c r="AR14">
        <v>0.2433518518518519</v>
      </c>
      <c r="AS14">
        <v>0.14847494553376911</v>
      </c>
      <c r="AT14">
        <v>0.31095679012345695</v>
      </c>
      <c r="AU14">
        <v>0.27068865740740738</v>
      </c>
      <c r="AV14">
        <v>0.36497878086419744</v>
      </c>
    </row>
    <row r="15" spans="1:48">
      <c r="A15" s="1">
        <v>14</v>
      </c>
      <c r="B15" s="1">
        <v>1</v>
      </c>
      <c r="C15" s="1">
        <v>1</v>
      </c>
      <c r="D15" s="1">
        <v>1</v>
      </c>
      <c r="E15" s="1">
        <v>1</v>
      </c>
      <c r="F15" s="1">
        <v>14</v>
      </c>
      <c r="G15" s="1">
        <v>6</v>
      </c>
      <c r="H15" s="1">
        <v>3</v>
      </c>
      <c r="I15" s="1">
        <v>1</v>
      </c>
      <c r="J15" s="1">
        <v>5</v>
      </c>
      <c r="K15">
        <v>3.7227999999999997E-2</v>
      </c>
      <c r="L15">
        <v>4.3213043478260868E-2</v>
      </c>
      <c r="M15">
        <v>4.3923809523809552E-2</v>
      </c>
      <c r="N15">
        <v>4.116666666666665E-2</v>
      </c>
      <c r="O15">
        <v>3.963636363636365E-2</v>
      </c>
      <c r="P15">
        <v>3.637727272727273E-2</v>
      </c>
      <c r="Q15">
        <v>4.4086363636363653E-2</v>
      </c>
      <c r="R15">
        <v>3.9049999999999994E-2</v>
      </c>
      <c r="S15">
        <f t="shared" si="0"/>
        <v>4.0316666666666667E-2</v>
      </c>
      <c r="T15">
        <f t="shared" si="1"/>
        <v>1.2666666666666729E-3</v>
      </c>
      <c r="U15">
        <v>3.5275000000000001E-2</v>
      </c>
      <c r="V15">
        <v>4.8690476190476187E-2</v>
      </c>
      <c r="W15">
        <v>0.81850729517396204</v>
      </c>
      <c r="X15">
        <v>0.25642857142857156</v>
      </c>
      <c r="Y15">
        <v>0.46733862433862444</v>
      </c>
      <c r="Z15">
        <v>0.62666666666666659</v>
      </c>
      <c r="AA15">
        <v>0.20202311111111115</v>
      </c>
      <c r="AB15">
        <v>0.20848379629629626</v>
      </c>
      <c r="AC15">
        <v>0.19197142023913674</v>
      </c>
      <c r="AD15">
        <v>0.27142417889587706</v>
      </c>
      <c r="AE15">
        <v>0.22274603174603172</v>
      </c>
      <c r="AF15">
        <v>0.13105218855218853</v>
      </c>
      <c r="AG15">
        <v>0.25413895647472284</v>
      </c>
      <c r="AH15">
        <v>0.16789943227899429</v>
      </c>
      <c r="AI15">
        <v>0.18624763449580967</v>
      </c>
      <c r="AJ15">
        <v>0.26470987654321015</v>
      </c>
      <c r="AK15">
        <v>0.25690796857463521</v>
      </c>
      <c r="AL15">
        <v>0.48691919191919192</v>
      </c>
      <c r="AM15">
        <v>0.28953198653198658</v>
      </c>
      <c r="AN15">
        <v>0.3846166341780376</v>
      </c>
      <c r="AO15">
        <v>0.32608068783068789</v>
      </c>
      <c r="AP15">
        <v>0.16368933588761175</v>
      </c>
      <c r="AQ15">
        <v>0.19648234280792432</v>
      </c>
      <c r="AR15">
        <v>0.27834814814814807</v>
      </c>
      <c r="AS15">
        <v>0.12662309368191726</v>
      </c>
      <c r="AT15">
        <v>0.36279320987654334</v>
      </c>
      <c r="AU15">
        <v>0.24853009259259262</v>
      </c>
      <c r="AV15">
        <v>0.31986496913580253</v>
      </c>
    </row>
    <row r="16" spans="1:48">
      <c r="A16" s="1">
        <v>15</v>
      </c>
      <c r="B16" s="1">
        <v>1</v>
      </c>
      <c r="C16" s="1">
        <v>1</v>
      </c>
      <c r="D16" s="1">
        <v>1</v>
      </c>
      <c r="E16" s="1">
        <v>0</v>
      </c>
      <c r="F16" s="1">
        <v>18</v>
      </c>
      <c r="G16" s="1">
        <v>6</v>
      </c>
      <c r="H16" s="1">
        <v>3</v>
      </c>
      <c r="I16" s="1">
        <v>1</v>
      </c>
      <c r="J16" s="1">
        <v>5</v>
      </c>
      <c r="K16">
        <v>3.5660869565217385E-2</v>
      </c>
      <c r="L16">
        <v>4.6456521739130445E-2</v>
      </c>
      <c r="M16">
        <v>5.0804761904761922E-2</v>
      </c>
      <c r="N16">
        <v>3.9083333333333338E-2</v>
      </c>
      <c r="O16">
        <v>4.6727272727272749E-2</v>
      </c>
      <c r="P16">
        <v>4.4177272727272718E-2</v>
      </c>
      <c r="Q16">
        <v>4.5359090909090911E-2</v>
      </c>
      <c r="R16">
        <v>3.9183333333333327E-2</v>
      </c>
      <c r="S16">
        <f t="shared" si="0"/>
        <v>4.3836742424242431E-2</v>
      </c>
      <c r="T16">
        <f t="shared" si="1"/>
        <v>4.6534090909091039E-3</v>
      </c>
      <c r="U16">
        <v>3.0300000000000011E-2</v>
      </c>
      <c r="V16">
        <v>4.5147619047619034E-2</v>
      </c>
      <c r="W16">
        <v>0.84537037037036999</v>
      </c>
      <c r="X16">
        <v>0.46392857142857152</v>
      </c>
      <c r="Y16">
        <v>0.58223015873015882</v>
      </c>
      <c r="Z16">
        <v>0.75285714285714278</v>
      </c>
      <c r="AA16">
        <v>0.60604888888888897</v>
      </c>
      <c r="AB16">
        <v>0.30071614583333334</v>
      </c>
      <c r="AC16">
        <v>0.20339457567804034</v>
      </c>
      <c r="AD16">
        <v>0.30607547169811328</v>
      </c>
      <c r="AE16">
        <v>0.24027380952380956</v>
      </c>
      <c r="AF16">
        <v>0.14598063973063974</v>
      </c>
      <c r="AG16">
        <v>0.2621776155717761</v>
      </c>
      <c r="AH16">
        <v>0.23768856447688572</v>
      </c>
      <c r="AI16">
        <v>0.21375506893755084</v>
      </c>
      <c r="AJ16">
        <v>0.21421296296296291</v>
      </c>
      <c r="AK16">
        <v>0.47125420875420881</v>
      </c>
      <c r="AL16">
        <v>0.61325757575757578</v>
      </c>
      <c r="AM16">
        <v>0.37082323232323233</v>
      </c>
      <c r="AN16">
        <v>0.56249512670565305</v>
      </c>
      <c r="AO16">
        <v>0.7124503968253969</v>
      </c>
      <c r="AP16">
        <v>0.32979885057471264</v>
      </c>
      <c r="AQ16">
        <v>0.24189664082687343</v>
      </c>
      <c r="AR16">
        <v>0.33219999999999994</v>
      </c>
      <c r="AS16">
        <v>0.17057189542483661</v>
      </c>
      <c r="AT16">
        <v>0.38616898148148143</v>
      </c>
      <c r="AU16">
        <v>0.28818287037037038</v>
      </c>
      <c r="AV16">
        <v>0.36790509259259274</v>
      </c>
    </row>
    <row r="17" spans="1:48">
      <c r="A17" s="1">
        <v>16</v>
      </c>
      <c r="B17" s="1">
        <v>1</v>
      </c>
      <c r="C17" s="1">
        <v>1</v>
      </c>
      <c r="D17" s="1">
        <v>1</v>
      </c>
      <c r="E17" s="1">
        <v>1</v>
      </c>
      <c r="F17" s="1">
        <v>21</v>
      </c>
      <c r="G17" s="1">
        <v>18</v>
      </c>
      <c r="H17" s="1">
        <v>3</v>
      </c>
      <c r="I17" s="1">
        <v>1</v>
      </c>
      <c r="J17" s="1">
        <v>6</v>
      </c>
      <c r="K17">
        <v>4.5799999999999993E-2</v>
      </c>
      <c r="L17">
        <v>5.01913043478261E-2</v>
      </c>
      <c r="M17">
        <v>4.993333333333333E-2</v>
      </c>
      <c r="N17">
        <v>4.8579166666666673E-2</v>
      </c>
      <c r="O17">
        <v>5.0727272727272732E-2</v>
      </c>
      <c r="P17">
        <v>4.0518181818181814E-2</v>
      </c>
      <c r="Q17">
        <v>3.8527272727272723E-2</v>
      </c>
      <c r="R17">
        <v>3.3450000000000001E-2</v>
      </c>
      <c r="S17">
        <f t="shared" si="0"/>
        <v>4.4587973484848484E-2</v>
      </c>
      <c r="T17">
        <f t="shared" si="1"/>
        <v>1.1137973484848483E-2</v>
      </c>
      <c r="U17">
        <v>3.0720833333333326E-2</v>
      </c>
      <c r="V17">
        <v>4.5590476190476202E-2</v>
      </c>
      <c r="W17">
        <v>0.81041526374859696</v>
      </c>
      <c r="X17">
        <v>0.49285714285714277</v>
      </c>
      <c r="Y17">
        <v>0.72426455026455039</v>
      </c>
      <c r="Z17">
        <v>0.70761904761904759</v>
      </c>
      <c r="AA17">
        <v>-8.8028444444444492E-2</v>
      </c>
      <c r="AB17">
        <v>0.19070023148148152</v>
      </c>
      <c r="AC17">
        <v>0.24670749489647126</v>
      </c>
      <c r="AD17">
        <v>0.28300768693221517</v>
      </c>
      <c r="AE17">
        <v>0.20601587301587296</v>
      </c>
      <c r="AF17">
        <v>0.15321548821548825</v>
      </c>
      <c r="AG17">
        <v>0.20237361449040289</v>
      </c>
      <c r="AH17">
        <v>0.17117599351175986</v>
      </c>
      <c r="AI17">
        <v>0.1748148148148149</v>
      </c>
      <c r="AJ17">
        <v>0.20471604938271587</v>
      </c>
      <c r="AK17">
        <v>0.37650953984287322</v>
      </c>
      <c r="AL17">
        <v>0.69414141414141417</v>
      </c>
      <c r="AM17">
        <v>0.37665993265993269</v>
      </c>
      <c r="AN17">
        <v>0.3200129954515919</v>
      </c>
      <c r="AO17">
        <v>0.35443915343915344</v>
      </c>
      <c r="AP17">
        <v>0.21090357598978288</v>
      </c>
      <c r="AQ17">
        <v>0.24483031869078389</v>
      </c>
      <c r="AR17">
        <v>0.26434074074074082</v>
      </c>
      <c r="AS17">
        <v>0.14468409586056649</v>
      </c>
      <c r="AT17">
        <v>0.33313271604938272</v>
      </c>
      <c r="AU17">
        <v>0.23858796296296308</v>
      </c>
      <c r="AV17">
        <v>0.28380401234567904</v>
      </c>
    </row>
    <row r="18" spans="1:48">
      <c r="A18" s="1">
        <v>17</v>
      </c>
      <c r="B18" s="1">
        <v>1</v>
      </c>
      <c r="C18" s="1">
        <v>0</v>
      </c>
      <c r="D18" s="1">
        <v>0</v>
      </c>
      <c r="E18" s="1">
        <v>1</v>
      </c>
      <c r="F18" s="1">
        <v>1</v>
      </c>
      <c r="G18" s="1">
        <v>6</v>
      </c>
      <c r="H18" s="1">
        <v>1</v>
      </c>
      <c r="I18" s="1">
        <v>1</v>
      </c>
      <c r="J18" s="1">
        <v>1</v>
      </c>
      <c r="K18">
        <v>3.4599999999999992E-2</v>
      </c>
      <c r="L18">
        <v>4.332608695652173E-2</v>
      </c>
      <c r="M18">
        <v>4.6795238095238091E-2</v>
      </c>
      <c r="N18">
        <v>4.4374999999999998E-2</v>
      </c>
      <c r="O18">
        <v>4.34181818181818E-2</v>
      </c>
      <c r="P18">
        <v>3.7409090909090906E-2</v>
      </c>
      <c r="Q18">
        <v>3.9868181818181817E-2</v>
      </c>
      <c r="R18">
        <v>3.8620833333333347E-2</v>
      </c>
      <c r="S18">
        <f t="shared" si="0"/>
        <v>4.1267613636363623E-2</v>
      </c>
      <c r="T18">
        <f t="shared" si="1"/>
        <v>2.6467803030302758E-3</v>
      </c>
      <c r="U18">
        <v>3.0158333333333343E-2</v>
      </c>
      <c r="V18">
        <v>3.0847619047619054E-2</v>
      </c>
      <c r="W18">
        <v>0.68455106621773287</v>
      </c>
      <c r="X18">
        <v>0.35035714285714281</v>
      </c>
      <c r="Y18">
        <v>0.44058465608465625</v>
      </c>
      <c r="Z18">
        <v>0.59666666666666657</v>
      </c>
      <c r="AA18">
        <v>-9.854222222222226E-3</v>
      </c>
      <c r="AB18">
        <v>7.7120949074074061E-2</v>
      </c>
      <c r="AC18">
        <v>0.12446923301254008</v>
      </c>
      <c r="AD18">
        <v>0.24125227113906367</v>
      </c>
      <c r="AE18">
        <v>0.13800793650793655</v>
      </c>
      <c r="AF18">
        <v>4.3842592592592572E-2</v>
      </c>
      <c r="AG18">
        <v>0.1078778048121114</v>
      </c>
      <c r="AH18">
        <v>0.22062449310624493</v>
      </c>
      <c r="AI18">
        <v>0.19574074074074074</v>
      </c>
      <c r="AJ18">
        <v>3.6219135802469181E-2</v>
      </c>
      <c r="AK18">
        <v>0.2344921436588103</v>
      </c>
      <c r="AL18">
        <v>0.46957070707070708</v>
      </c>
      <c r="AM18">
        <v>0.29613299663299664</v>
      </c>
      <c r="AN18">
        <v>0.36797433398310597</v>
      </c>
      <c r="AO18">
        <v>0.17933267195767197</v>
      </c>
      <c r="AP18">
        <v>6.4252075351213286E-2</v>
      </c>
      <c r="AQ18">
        <v>0.26016709732988813</v>
      </c>
      <c r="AR18">
        <v>0.22333703703703711</v>
      </c>
      <c r="AS18">
        <v>4.636165577342051E-2</v>
      </c>
      <c r="AT18">
        <v>0.1495524691358025</v>
      </c>
      <c r="AU18">
        <v>0.24872106481481485</v>
      </c>
      <c r="AV18">
        <v>0.36056520061728381</v>
      </c>
    </row>
    <row r="19" spans="1:48">
      <c r="A19" s="1">
        <v>18</v>
      </c>
      <c r="B19" s="1">
        <v>1</v>
      </c>
      <c r="C19" s="1">
        <v>1</v>
      </c>
      <c r="D19" s="1">
        <v>1</v>
      </c>
      <c r="E19" s="1">
        <v>0</v>
      </c>
      <c r="F19" s="1">
        <v>22</v>
      </c>
      <c r="G19" s="1">
        <v>18</v>
      </c>
      <c r="H19" s="1">
        <v>3</v>
      </c>
      <c r="I19" s="1">
        <v>1</v>
      </c>
      <c r="J19" s="1">
        <v>6</v>
      </c>
      <c r="K19">
        <v>4.8034782608695654E-2</v>
      </c>
      <c r="L19">
        <v>4.6556521739130427E-2</v>
      </c>
      <c r="M19">
        <v>5.6923809523809515E-2</v>
      </c>
      <c r="N19">
        <v>4.7166666666666669E-2</v>
      </c>
      <c r="O19">
        <v>4.2995454545454545E-2</v>
      </c>
      <c r="P19">
        <v>3.776363636363636E-2</v>
      </c>
      <c r="Q19">
        <v>4.0359090909090893E-2</v>
      </c>
      <c r="R19">
        <v>4.5474999999999988E-2</v>
      </c>
      <c r="S19">
        <f t="shared" si="0"/>
        <v>4.207121212121212E-2</v>
      </c>
      <c r="T19">
        <f t="shared" si="1"/>
        <v>-3.4037878787878673E-3</v>
      </c>
      <c r="U19">
        <v>3.2108333333333329E-2</v>
      </c>
      <c r="V19">
        <v>4.1685714285714284E-2</v>
      </c>
      <c r="W19">
        <v>0.77505050505050543</v>
      </c>
      <c r="X19">
        <v>0.315</v>
      </c>
      <c r="Y19">
        <v>0.56547619047619058</v>
      </c>
      <c r="Z19">
        <v>0.6357142857142859</v>
      </c>
      <c r="AA19">
        <v>0.51346666666666652</v>
      </c>
      <c r="AB19">
        <v>0.38710937499999998</v>
      </c>
      <c r="AC19">
        <v>0.31994750656167981</v>
      </c>
      <c r="AD19">
        <v>0.40943396226415102</v>
      </c>
      <c r="AE19">
        <v>0.29107142857142854</v>
      </c>
      <c r="AF19">
        <v>0.17108585858585842</v>
      </c>
      <c r="AG19">
        <v>0.25291970802919711</v>
      </c>
      <c r="AH19">
        <v>0.2021897810218978</v>
      </c>
      <c r="AI19">
        <v>0.18929440389294408</v>
      </c>
      <c r="AJ19">
        <v>0.11072222222222231</v>
      </c>
      <c r="AK19">
        <v>0.30338383838383848</v>
      </c>
      <c r="AL19">
        <v>0.48499999999999999</v>
      </c>
      <c r="AM19">
        <v>0.28833333333333333</v>
      </c>
      <c r="AN19">
        <v>0.51169590643274832</v>
      </c>
      <c r="AO19">
        <v>0.62261904761904763</v>
      </c>
      <c r="AP19">
        <v>0.34655172413793106</v>
      </c>
      <c r="AQ19">
        <v>0.29038759689922478</v>
      </c>
      <c r="AR19">
        <v>0.35</v>
      </c>
      <c r="AS19">
        <v>0.20735294117647046</v>
      </c>
      <c r="AT19">
        <v>0.38506944444444452</v>
      </c>
      <c r="AU19">
        <v>0.27569444444444446</v>
      </c>
      <c r="AV19">
        <v>0.38819444444444445</v>
      </c>
    </row>
    <row r="20" spans="1:48">
      <c r="A20" s="1">
        <v>19</v>
      </c>
      <c r="B20" s="1">
        <v>1</v>
      </c>
      <c r="C20" s="1">
        <v>1</v>
      </c>
      <c r="D20" s="1">
        <v>1</v>
      </c>
      <c r="E20" s="1">
        <v>1</v>
      </c>
      <c r="F20" s="1">
        <v>26</v>
      </c>
      <c r="G20" s="1">
        <v>18</v>
      </c>
      <c r="H20" s="1">
        <v>3</v>
      </c>
      <c r="I20" s="1">
        <v>1</v>
      </c>
      <c r="J20" s="1">
        <v>6</v>
      </c>
      <c r="K20">
        <v>3.7391304347826101E-2</v>
      </c>
      <c r="L20">
        <v>3.632173913043478E-2</v>
      </c>
      <c r="M20">
        <v>4.471904761904761E-2</v>
      </c>
      <c r="N20">
        <v>3.4291666666666665E-2</v>
      </c>
      <c r="O20">
        <v>4.2936363636363613E-2</v>
      </c>
      <c r="P20">
        <v>4.7509090909090904E-2</v>
      </c>
      <c r="Q20">
        <v>4.5495454545454554E-2</v>
      </c>
      <c r="R20">
        <v>4.2070833333333314E-2</v>
      </c>
      <c r="S20">
        <f t="shared" si="0"/>
        <v>4.255814393939393E-2</v>
      </c>
      <c r="T20">
        <f t="shared" si="1"/>
        <v>4.873106060606161E-4</v>
      </c>
      <c r="U20">
        <v>3.7975000000000002E-2</v>
      </c>
      <c r="V20">
        <v>4.1799999999999983E-2</v>
      </c>
      <c r="W20">
        <v>0.53827721661054972</v>
      </c>
      <c r="X20">
        <v>0.54535714285714287</v>
      </c>
      <c r="Y20">
        <v>0.71322486772486771</v>
      </c>
      <c r="Z20">
        <v>0.67476190476190467</v>
      </c>
      <c r="AA20">
        <v>0.15609422222222225</v>
      </c>
      <c r="AB20">
        <v>0.19058738425925928</v>
      </c>
      <c r="AC20">
        <v>0.26030766987459891</v>
      </c>
      <c r="AD20">
        <v>0.3192508735150244</v>
      </c>
      <c r="AE20">
        <v>0.18984920634920632</v>
      </c>
      <c r="AF20">
        <v>0.13267255892255897</v>
      </c>
      <c r="AG20">
        <v>0.33421465260881328</v>
      </c>
      <c r="AH20">
        <v>0.29908353609083554</v>
      </c>
      <c r="AI20">
        <v>0.30328602324952691</v>
      </c>
      <c r="AJ20">
        <v>0.1532253086419752</v>
      </c>
      <c r="AK20">
        <v>0.36954826038159383</v>
      </c>
      <c r="AL20">
        <v>0.50497474747474735</v>
      </c>
      <c r="AM20">
        <v>0.37235185185185188</v>
      </c>
      <c r="AN20">
        <v>0.2796864847303443</v>
      </c>
      <c r="AO20">
        <v>0.31483399470899476</v>
      </c>
      <c r="AP20">
        <v>0.24163872924648799</v>
      </c>
      <c r="AQ20">
        <v>0.28711972437553829</v>
      </c>
      <c r="AR20">
        <v>0.27132962962962964</v>
      </c>
      <c r="AS20">
        <v>0.15952069716775605</v>
      </c>
      <c r="AT20">
        <v>0.43655864197530869</v>
      </c>
      <c r="AU20">
        <v>0.33148726851851867</v>
      </c>
      <c r="AV20">
        <v>0.49637924382716048</v>
      </c>
    </row>
    <row r="21" spans="1:48">
      <c r="A21" s="1">
        <v>20</v>
      </c>
      <c r="B21" s="1">
        <v>1</v>
      </c>
      <c r="C21" s="1">
        <v>1</v>
      </c>
      <c r="D21" s="1">
        <v>1</v>
      </c>
      <c r="E21" s="1">
        <v>0</v>
      </c>
      <c r="F21" s="1">
        <v>17</v>
      </c>
      <c r="G21" s="1">
        <v>6</v>
      </c>
      <c r="H21" s="1">
        <v>3</v>
      </c>
      <c r="I21" s="1">
        <v>1</v>
      </c>
      <c r="J21" s="1">
        <v>5</v>
      </c>
      <c r="K21">
        <v>3.3321739130434784E-2</v>
      </c>
      <c r="L21">
        <v>5.0600000000000006E-2</v>
      </c>
      <c r="M21">
        <v>3.7471428571428579E-2</v>
      </c>
      <c r="N21">
        <v>3.9354166666666655E-2</v>
      </c>
      <c r="O21">
        <v>3.9140909090909087E-2</v>
      </c>
      <c r="P21">
        <v>3.7586363636363647E-2</v>
      </c>
      <c r="Q21">
        <v>3.9245454545454563E-2</v>
      </c>
      <c r="R21">
        <v>3.8775000000000004E-2</v>
      </c>
      <c r="S21">
        <f t="shared" si="0"/>
        <v>3.8831723484848486E-2</v>
      </c>
      <c r="T21">
        <f t="shared" si="1"/>
        <v>5.6723484848482386E-5</v>
      </c>
      <c r="U21">
        <v>3.4158333333333325E-2</v>
      </c>
      <c r="V21">
        <v>3.9938095238095252E-2</v>
      </c>
      <c r="W21">
        <v>0.5742312008978675</v>
      </c>
      <c r="X21">
        <v>0.40571428571428558</v>
      </c>
      <c r="Y21">
        <v>0.49525925925925918</v>
      </c>
      <c r="Z21">
        <v>0.54238095238095241</v>
      </c>
      <c r="AA21">
        <v>0.35387851851851843</v>
      </c>
      <c r="AB21">
        <v>0.21631944444444445</v>
      </c>
      <c r="AC21">
        <v>0.13360746573345003</v>
      </c>
      <c r="AD21">
        <v>0.22576100628930817</v>
      </c>
      <c r="AE21">
        <v>0.25731746031746033</v>
      </c>
      <c r="AF21">
        <v>0.17671156004489333</v>
      </c>
      <c r="AG21">
        <v>0.25599351175993518</v>
      </c>
      <c r="AH21">
        <v>0.2240227088402271</v>
      </c>
      <c r="AI21">
        <v>0.21045688023790221</v>
      </c>
      <c r="AJ21">
        <v>0.14472839506172833</v>
      </c>
      <c r="AK21">
        <v>0.26571268237934903</v>
      </c>
      <c r="AL21">
        <v>0.41404040404040399</v>
      </c>
      <c r="AM21">
        <v>0.31182491582491584</v>
      </c>
      <c r="AN21">
        <v>0.39712800519818064</v>
      </c>
      <c r="AO21">
        <v>0.46154100529100528</v>
      </c>
      <c r="AP21">
        <v>0.15657088122605362</v>
      </c>
      <c r="AQ21">
        <v>0.21046683893195517</v>
      </c>
      <c r="AR21">
        <v>0.30519999999999986</v>
      </c>
      <c r="AS21">
        <v>0.20932461873638333</v>
      </c>
      <c r="AT21">
        <v>0.38885030864197534</v>
      </c>
      <c r="AU21">
        <v>0.30556327160493818</v>
      </c>
      <c r="AV21">
        <v>0.33713734567901243</v>
      </c>
    </row>
    <row r="22" spans="1:48">
      <c r="A22" s="1">
        <v>21</v>
      </c>
      <c r="B22" s="1">
        <v>1</v>
      </c>
      <c r="C22" s="1">
        <v>1</v>
      </c>
      <c r="D22" s="1">
        <v>1</v>
      </c>
      <c r="E22" s="1">
        <v>0</v>
      </c>
      <c r="F22" s="1">
        <v>19</v>
      </c>
      <c r="G22" s="1">
        <v>6</v>
      </c>
      <c r="H22" s="1">
        <v>3</v>
      </c>
      <c r="I22" s="1">
        <v>1</v>
      </c>
      <c r="J22" s="1">
        <v>5</v>
      </c>
      <c r="K22">
        <v>0.04</v>
      </c>
      <c r="L22">
        <v>4.8330434782608699E-2</v>
      </c>
      <c r="M22">
        <v>4.3319047619047618E-2</v>
      </c>
      <c r="N22">
        <v>4.3268750000000002E-2</v>
      </c>
      <c r="O22">
        <v>3.2104545454545462E-2</v>
      </c>
      <c r="P22">
        <v>4.2654545454545438E-2</v>
      </c>
      <c r="Q22">
        <v>4.2845454545454548E-2</v>
      </c>
      <c r="R22">
        <v>3.9341666666666664E-2</v>
      </c>
      <c r="S22">
        <f t="shared" si="0"/>
        <v>4.0218323863636364E-2</v>
      </c>
      <c r="T22">
        <f t="shared" si="1"/>
        <v>8.766571969697004E-4</v>
      </c>
      <c r="U22">
        <v>3.4462499999999986E-2</v>
      </c>
      <c r="V22">
        <v>3.2380952380952385E-2</v>
      </c>
      <c r="W22">
        <v>0.67200336700336716</v>
      </c>
      <c r="X22">
        <v>0.41035714285714292</v>
      </c>
      <c r="Y22">
        <v>0.34443650793650782</v>
      </c>
      <c r="Z22">
        <v>0.54</v>
      </c>
      <c r="AA22">
        <v>0.45688444444444437</v>
      </c>
      <c r="AB22">
        <v>0.23990885416666669</v>
      </c>
      <c r="AC22">
        <v>0.20815398075240596</v>
      </c>
      <c r="AD22">
        <v>0.32864150943396248</v>
      </c>
      <c r="AE22">
        <v>0.25258333333333327</v>
      </c>
      <c r="AF22">
        <v>0.12422138047138052</v>
      </c>
      <c r="AG22">
        <v>0.24731143552311438</v>
      </c>
      <c r="AH22">
        <v>0.24333333333333335</v>
      </c>
      <c r="AI22">
        <v>0.28527169505271682</v>
      </c>
      <c r="AJ22">
        <v>0.23523148148148162</v>
      </c>
      <c r="AK22">
        <v>0.30914983164983184</v>
      </c>
      <c r="AL22">
        <v>0.44037878787878787</v>
      </c>
      <c r="AM22">
        <v>0.32220707070707066</v>
      </c>
      <c r="AN22">
        <v>0.46966861598440557</v>
      </c>
      <c r="AO22">
        <v>0.53903769841269844</v>
      </c>
      <c r="AP22">
        <v>0.28744252873563214</v>
      </c>
      <c r="AQ22">
        <v>0.24306459948320422</v>
      </c>
      <c r="AR22">
        <v>0.36079999999999995</v>
      </c>
      <c r="AS22">
        <v>0.1451143790849673</v>
      </c>
      <c r="AT22">
        <v>0.36313657407407407</v>
      </c>
      <c r="AU22">
        <v>0.29966435185185186</v>
      </c>
      <c r="AV22">
        <v>0.45848379629629615</v>
      </c>
    </row>
    <row r="23" spans="1:48">
      <c r="A23" s="1">
        <v>22</v>
      </c>
      <c r="B23" s="1">
        <v>1</v>
      </c>
      <c r="C23" s="1">
        <v>0</v>
      </c>
      <c r="D23" s="1">
        <v>0</v>
      </c>
      <c r="E23" s="1">
        <v>0</v>
      </c>
      <c r="F23" s="1">
        <v>3</v>
      </c>
      <c r="G23" s="1">
        <v>6</v>
      </c>
      <c r="H23" s="1">
        <v>1</v>
      </c>
      <c r="I23" s="1">
        <v>1</v>
      </c>
      <c r="J23" s="1">
        <v>1</v>
      </c>
      <c r="K23">
        <v>4.0447826086956538E-2</v>
      </c>
      <c r="L23">
        <v>5.3882608695652159E-2</v>
      </c>
      <c r="M23">
        <v>4.3523809523809534E-2</v>
      </c>
      <c r="N23">
        <v>4.5683333333333333E-2</v>
      </c>
      <c r="O23">
        <v>4.3549999999999978E-2</v>
      </c>
      <c r="P23">
        <v>4.5100000000000001E-2</v>
      </c>
      <c r="Q23">
        <v>4.899545454545455E-2</v>
      </c>
      <c r="R23">
        <v>4.7733333333333329E-2</v>
      </c>
      <c r="S23">
        <f t="shared" si="0"/>
        <v>4.5832196969696967E-2</v>
      </c>
      <c r="T23">
        <f t="shared" si="1"/>
        <v>-1.9011363636363618E-3</v>
      </c>
      <c r="U23">
        <v>4.0233333333333343E-2</v>
      </c>
      <c r="V23">
        <v>4.1771428571428557E-2</v>
      </c>
      <c r="W23">
        <v>0.59704826038159386</v>
      </c>
      <c r="X23">
        <v>0.35214285714285715</v>
      </c>
      <c r="Y23">
        <v>0.41075661375661376</v>
      </c>
      <c r="Z23">
        <v>0.65904761904761899</v>
      </c>
      <c r="AA23">
        <v>0.56069037037037017</v>
      </c>
      <c r="AB23">
        <v>0.31427951388888886</v>
      </c>
      <c r="AC23">
        <v>0.26144065325167692</v>
      </c>
      <c r="AD23">
        <v>0.32133333333333353</v>
      </c>
      <c r="AE23">
        <v>0.12999206349206346</v>
      </c>
      <c r="AF23">
        <v>6.0367564534231179E-2</v>
      </c>
      <c r="AG23">
        <v>0.17804541768045429</v>
      </c>
      <c r="AH23">
        <v>0.14439578264395786</v>
      </c>
      <c r="AI23">
        <v>0.12432008650986759</v>
      </c>
      <c r="AJ23">
        <v>0.23473456790123456</v>
      </c>
      <c r="AK23">
        <v>0.26531425364758704</v>
      </c>
      <c r="AL23">
        <v>0.45489898989898964</v>
      </c>
      <c r="AM23">
        <v>0.32804377104377119</v>
      </c>
      <c r="AN23">
        <v>0.47817413905133199</v>
      </c>
      <c r="AO23">
        <v>0.66564153439153428</v>
      </c>
      <c r="AP23">
        <v>0.33383141762452101</v>
      </c>
      <c r="AQ23">
        <v>0.13519724375538347</v>
      </c>
      <c r="AR23">
        <v>0.2703999999999997</v>
      </c>
      <c r="AS23">
        <v>0.1054139433551199</v>
      </c>
      <c r="AT23">
        <v>0.24263117283950625</v>
      </c>
      <c r="AU23">
        <v>0.1968904320987655</v>
      </c>
      <c r="AV23">
        <v>0.32358024691358034</v>
      </c>
    </row>
    <row r="24" spans="1:48">
      <c r="A24" s="1">
        <v>23</v>
      </c>
      <c r="B24" s="1">
        <v>1</v>
      </c>
      <c r="C24" s="1">
        <v>1</v>
      </c>
      <c r="D24" s="1">
        <v>1</v>
      </c>
      <c r="E24" s="1">
        <v>1</v>
      </c>
      <c r="F24" s="1">
        <v>24</v>
      </c>
      <c r="G24" s="1">
        <v>18</v>
      </c>
      <c r="H24" s="1">
        <v>3</v>
      </c>
      <c r="I24" s="1">
        <v>1</v>
      </c>
      <c r="J24" s="1">
        <v>6</v>
      </c>
      <c r="K24">
        <v>3.9608695652173898E-2</v>
      </c>
      <c r="L24">
        <v>4.4065217391304354E-2</v>
      </c>
      <c r="M24">
        <v>4.5471428571428565E-2</v>
      </c>
      <c r="N24">
        <v>5.1799999999999992E-2</v>
      </c>
      <c r="O24">
        <v>4.2050000000000025E-2</v>
      </c>
      <c r="P24">
        <v>4.4345454545454549E-2</v>
      </c>
      <c r="Q24">
        <v>3.9272727272727265E-2</v>
      </c>
      <c r="R24">
        <v>4.0562500000000022E-2</v>
      </c>
      <c r="S24">
        <f t="shared" si="0"/>
        <v>4.4367045454545458E-2</v>
      </c>
      <c r="T24">
        <f t="shared" si="1"/>
        <v>3.8045454545454355E-3</v>
      </c>
      <c r="U24">
        <v>3.627916666666664E-2</v>
      </c>
      <c r="V24">
        <v>3.9452380952380954E-2</v>
      </c>
      <c r="W24">
        <v>0.67845679012345694</v>
      </c>
      <c r="X24">
        <v>0.56821428571428589</v>
      </c>
      <c r="Y24">
        <v>0.52707671957671975</v>
      </c>
      <c r="Z24">
        <v>0.81666666666666698</v>
      </c>
      <c r="AA24">
        <v>-9.6088888888888127E-3</v>
      </c>
      <c r="AB24">
        <v>0.30658275462962964</v>
      </c>
      <c r="AC24">
        <v>0.22332312627588219</v>
      </c>
      <c r="AD24">
        <v>0.27373864430468209</v>
      </c>
      <c r="AE24">
        <v>0.24210317460317471</v>
      </c>
      <c r="AF24">
        <v>0.20502946127946126</v>
      </c>
      <c r="AG24">
        <v>0.24747228980805627</v>
      </c>
      <c r="AH24">
        <v>0.21220600162206013</v>
      </c>
      <c r="AI24">
        <v>0.15487293863206272</v>
      </c>
      <c r="AJ24">
        <v>0.11423765432098758</v>
      </c>
      <c r="AK24">
        <v>0.30420594837261511</v>
      </c>
      <c r="AL24">
        <v>0.51214646464646474</v>
      </c>
      <c r="AM24">
        <v>0.378425925925926</v>
      </c>
      <c r="AN24">
        <v>0.37591780376868089</v>
      </c>
      <c r="AO24">
        <v>0.38851521164021174</v>
      </c>
      <c r="AP24">
        <v>0.24037755427841631</v>
      </c>
      <c r="AQ24">
        <v>0.27218776916451332</v>
      </c>
      <c r="AR24">
        <v>0.28231481481481485</v>
      </c>
      <c r="AS24">
        <v>0.1770152505446623</v>
      </c>
      <c r="AT24">
        <v>0.33765432098765435</v>
      </c>
      <c r="AU24">
        <v>0.28347800925925926</v>
      </c>
      <c r="AV24">
        <v>0.29196566358024695</v>
      </c>
    </row>
    <row r="25" spans="1:48">
      <c r="A25" s="1">
        <v>24</v>
      </c>
      <c r="B25" s="1">
        <v>1</v>
      </c>
      <c r="C25" s="1">
        <v>1</v>
      </c>
      <c r="D25" s="1">
        <v>1</v>
      </c>
      <c r="E25" s="1">
        <v>0</v>
      </c>
      <c r="F25" s="1">
        <v>16</v>
      </c>
      <c r="G25" s="1">
        <v>6</v>
      </c>
      <c r="H25" s="1">
        <v>3</v>
      </c>
      <c r="I25" s="1">
        <v>1</v>
      </c>
      <c r="J25" s="1">
        <v>5</v>
      </c>
      <c r="K25">
        <v>4.9256521739130428E-2</v>
      </c>
      <c r="L25">
        <v>5.3543478260869568E-2</v>
      </c>
      <c r="M25">
        <v>4.8538095238095234E-2</v>
      </c>
      <c r="N25">
        <v>5.2633333333333344E-2</v>
      </c>
      <c r="O25">
        <v>4.9700000000000015E-2</v>
      </c>
      <c r="P25">
        <v>4.5431818181818191E-2</v>
      </c>
      <c r="Q25">
        <v>5.2318181818181812E-2</v>
      </c>
      <c r="R25">
        <v>4.2754166666666669E-2</v>
      </c>
      <c r="S25">
        <f t="shared" si="0"/>
        <v>5.0020833333333341E-2</v>
      </c>
      <c r="T25">
        <f t="shared" si="1"/>
        <v>7.2666666666666713E-3</v>
      </c>
      <c r="U25">
        <v>3.6608333333333319E-2</v>
      </c>
      <c r="V25">
        <v>3.6028571428571438E-2</v>
      </c>
      <c r="W25">
        <v>1.0544107744107747</v>
      </c>
      <c r="X25">
        <v>0.62</v>
      </c>
      <c r="Y25">
        <v>0.61911111111111106</v>
      </c>
      <c r="Z25">
        <v>0.95285714285714285</v>
      </c>
      <c r="AA25">
        <v>0.61950222222222207</v>
      </c>
      <c r="AB25">
        <v>0.39661458333333327</v>
      </c>
      <c r="AC25">
        <v>0.42391951006124257</v>
      </c>
      <c r="AD25">
        <v>0.5157735849056605</v>
      </c>
      <c r="AE25">
        <v>0.37623809523809498</v>
      </c>
      <c r="AF25">
        <v>0.18493265993265998</v>
      </c>
      <c r="AG25">
        <v>0.34316301703163027</v>
      </c>
      <c r="AH25">
        <v>0.30783454987834552</v>
      </c>
      <c r="AI25">
        <v>0.26008110300081105</v>
      </c>
      <c r="AJ25">
        <v>0.26574074074074083</v>
      </c>
      <c r="AK25">
        <v>0.40127946127946129</v>
      </c>
      <c r="AL25">
        <v>0.65303030303030307</v>
      </c>
      <c r="AM25">
        <v>0.45153535353535351</v>
      </c>
      <c r="AN25">
        <v>0.64957115009746569</v>
      </c>
      <c r="AO25">
        <v>0.85099206349206347</v>
      </c>
      <c r="AP25">
        <v>0.37660919540229898</v>
      </c>
      <c r="AQ25">
        <v>0.47109043927648575</v>
      </c>
      <c r="AR25">
        <v>0.54059999999999975</v>
      </c>
      <c r="AS25">
        <v>0.24267973856209143</v>
      </c>
      <c r="AT25">
        <v>0.57870370370370372</v>
      </c>
      <c r="AU25">
        <v>0.42259259259259246</v>
      </c>
      <c r="AV25">
        <v>0.52252314814814826</v>
      </c>
    </row>
    <row r="26" spans="1:48">
      <c r="A26" s="1">
        <v>25</v>
      </c>
      <c r="B26" s="1">
        <v>0</v>
      </c>
      <c r="C26" s="1">
        <v>1</v>
      </c>
      <c r="D26" s="1">
        <v>1</v>
      </c>
      <c r="E26" s="1">
        <v>0</v>
      </c>
      <c r="F26" s="1">
        <v>10</v>
      </c>
      <c r="G26" s="1">
        <v>6</v>
      </c>
      <c r="H26" s="1">
        <v>2</v>
      </c>
      <c r="I26" s="1">
        <v>1</v>
      </c>
      <c r="J26" s="1">
        <v>4</v>
      </c>
      <c r="K26">
        <v>4.2565217391304352E-2</v>
      </c>
      <c r="L26">
        <v>5.5317391304347825E-2</v>
      </c>
      <c r="M26">
        <v>4.6176190476190454E-2</v>
      </c>
      <c r="N26">
        <v>4.1787499999999998E-2</v>
      </c>
      <c r="O26">
        <v>4.1895454545454541E-2</v>
      </c>
      <c r="P26">
        <v>4.5286363636363625E-2</v>
      </c>
      <c r="Q26">
        <v>4.2936363636363634E-2</v>
      </c>
      <c r="R26">
        <v>3.5091666666666667E-2</v>
      </c>
      <c r="S26">
        <f t="shared" si="0"/>
        <v>4.2976420454545451E-2</v>
      </c>
      <c r="T26">
        <f t="shared" si="1"/>
        <v>7.8847537878787843E-3</v>
      </c>
      <c r="U26">
        <v>2.4095833333333355E-2</v>
      </c>
      <c r="V26">
        <v>2.7614285714285709E-2</v>
      </c>
      <c r="W26">
        <v>0.69218294051627405</v>
      </c>
      <c r="X26">
        <v>0.54607142857142854</v>
      </c>
      <c r="Y26">
        <v>0.41114550264550254</v>
      </c>
      <c r="Z26">
        <v>0.666190476190476</v>
      </c>
      <c r="AA26">
        <v>0.5513081481481481</v>
      </c>
      <c r="AB26">
        <v>0.28270399305555538</v>
      </c>
      <c r="AC26">
        <v>0.19059200933216688</v>
      </c>
      <c r="AD26">
        <v>0.26846540880503161</v>
      </c>
      <c r="AE26">
        <v>0.17864682539682533</v>
      </c>
      <c r="AF26">
        <v>9.6078843995510643E-2</v>
      </c>
      <c r="AG26">
        <v>0.14907948094079487</v>
      </c>
      <c r="AH26">
        <v>9.7218167072181699E-2</v>
      </c>
      <c r="AI26">
        <v>4.9494457961611282E-2</v>
      </c>
      <c r="AJ26">
        <v>0.25724382716049377</v>
      </c>
      <c r="AK26">
        <v>0.39653479236812572</v>
      </c>
      <c r="AL26">
        <v>0.52664141414141385</v>
      </c>
      <c r="AM26">
        <v>0.36009932659932642</v>
      </c>
      <c r="AN26">
        <v>0.47912930474333953</v>
      </c>
      <c r="AO26">
        <v>0.59991732804232811</v>
      </c>
      <c r="AP26">
        <v>0.32903256704980854</v>
      </c>
      <c r="AQ26">
        <v>0.22833936261843243</v>
      </c>
      <c r="AR26">
        <v>0.23320000000000007</v>
      </c>
      <c r="AS26">
        <v>0.11376361655773422</v>
      </c>
      <c r="AT26">
        <v>0.25715663580246906</v>
      </c>
      <c r="AU26">
        <v>0.14481867283950617</v>
      </c>
      <c r="AV26">
        <v>0.14178626543209882</v>
      </c>
    </row>
    <row r="27" spans="1:48">
      <c r="A27" s="1">
        <v>26</v>
      </c>
      <c r="B27" s="1">
        <v>0</v>
      </c>
      <c r="C27" s="1">
        <v>1</v>
      </c>
      <c r="D27" s="1">
        <v>0</v>
      </c>
      <c r="E27" s="1">
        <v>0</v>
      </c>
      <c r="F27" s="1">
        <v>6</v>
      </c>
      <c r="G27" s="1">
        <v>6</v>
      </c>
      <c r="H27" s="1">
        <v>1</v>
      </c>
      <c r="I27" s="1">
        <v>1</v>
      </c>
      <c r="J27" s="1">
        <v>2</v>
      </c>
      <c r="K27">
        <v>3.8456521739130438E-2</v>
      </c>
      <c r="L27">
        <v>5.2017391304347835E-2</v>
      </c>
      <c r="M27">
        <v>5.5876190476190454E-2</v>
      </c>
      <c r="N27">
        <v>4.7320833333333333E-2</v>
      </c>
      <c r="O27">
        <v>4.951363636363635E-2</v>
      </c>
      <c r="P27">
        <v>4.5968181818181811E-2</v>
      </c>
      <c r="Q27">
        <v>5.1072727272727277E-2</v>
      </c>
      <c r="R27">
        <v>4.7525000000000005E-2</v>
      </c>
      <c r="S27">
        <f t="shared" si="0"/>
        <v>4.8468844696969687E-2</v>
      </c>
      <c r="T27">
        <f t="shared" si="1"/>
        <v>9.438446969696826E-4</v>
      </c>
      <c r="U27">
        <v>4.3395833333333335E-2</v>
      </c>
      <c r="V27">
        <v>4.1009523809523815E-2</v>
      </c>
      <c r="W27">
        <v>0.74086419753086408</v>
      </c>
      <c r="X27">
        <v>0.58214285714285707</v>
      </c>
      <c r="Y27">
        <v>0.83032275132275146</v>
      </c>
      <c r="Z27">
        <v>0.95809523809523811</v>
      </c>
      <c r="AA27">
        <v>0.7151140740740739</v>
      </c>
      <c r="AB27">
        <v>0.64848090277777792</v>
      </c>
      <c r="AC27">
        <v>0.43442986293380004</v>
      </c>
      <c r="AD27">
        <v>0.4724779874213838</v>
      </c>
      <c r="AE27">
        <v>0.26962698412698405</v>
      </c>
      <c r="AF27">
        <v>0.14131593714927043</v>
      </c>
      <c r="AG27">
        <v>0.21266017842660176</v>
      </c>
      <c r="AH27">
        <v>0.12382806163828068</v>
      </c>
      <c r="AI27">
        <v>0.16737496620708303</v>
      </c>
      <c r="AJ27">
        <v>0.19974691358024685</v>
      </c>
      <c r="AK27">
        <v>0.39269921436588101</v>
      </c>
      <c r="AL27">
        <v>0.69752525252525255</v>
      </c>
      <c r="AM27">
        <v>0.53320875420875424</v>
      </c>
      <c r="AN27">
        <v>0.78237166991552964</v>
      </c>
      <c r="AO27">
        <v>0.86580687830687819</v>
      </c>
      <c r="AP27">
        <v>0.47973180076628358</v>
      </c>
      <c r="AQ27">
        <v>0.4265185185185183</v>
      </c>
      <c r="AR27">
        <v>0.41779999999999989</v>
      </c>
      <c r="AS27">
        <v>0.14955337690631806</v>
      </c>
      <c r="AT27">
        <v>0.35748456790123451</v>
      </c>
      <c r="AU27">
        <v>0.19829475308641969</v>
      </c>
      <c r="AV27">
        <v>0.25584104938271596</v>
      </c>
    </row>
    <row r="28" spans="1:48">
      <c r="A28" s="1">
        <v>27</v>
      </c>
      <c r="B28" s="1">
        <v>1</v>
      </c>
      <c r="C28" s="1">
        <v>1</v>
      </c>
      <c r="D28" s="1">
        <v>0</v>
      </c>
      <c r="E28" s="1">
        <v>0</v>
      </c>
      <c r="F28" s="1">
        <v>9</v>
      </c>
      <c r="G28" s="1">
        <v>6</v>
      </c>
      <c r="H28" s="1">
        <v>2</v>
      </c>
      <c r="I28" s="1">
        <v>1</v>
      </c>
      <c r="J28" s="1">
        <v>3</v>
      </c>
      <c r="K28">
        <v>3.4773913043478252E-2</v>
      </c>
      <c r="L28">
        <v>4.223043478260869E-2</v>
      </c>
      <c r="M28">
        <v>4.0561904761904757E-2</v>
      </c>
      <c r="N28">
        <v>3.8958333333333338E-2</v>
      </c>
      <c r="O28">
        <v>4.1172727272727278E-2</v>
      </c>
      <c r="P28">
        <v>3.6927272727272739E-2</v>
      </c>
      <c r="Q28">
        <v>3.7104545454545453E-2</v>
      </c>
      <c r="R28">
        <v>3.5295833333333339E-2</v>
      </c>
      <c r="S28">
        <f t="shared" si="0"/>
        <v>3.8540719696969705E-2</v>
      </c>
      <c r="T28">
        <f t="shared" si="1"/>
        <v>3.2448863636363665E-3</v>
      </c>
      <c r="U28">
        <v>3.3970833333333318E-2</v>
      </c>
      <c r="V28">
        <v>2.3052380952380963E-2</v>
      </c>
      <c r="W28">
        <v>0.5095454545454543</v>
      </c>
      <c r="X28">
        <v>0.27392857142857147</v>
      </c>
      <c r="Y28">
        <v>0.21664285714285722</v>
      </c>
      <c r="Z28">
        <v>0.51142857142857134</v>
      </c>
      <c r="AA28">
        <v>0.42212000000000005</v>
      </c>
      <c r="AB28">
        <v>0.18613281249999999</v>
      </c>
      <c r="AC28">
        <v>0.18614173228346456</v>
      </c>
      <c r="AD28">
        <v>0.26064150943396241</v>
      </c>
      <c r="AE28">
        <v>0.24060714285714294</v>
      </c>
      <c r="AF28">
        <v>0.16306818181818181</v>
      </c>
      <c r="AG28">
        <v>0.2638321167883213</v>
      </c>
      <c r="AH28">
        <v>0.21832116788321165</v>
      </c>
      <c r="AI28">
        <v>0.27503649635036509</v>
      </c>
      <c r="AJ28">
        <v>0.15724999999999981</v>
      </c>
      <c r="AK28">
        <v>0.29249999999999998</v>
      </c>
      <c r="AL28">
        <v>0.3111363636363636</v>
      </c>
      <c r="AM28">
        <v>0.23995454545454553</v>
      </c>
      <c r="AN28">
        <v>0.41280701754385973</v>
      </c>
      <c r="AO28">
        <v>0.5352678571428573</v>
      </c>
      <c r="AP28">
        <v>0.20629310344827578</v>
      </c>
      <c r="AQ28">
        <v>0.23213953488372091</v>
      </c>
      <c r="AR28">
        <v>0.31140000000000007</v>
      </c>
      <c r="AS28">
        <v>0.18632352941176472</v>
      </c>
      <c r="AT28">
        <v>0.39739583333333328</v>
      </c>
      <c r="AU28">
        <v>0.29031249999999997</v>
      </c>
      <c r="AV28">
        <v>0.37093749999999998</v>
      </c>
    </row>
    <row r="29" spans="1:48">
      <c r="A29" s="1">
        <v>28</v>
      </c>
      <c r="B29" s="1">
        <v>1</v>
      </c>
      <c r="C29" s="1">
        <v>1</v>
      </c>
      <c r="D29" s="1">
        <v>0</v>
      </c>
      <c r="E29" s="1">
        <v>0</v>
      </c>
      <c r="F29" s="1">
        <v>7</v>
      </c>
      <c r="G29" s="1">
        <v>6</v>
      </c>
      <c r="H29" s="1">
        <v>2</v>
      </c>
      <c r="I29" s="1">
        <v>1</v>
      </c>
      <c r="J29" s="1">
        <v>3</v>
      </c>
      <c r="K29">
        <v>4.0678260869565233E-2</v>
      </c>
      <c r="L29">
        <v>5.2239130434782621E-2</v>
      </c>
      <c r="M29">
        <v>4.938095238095238E-2</v>
      </c>
      <c r="N29">
        <v>4.6583333333333345E-2</v>
      </c>
      <c r="O29">
        <v>5.2913636363636378E-2</v>
      </c>
      <c r="P29">
        <v>5.5236363636363646E-2</v>
      </c>
      <c r="Q29">
        <v>5.5459090909090909E-2</v>
      </c>
      <c r="R29">
        <v>5.1170833333333332E-2</v>
      </c>
      <c r="S29">
        <f t="shared" si="0"/>
        <v>5.2548106060606066E-2</v>
      </c>
      <c r="T29">
        <f t="shared" si="1"/>
        <v>1.3772727272727339E-3</v>
      </c>
      <c r="U29">
        <v>4.470833333333335E-2</v>
      </c>
      <c r="V29">
        <v>5.1961904761904772E-2</v>
      </c>
      <c r="W29">
        <v>0.9782267115600447</v>
      </c>
      <c r="X29">
        <v>0.56285714285714283</v>
      </c>
      <c r="Y29">
        <v>0.58582010582010613</v>
      </c>
      <c r="Z29">
        <v>0.63190476190476197</v>
      </c>
      <c r="AA29">
        <v>0.54032592592592588</v>
      </c>
      <c r="AB29">
        <v>0.42222222222222222</v>
      </c>
      <c r="AC29">
        <v>0.32131816856226308</v>
      </c>
      <c r="AD29">
        <v>0.40125786163522037</v>
      </c>
      <c r="AE29">
        <v>0.32301587301587287</v>
      </c>
      <c r="AF29">
        <v>0.1817901234567901</v>
      </c>
      <c r="AG29">
        <v>0.25733982157339824</v>
      </c>
      <c r="AH29">
        <v>0.26974858069748581</v>
      </c>
      <c r="AI29">
        <v>0.22065423087320896</v>
      </c>
      <c r="AJ29">
        <v>0.32575308641975304</v>
      </c>
      <c r="AK29">
        <v>0.33593714927048252</v>
      </c>
      <c r="AL29">
        <v>0.55111111111111122</v>
      </c>
      <c r="AM29">
        <v>0.32942760942760946</v>
      </c>
      <c r="AN29">
        <v>0.56868096166341764</v>
      </c>
      <c r="AO29">
        <v>0.66633597883597906</v>
      </c>
      <c r="AP29">
        <v>0.3294061302681992</v>
      </c>
      <c r="AQ29">
        <v>0.3252024117140398</v>
      </c>
      <c r="AR29">
        <v>0.39799999999999985</v>
      </c>
      <c r="AS29">
        <v>0.163289760348584</v>
      </c>
      <c r="AT29">
        <v>0.43105709876543219</v>
      </c>
      <c r="AU29">
        <v>0.27191358024691353</v>
      </c>
      <c r="AV29">
        <v>0.42978395061728386</v>
      </c>
    </row>
    <row r="30" spans="1:48">
      <c r="A30" s="1">
        <v>29</v>
      </c>
      <c r="B30" s="1">
        <v>1</v>
      </c>
      <c r="C30" s="1">
        <v>1</v>
      </c>
      <c r="D30" s="1">
        <v>1</v>
      </c>
      <c r="E30" s="1">
        <v>0</v>
      </c>
      <c r="F30" s="1">
        <v>23</v>
      </c>
      <c r="G30" s="1">
        <v>18</v>
      </c>
      <c r="H30" s="1">
        <v>3</v>
      </c>
      <c r="I30" s="1">
        <v>1</v>
      </c>
      <c r="J30" s="1">
        <v>6</v>
      </c>
      <c r="K30">
        <v>4.4504347826086962E-2</v>
      </c>
      <c r="L30">
        <v>5.079130434782609E-2</v>
      </c>
      <c r="M30">
        <v>4.9433333333333336E-2</v>
      </c>
      <c r="N30">
        <v>3.7454166666666656E-2</v>
      </c>
      <c r="O30">
        <v>4.2449999999999995E-2</v>
      </c>
      <c r="P30">
        <v>3.6027272727272734E-2</v>
      </c>
      <c r="Q30">
        <v>4.201363636363635E-2</v>
      </c>
      <c r="R30">
        <v>3.6358333333333347E-2</v>
      </c>
      <c r="S30">
        <f t="shared" si="0"/>
        <v>3.9486268939393929E-2</v>
      </c>
      <c r="T30">
        <f t="shared" si="1"/>
        <v>3.127935606060582E-3</v>
      </c>
      <c r="U30">
        <v>3.327083333333334E-2</v>
      </c>
      <c r="V30">
        <v>4.821904761904762E-2</v>
      </c>
      <c r="W30">
        <v>0.70145342312008974</v>
      </c>
      <c r="X30">
        <v>0.43178571428571438</v>
      </c>
      <c r="Y30">
        <v>0.31356878306878294</v>
      </c>
      <c r="Z30">
        <v>0.60095238095238102</v>
      </c>
      <c r="AA30">
        <v>0.51773185185185189</v>
      </c>
      <c r="AB30">
        <v>0.22784288194444446</v>
      </c>
      <c r="AC30">
        <v>0.17932925051035292</v>
      </c>
      <c r="AD30">
        <v>0.23168553459119498</v>
      </c>
      <c r="AE30">
        <v>0.22899603174603173</v>
      </c>
      <c r="AF30">
        <v>0.16187570145903485</v>
      </c>
      <c r="AG30">
        <v>0.23478913219789133</v>
      </c>
      <c r="AH30">
        <v>0.2562124898621248</v>
      </c>
      <c r="AI30">
        <v>0.25897269532306033</v>
      </c>
      <c r="AJ30">
        <v>0.22125617283950608</v>
      </c>
      <c r="AK30">
        <v>0.37664702581369253</v>
      </c>
      <c r="AL30">
        <v>0.5092676767676767</v>
      </c>
      <c r="AM30">
        <v>0.32344612794612798</v>
      </c>
      <c r="AN30">
        <v>0.51051981806367774</v>
      </c>
      <c r="AO30">
        <v>0.60633267195767204</v>
      </c>
      <c r="AP30">
        <v>0.20682950191570887</v>
      </c>
      <c r="AQ30">
        <v>0.25733505598621875</v>
      </c>
      <c r="AR30">
        <v>0.29959999999999992</v>
      </c>
      <c r="AS30">
        <v>0.17162854030501096</v>
      </c>
      <c r="AT30">
        <v>0.36784336419753089</v>
      </c>
      <c r="AU30">
        <v>0.32330632716049379</v>
      </c>
      <c r="AV30">
        <v>0.43758873456790109</v>
      </c>
    </row>
    <row r="31" spans="1:48">
      <c r="A31" s="1">
        <v>30</v>
      </c>
      <c r="B31" s="1">
        <v>0</v>
      </c>
      <c r="C31" s="1">
        <v>1</v>
      </c>
      <c r="D31" s="1">
        <v>0</v>
      </c>
      <c r="E31" s="1">
        <v>0</v>
      </c>
      <c r="F31" s="1">
        <v>4</v>
      </c>
      <c r="G31" s="1">
        <v>6</v>
      </c>
      <c r="H31" s="1">
        <v>1</v>
      </c>
      <c r="I31" s="1">
        <v>1</v>
      </c>
      <c r="J31" s="1">
        <v>2</v>
      </c>
      <c r="K31">
        <v>5.4447826086956523E-2</v>
      </c>
      <c r="L31">
        <v>5.9226086956521741E-2</v>
      </c>
      <c r="M31">
        <v>5.2614285714285704E-2</v>
      </c>
      <c r="N31">
        <v>5.2312500000000005E-2</v>
      </c>
      <c r="O31">
        <v>4.78590909090909E-2</v>
      </c>
      <c r="P31">
        <v>4.4609090909090904E-2</v>
      </c>
      <c r="Q31">
        <v>4.8422727272727256E-2</v>
      </c>
      <c r="R31">
        <v>4.205833333333333E-2</v>
      </c>
      <c r="S31">
        <f t="shared" si="0"/>
        <v>4.830085227272727E-2</v>
      </c>
      <c r="T31">
        <f t="shared" si="1"/>
        <v>6.2425189393939401E-3</v>
      </c>
      <c r="U31">
        <v>4.07625E-2</v>
      </c>
      <c r="V31">
        <v>4.9357142857142863E-2</v>
      </c>
      <c r="W31">
        <v>0.7574074074074072</v>
      </c>
      <c r="X31">
        <v>0.47499999999999998</v>
      </c>
      <c r="Y31">
        <v>0.41846031746031748</v>
      </c>
      <c r="Z31">
        <v>0.74857142857142833</v>
      </c>
      <c r="AA31">
        <v>0.82473777777777757</v>
      </c>
      <c r="AB31">
        <v>0.3850260416666666</v>
      </c>
      <c r="AC31">
        <v>0.31608048993875776</v>
      </c>
      <c r="AD31">
        <v>0.3277735849056605</v>
      </c>
      <c r="AE31">
        <v>0.21497619047619043</v>
      </c>
      <c r="AF31">
        <v>0.10105218855218862</v>
      </c>
      <c r="AG31">
        <v>0.21077858880778585</v>
      </c>
      <c r="AH31">
        <v>0.15289537712895374</v>
      </c>
      <c r="AI31">
        <v>9.5831305758312987E-2</v>
      </c>
      <c r="AJ31">
        <v>0.25975925925925908</v>
      </c>
      <c r="AK31">
        <v>0.3600841750841749</v>
      </c>
      <c r="AL31">
        <v>0.54651515151515151</v>
      </c>
      <c r="AM31">
        <v>0.3711010101010101</v>
      </c>
      <c r="AN31">
        <v>0.61025341130604283</v>
      </c>
      <c r="AO31">
        <v>0.85882936507936491</v>
      </c>
      <c r="AP31">
        <v>0.39287356321839073</v>
      </c>
      <c r="AQ31">
        <v>0.28342118863049087</v>
      </c>
      <c r="AR31">
        <v>0.27319999999999994</v>
      </c>
      <c r="AS31">
        <v>0.10153594771241822</v>
      </c>
      <c r="AT31">
        <v>0.32858796296296289</v>
      </c>
      <c r="AU31">
        <v>0.23824074074074064</v>
      </c>
      <c r="AV31">
        <v>0.25060185185185208</v>
      </c>
    </row>
    <row r="32" spans="1:48">
      <c r="A32" s="1">
        <v>31</v>
      </c>
      <c r="B32" s="1">
        <v>1</v>
      </c>
      <c r="C32" s="1">
        <v>0</v>
      </c>
      <c r="D32" s="1">
        <v>0</v>
      </c>
      <c r="E32" s="1">
        <v>1</v>
      </c>
      <c r="F32" s="1">
        <v>3</v>
      </c>
      <c r="G32" s="1">
        <v>6</v>
      </c>
      <c r="H32" s="1">
        <v>1</v>
      </c>
      <c r="I32" s="1">
        <v>1</v>
      </c>
      <c r="J32" s="1">
        <v>1</v>
      </c>
      <c r="K32">
        <v>4.3317391304347835E-2</v>
      </c>
      <c r="L32">
        <v>5.3939130434782635E-2</v>
      </c>
      <c r="M32">
        <v>4.2728571428571428E-2</v>
      </c>
      <c r="N32">
        <v>4.7291666666666676E-2</v>
      </c>
      <c r="O32">
        <v>4.4418181818181794E-2</v>
      </c>
      <c r="P32">
        <v>4.1363636363636373E-2</v>
      </c>
      <c r="Q32">
        <v>4.6831818181818204E-2</v>
      </c>
      <c r="R32">
        <v>4.5791666666666675E-2</v>
      </c>
      <c r="S32">
        <f t="shared" si="0"/>
        <v>4.4976325757575764E-2</v>
      </c>
      <c r="T32">
        <f t="shared" si="1"/>
        <v>-8.1534090909091139E-4</v>
      </c>
      <c r="U32">
        <v>4.0541666666666677E-2</v>
      </c>
      <c r="V32">
        <v>5.1357142857142837E-2</v>
      </c>
      <c r="W32">
        <v>0.67699775533108852</v>
      </c>
      <c r="X32">
        <v>0.58964285714285702</v>
      </c>
      <c r="Y32">
        <v>0.55763756613756621</v>
      </c>
      <c r="Z32">
        <v>0.77761904761904788</v>
      </c>
      <c r="AA32">
        <v>0.37418488888888901</v>
      </c>
      <c r="AB32">
        <v>0.31357349537037038</v>
      </c>
      <c r="AC32">
        <v>0.28793671624380279</v>
      </c>
      <c r="AD32">
        <v>0.29818588399720475</v>
      </c>
      <c r="AE32">
        <v>0.16946825396825391</v>
      </c>
      <c r="AF32">
        <v>0.10277356902356899</v>
      </c>
      <c r="AG32">
        <v>0.18566639632333062</v>
      </c>
      <c r="AH32">
        <v>0.15669910786699107</v>
      </c>
      <c r="AI32">
        <v>0.19819275479859427</v>
      </c>
      <c r="AJ32">
        <v>0.23426234567901219</v>
      </c>
      <c r="AK32">
        <v>0.3644304152637487</v>
      </c>
      <c r="AL32">
        <v>0.52467171717171723</v>
      </c>
      <c r="AM32">
        <v>0.41966498316498324</v>
      </c>
      <c r="AN32">
        <v>0.47364359974009096</v>
      </c>
      <c r="AO32">
        <v>0.45284193121693134</v>
      </c>
      <c r="AP32">
        <v>0.33182072158365261</v>
      </c>
      <c r="AQ32">
        <v>0.2479052540913006</v>
      </c>
      <c r="AR32">
        <v>0.25628518518518506</v>
      </c>
      <c r="AS32">
        <v>0.11396514161220038</v>
      </c>
      <c r="AT32">
        <v>0.24088734567901227</v>
      </c>
      <c r="AU32">
        <v>0.19683449074074072</v>
      </c>
      <c r="AV32">
        <v>0.30501350308641967</v>
      </c>
    </row>
    <row r="33" spans="1:48">
      <c r="A33" s="1">
        <v>32</v>
      </c>
      <c r="B33" s="1">
        <v>1</v>
      </c>
      <c r="C33" s="1">
        <v>1</v>
      </c>
      <c r="D33" s="1">
        <v>1</v>
      </c>
      <c r="E33" s="1">
        <v>1</v>
      </c>
      <c r="F33" s="1">
        <v>13</v>
      </c>
      <c r="G33" s="1">
        <v>6</v>
      </c>
      <c r="H33" s="1">
        <v>3</v>
      </c>
      <c r="I33" s="1">
        <v>1</v>
      </c>
      <c r="J33" s="1">
        <v>5</v>
      </c>
      <c r="K33">
        <v>3.9482608695652177E-2</v>
      </c>
      <c r="L33">
        <v>4.7117391304347819E-2</v>
      </c>
      <c r="M33">
        <v>3.9423809523809528E-2</v>
      </c>
      <c r="N33">
        <v>4.740833333333333E-2</v>
      </c>
      <c r="O33">
        <v>4.6354545454545454E-2</v>
      </c>
      <c r="P33">
        <v>5.9513636363636359E-2</v>
      </c>
      <c r="Q33">
        <v>5.4640909090909101E-2</v>
      </c>
      <c r="R33">
        <v>4.4716666666666662E-2</v>
      </c>
      <c r="S33">
        <f t="shared" si="0"/>
        <v>5.1979356060606059E-2</v>
      </c>
      <c r="T33">
        <f t="shared" si="1"/>
        <v>7.2626893939393977E-3</v>
      </c>
      <c r="U33">
        <v>4.4995833333333346E-2</v>
      </c>
      <c r="V33">
        <v>5.2719047619047617E-2</v>
      </c>
      <c r="W33">
        <v>0.32749719416386081</v>
      </c>
      <c r="X33">
        <v>0.43142857142857149</v>
      </c>
      <c r="Y33">
        <v>0.43110052910052932</v>
      </c>
      <c r="Z33">
        <v>0.51666666666666672</v>
      </c>
      <c r="AA33">
        <v>0.24435911111111117</v>
      </c>
      <c r="AB33">
        <v>0.204681712962963</v>
      </c>
      <c r="AC33">
        <v>0.1877456984543599</v>
      </c>
      <c r="AD33">
        <v>0.2617134870719775</v>
      </c>
      <c r="AE33">
        <v>4.3174603174603076E-3</v>
      </c>
      <c r="AF33">
        <v>0.11840067340067333</v>
      </c>
      <c r="AG33">
        <v>0.15905379832387137</v>
      </c>
      <c r="AH33">
        <v>0.14483373884833736</v>
      </c>
      <c r="AI33">
        <v>0.19722087050554207</v>
      </c>
      <c r="AJ33">
        <v>7.3765432098765335E-2</v>
      </c>
      <c r="AK33">
        <v>0.3142312008978676</v>
      </c>
      <c r="AL33">
        <v>0.33646464646464652</v>
      </c>
      <c r="AM33">
        <v>0.27459259259259272</v>
      </c>
      <c r="AN33">
        <v>0.29353476283300856</v>
      </c>
      <c r="AO33">
        <v>0.31077116402116411</v>
      </c>
      <c r="AP33">
        <v>0.19120370370370368</v>
      </c>
      <c r="AQ33">
        <v>0.2781257536606373</v>
      </c>
      <c r="AR33">
        <v>3.6281481481481491E-2</v>
      </c>
      <c r="AS33">
        <v>0.12740740740740739</v>
      </c>
      <c r="AT33">
        <v>0.29064043209876544</v>
      </c>
      <c r="AU33">
        <v>0.14134259259259263</v>
      </c>
      <c r="AV33">
        <v>0.30989969135802459</v>
      </c>
    </row>
    <row r="34" spans="1:48">
      <c r="A34" s="1">
        <v>33</v>
      </c>
      <c r="B34" s="1">
        <v>0</v>
      </c>
      <c r="C34" s="1">
        <v>1</v>
      </c>
      <c r="D34" s="1">
        <v>1</v>
      </c>
      <c r="E34" s="1">
        <v>0</v>
      </c>
      <c r="F34" s="1">
        <v>12</v>
      </c>
      <c r="G34" s="1">
        <v>6</v>
      </c>
      <c r="H34" s="1">
        <v>2</v>
      </c>
      <c r="I34" s="1">
        <v>1</v>
      </c>
      <c r="J34" s="1">
        <v>4</v>
      </c>
      <c r="K34">
        <v>4.5430434782608706E-2</v>
      </c>
      <c r="L34">
        <v>4.7256521739130454E-2</v>
      </c>
      <c r="M34">
        <v>4.5447619047619077E-2</v>
      </c>
      <c r="N34">
        <v>3.6262499999999996E-2</v>
      </c>
      <c r="O34">
        <v>3.4499999999999975E-2</v>
      </c>
      <c r="P34">
        <v>3.5363636363636368E-2</v>
      </c>
      <c r="Q34">
        <v>4.0895454545454554E-2</v>
      </c>
      <c r="R34">
        <v>3.5450000000000002E-2</v>
      </c>
      <c r="S34">
        <f t="shared" si="0"/>
        <v>3.6755397727272723E-2</v>
      </c>
      <c r="T34">
        <f t="shared" si="1"/>
        <v>1.305397727272721E-3</v>
      </c>
      <c r="U34">
        <v>3.4479166666666651E-2</v>
      </c>
      <c r="V34">
        <v>5.0028571428571415E-2</v>
      </c>
      <c r="W34">
        <v>0.54163299663299658</v>
      </c>
      <c r="X34">
        <v>0.16464285714285712</v>
      </c>
      <c r="Y34">
        <v>0.41313492063492074</v>
      </c>
      <c r="Z34">
        <v>0.51714285714285713</v>
      </c>
      <c r="AA34">
        <v>0.4529555555555555</v>
      </c>
      <c r="AB34">
        <v>0.24016927083333334</v>
      </c>
      <c r="AC34">
        <v>0.1113735783027122</v>
      </c>
      <c r="AD34">
        <v>0.34056603773584915</v>
      </c>
      <c r="AE34">
        <v>0.32505952380952369</v>
      </c>
      <c r="AF34">
        <v>0.15570286195286201</v>
      </c>
      <c r="AG34">
        <v>0.35626520681265211</v>
      </c>
      <c r="AH34">
        <v>0.26703163017031639</v>
      </c>
      <c r="AI34">
        <v>0.17575020275750214</v>
      </c>
      <c r="AJ34">
        <v>0.14426851851851855</v>
      </c>
      <c r="AK34">
        <v>0.29039562289562293</v>
      </c>
      <c r="AL34">
        <v>1.2918939393939395</v>
      </c>
      <c r="AM34">
        <v>0.29770202020202025</v>
      </c>
      <c r="AN34">
        <v>0.37612085769980497</v>
      </c>
      <c r="AO34">
        <v>0.55203373015873014</v>
      </c>
      <c r="AP34">
        <v>0.10962643678160919</v>
      </c>
      <c r="AQ34">
        <v>0.27144702842377261</v>
      </c>
      <c r="AR34">
        <v>0.47</v>
      </c>
      <c r="AS34">
        <v>0.1647875816993464</v>
      </c>
      <c r="AT34">
        <v>0.5191550925925924</v>
      </c>
      <c r="AU34">
        <v>0.32991898148148152</v>
      </c>
      <c r="AV34">
        <v>0.4427662037037039</v>
      </c>
    </row>
    <row r="35" spans="1:48">
      <c r="A35" s="1">
        <v>34</v>
      </c>
      <c r="B35" s="1">
        <v>0</v>
      </c>
      <c r="C35" s="1">
        <v>1</v>
      </c>
      <c r="D35" s="1">
        <v>1</v>
      </c>
      <c r="E35" s="1">
        <v>1</v>
      </c>
      <c r="F35" s="1">
        <v>10</v>
      </c>
      <c r="G35" s="1">
        <v>6</v>
      </c>
      <c r="H35" s="1">
        <v>2</v>
      </c>
      <c r="I35" s="1">
        <v>1</v>
      </c>
      <c r="J35" s="1">
        <v>4</v>
      </c>
      <c r="K35">
        <v>3.8321739130434775E-2</v>
      </c>
      <c r="L35">
        <v>4.7047826086956547E-2</v>
      </c>
      <c r="M35">
        <v>5.7738095238095255E-2</v>
      </c>
      <c r="N35">
        <v>4.4108333333333326E-2</v>
      </c>
      <c r="O35">
        <v>3.7799999999999993E-2</v>
      </c>
      <c r="P35">
        <v>4.6559090909090918E-2</v>
      </c>
      <c r="Q35">
        <v>4.6209090909090908E-2</v>
      </c>
      <c r="R35">
        <v>4.0704166666666673E-2</v>
      </c>
      <c r="S35">
        <f t="shared" si="0"/>
        <v>4.3669128787878791E-2</v>
      </c>
      <c r="T35">
        <f t="shared" si="1"/>
        <v>2.9649621212121183E-3</v>
      </c>
      <c r="U35">
        <v>4.2170833333333345E-2</v>
      </c>
      <c r="V35">
        <v>5.1300000000000005E-2</v>
      </c>
      <c r="W35">
        <v>0.82667789001122283</v>
      </c>
      <c r="X35">
        <v>0.27214285714285719</v>
      </c>
      <c r="Y35">
        <v>0.24088359788359792</v>
      </c>
      <c r="Z35">
        <v>0.40761904761904777</v>
      </c>
      <c r="AA35">
        <v>0.27830755555555559</v>
      </c>
      <c r="AB35">
        <v>0.20799189814814822</v>
      </c>
      <c r="AC35">
        <v>0.16531641878098566</v>
      </c>
      <c r="AD35">
        <v>0.21518378756114606</v>
      </c>
      <c r="AE35">
        <v>0.1118730158730159</v>
      </c>
      <c r="AF35">
        <v>0.10647306397306396</v>
      </c>
      <c r="AG35">
        <v>0.18977020816436879</v>
      </c>
      <c r="AH35">
        <v>0.17657745336577457</v>
      </c>
      <c r="AI35">
        <v>0.19016761286834291</v>
      </c>
      <c r="AJ35">
        <v>0.23177160493827137</v>
      </c>
      <c r="AK35">
        <v>0.2411054994388328</v>
      </c>
      <c r="AL35">
        <v>0.26368686868686858</v>
      </c>
      <c r="AM35">
        <v>0.17262962962962966</v>
      </c>
      <c r="AN35">
        <v>0.34472059779077319</v>
      </c>
      <c r="AO35">
        <v>0.35609391534391538</v>
      </c>
      <c r="AP35">
        <v>0.18065932311621963</v>
      </c>
      <c r="AQ35">
        <v>0.2101946597760552</v>
      </c>
      <c r="AR35">
        <v>0.21227407407407411</v>
      </c>
      <c r="AS35">
        <v>0.10331154684095867</v>
      </c>
      <c r="AT35">
        <v>0.27452160493827149</v>
      </c>
      <c r="AU35">
        <v>0.22306712962962966</v>
      </c>
      <c r="AV35">
        <v>0.31758873456790121</v>
      </c>
    </row>
    <row r="36" spans="1:48">
      <c r="A36" s="1">
        <v>35</v>
      </c>
      <c r="B36" s="1">
        <v>1</v>
      </c>
      <c r="C36" s="1">
        <v>1</v>
      </c>
      <c r="D36" s="1">
        <v>0</v>
      </c>
      <c r="E36" s="1">
        <v>1</v>
      </c>
      <c r="F36" s="1">
        <v>8</v>
      </c>
      <c r="G36" s="1">
        <v>6</v>
      </c>
      <c r="H36" s="1">
        <v>2</v>
      </c>
      <c r="I36" s="1">
        <v>1</v>
      </c>
      <c r="J36" s="1">
        <v>3</v>
      </c>
      <c r="K36">
        <v>3.8204347826086948E-2</v>
      </c>
      <c r="L36">
        <v>5.2443478260869564E-2</v>
      </c>
      <c r="M36">
        <v>4.6523809523809516E-2</v>
      </c>
      <c r="N36">
        <v>3.9916666666666656E-2</v>
      </c>
      <c r="O36">
        <v>4.360909090909091E-2</v>
      </c>
      <c r="P36">
        <v>4.7649999999999991E-2</v>
      </c>
      <c r="Q36">
        <v>5.1945454545454559E-2</v>
      </c>
      <c r="R36">
        <v>3.7099999999999987E-2</v>
      </c>
      <c r="S36">
        <f t="shared" si="0"/>
        <v>4.5780303030303032E-2</v>
      </c>
      <c r="T36">
        <f t="shared" si="1"/>
        <v>8.6803030303030451E-3</v>
      </c>
      <c r="U36">
        <v>3.7812499999999999E-2</v>
      </c>
      <c r="V36">
        <v>5.27142857142857E-2</v>
      </c>
      <c r="W36">
        <v>0.59535914702581361</v>
      </c>
      <c r="X36">
        <v>0.57678571428571423</v>
      </c>
      <c r="Y36">
        <v>0.4472037037037036</v>
      </c>
      <c r="Z36">
        <v>0.70666666666666644</v>
      </c>
      <c r="AA36">
        <v>-2.0318222222222248E-2</v>
      </c>
      <c r="AB36">
        <v>0.12878761574074074</v>
      </c>
      <c r="AC36">
        <v>0.21788130650335383</v>
      </c>
      <c r="AD36">
        <v>0.3062585604472397</v>
      </c>
      <c r="AE36">
        <v>0.21743650793650796</v>
      </c>
      <c r="AF36">
        <v>0.15619107744107746</v>
      </c>
      <c r="AG36">
        <v>0.32009191673425247</v>
      </c>
      <c r="AH36">
        <v>0.28296025952960258</v>
      </c>
      <c r="AI36">
        <v>0.28773587456069205</v>
      </c>
      <c r="AJ36">
        <v>0.13427469135802461</v>
      </c>
      <c r="AK36">
        <v>0.30454264870931558</v>
      </c>
      <c r="AL36">
        <v>0.46184343434343444</v>
      </c>
      <c r="AM36">
        <v>0.34482996632996626</v>
      </c>
      <c r="AN36">
        <v>0.31110298895386618</v>
      </c>
      <c r="AO36">
        <v>0.19616600529100525</v>
      </c>
      <c r="AP36">
        <v>0.19607678799489145</v>
      </c>
      <c r="AQ36">
        <v>0.23111283376399649</v>
      </c>
      <c r="AR36">
        <v>0.30327037037037041</v>
      </c>
      <c r="AS36">
        <v>0.16871459694989119</v>
      </c>
      <c r="AT36">
        <v>0.46073302469135791</v>
      </c>
      <c r="AU36">
        <v>0.34257523148148156</v>
      </c>
      <c r="AV36">
        <v>0.4755999228395062</v>
      </c>
    </row>
    <row r="37" spans="1:48">
      <c r="A37" s="1">
        <v>36</v>
      </c>
      <c r="B37" s="1">
        <v>1</v>
      </c>
      <c r="C37" s="1">
        <v>1</v>
      </c>
      <c r="D37" s="1">
        <v>1</v>
      </c>
      <c r="E37" s="1">
        <v>1</v>
      </c>
      <c r="F37" s="1">
        <v>20</v>
      </c>
      <c r="G37" s="1">
        <v>18</v>
      </c>
      <c r="H37" s="1">
        <v>3</v>
      </c>
      <c r="I37" s="1">
        <v>1</v>
      </c>
      <c r="J37" s="1">
        <v>6</v>
      </c>
      <c r="K37">
        <v>3.546521739130435E-2</v>
      </c>
      <c r="L37">
        <v>4.9786956521739138E-2</v>
      </c>
      <c r="M37">
        <v>4.7247619047619066E-2</v>
      </c>
      <c r="N37">
        <v>4.6983333333333321E-2</v>
      </c>
      <c r="O37">
        <v>4.8318181818181809E-2</v>
      </c>
      <c r="P37">
        <v>4.3231818181818177E-2</v>
      </c>
      <c r="Q37">
        <v>4.5354545454545467E-2</v>
      </c>
      <c r="R37">
        <v>3.78E-2</v>
      </c>
      <c r="S37">
        <f t="shared" si="0"/>
        <v>4.5971969696969692E-2</v>
      </c>
      <c r="T37">
        <f t="shared" si="1"/>
        <v>8.1719696969696914E-3</v>
      </c>
      <c r="U37">
        <v>3.9008333333333312E-2</v>
      </c>
      <c r="V37">
        <v>5.0766666666666647E-2</v>
      </c>
      <c r="W37">
        <v>0.68404040404040412</v>
      </c>
      <c r="X37">
        <v>0.50285714285714278</v>
      </c>
      <c r="Y37">
        <v>0.46209523809523795</v>
      </c>
      <c r="Z37">
        <v>0.9</v>
      </c>
      <c r="AA37">
        <v>-4.4544000000000035E-2</v>
      </c>
      <c r="AB37">
        <v>0.15348958333333332</v>
      </c>
      <c r="AC37">
        <v>0.30036745406824156</v>
      </c>
      <c r="AD37">
        <v>0.3799748427672956</v>
      </c>
      <c r="AE37">
        <v>0.30799999999999994</v>
      </c>
      <c r="AF37">
        <v>0.15136363636363626</v>
      </c>
      <c r="AG37">
        <v>0.27523114355231137</v>
      </c>
      <c r="AH37">
        <v>0.21635036496350363</v>
      </c>
      <c r="AI37">
        <v>0.19771289537712891</v>
      </c>
      <c r="AJ37">
        <v>5.17777777777777E-2</v>
      </c>
      <c r="AK37">
        <v>0.38161616161616169</v>
      </c>
      <c r="AL37">
        <v>0.54909090909090896</v>
      </c>
      <c r="AM37">
        <v>0.40521212121212113</v>
      </c>
      <c r="AN37">
        <v>0.45730994152046778</v>
      </c>
      <c r="AO37">
        <v>0.27820238095238092</v>
      </c>
      <c r="AP37">
        <v>0.20632183908045978</v>
      </c>
      <c r="AQ37">
        <v>0.23528682170542639</v>
      </c>
      <c r="AR37">
        <v>0.40226666666666661</v>
      </c>
      <c r="AS37">
        <v>0.14098039215686273</v>
      </c>
      <c r="AT37">
        <v>0.39798611111111104</v>
      </c>
      <c r="AU37">
        <v>0.29958333333333337</v>
      </c>
      <c r="AV37">
        <v>0.35652777777777778</v>
      </c>
    </row>
    <row r="38" spans="1:48">
      <c r="A38" s="1">
        <v>37</v>
      </c>
      <c r="B38" s="1">
        <v>1</v>
      </c>
      <c r="C38" s="1">
        <v>1</v>
      </c>
      <c r="D38" s="1">
        <v>1</v>
      </c>
      <c r="E38" s="1">
        <v>1</v>
      </c>
      <c r="F38" s="1">
        <v>23</v>
      </c>
      <c r="G38" s="1">
        <v>18</v>
      </c>
      <c r="H38" s="1">
        <v>3</v>
      </c>
      <c r="I38" s="1">
        <v>1</v>
      </c>
      <c r="J38" s="1">
        <v>6</v>
      </c>
      <c r="K38">
        <v>3.6056521739130432E-2</v>
      </c>
      <c r="L38">
        <v>4.6652173913043458E-2</v>
      </c>
      <c r="M38">
        <v>4.1780952380952391E-2</v>
      </c>
      <c r="N38">
        <v>3.8350000000000016E-2</v>
      </c>
      <c r="O38">
        <v>4.8318181818181809E-2</v>
      </c>
      <c r="P38">
        <v>3.5977272727272733E-2</v>
      </c>
      <c r="Q38">
        <v>4.2409090909090903E-2</v>
      </c>
      <c r="R38">
        <v>3.6125000000000018E-2</v>
      </c>
      <c r="S38">
        <f t="shared" si="0"/>
        <v>4.1263636363636363E-2</v>
      </c>
      <c r="T38">
        <f t="shared" si="1"/>
        <v>5.1386363636363452E-3</v>
      </c>
      <c r="U38">
        <v>3.1887499999999992E-2</v>
      </c>
      <c r="V38">
        <v>3.783809523809524E-2</v>
      </c>
      <c r="W38">
        <v>0.66181257014590367</v>
      </c>
      <c r="X38">
        <v>0.36607142857142855</v>
      </c>
      <c r="Y38">
        <v>0.43841534391534359</v>
      </c>
      <c r="Z38">
        <v>0.80333333333333357</v>
      </c>
      <c r="AA38">
        <v>-3.2769777777777807E-2</v>
      </c>
      <c r="AB38">
        <v>0.13131655092592592</v>
      </c>
      <c r="AC38">
        <v>0.12931029454651505</v>
      </c>
      <c r="AD38">
        <v>0.16463452131376663</v>
      </c>
      <c r="AE38">
        <v>0.20856349206349206</v>
      </c>
      <c r="AF38">
        <v>0.17532407407407416</v>
      </c>
      <c r="AG38">
        <v>0.22745066234117331</v>
      </c>
      <c r="AH38">
        <v>0.18112733171127327</v>
      </c>
      <c r="AI38">
        <v>0.15075560962422282</v>
      </c>
      <c r="AJ38">
        <v>0.14628086419753092</v>
      </c>
      <c r="AK38">
        <v>0.31868967452300789</v>
      </c>
      <c r="AL38">
        <v>0.45542929292929268</v>
      </c>
      <c r="AM38">
        <v>0.37286700336700335</v>
      </c>
      <c r="AN38">
        <v>0.36053443794671858</v>
      </c>
      <c r="AO38">
        <v>0.256667328042328</v>
      </c>
      <c r="AP38">
        <v>0.1105324074074074</v>
      </c>
      <c r="AQ38">
        <v>0.22643755383290268</v>
      </c>
      <c r="AR38">
        <v>0.25026296296296291</v>
      </c>
      <c r="AS38">
        <v>0.18775599128540305</v>
      </c>
      <c r="AT38">
        <v>0.33315586419753096</v>
      </c>
      <c r="AU38">
        <v>0.26700810185185186</v>
      </c>
      <c r="AV38">
        <v>0.27391396604938278</v>
      </c>
    </row>
    <row r="39" spans="1:48">
      <c r="A39" s="1">
        <v>38</v>
      </c>
      <c r="B39" s="1">
        <v>0</v>
      </c>
      <c r="C39" s="1">
        <v>1</v>
      </c>
      <c r="D39" s="1">
        <v>0</v>
      </c>
      <c r="E39" s="1">
        <v>1</v>
      </c>
      <c r="F39" s="1">
        <v>4</v>
      </c>
      <c r="G39" s="1">
        <v>6</v>
      </c>
      <c r="H39" s="1">
        <v>1</v>
      </c>
      <c r="I39" s="1">
        <v>1</v>
      </c>
      <c r="J39" s="1">
        <v>2</v>
      </c>
      <c r="K39">
        <v>4.5973913043478254E-2</v>
      </c>
      <c r="L39">
        <v>4.9973913043478244E-2</v>
      </c>
      <c r="M39">
        <v>4.7200000000000006E-2</v>
      </c>
      <c r="N39">
        <v>4.9099999999999998E-2</v>
      </c>
      <c r="O39">
        <v>5.5459090909090888E-2</v>
      </c>
      <c r="P39">
        <v>4.8895454545454541E-2</v>
      </c>
      <c r="Q39">
        <v>5.535909090909092E-2</v>
      </c>
      <c r="R39">
        <v>4.8708333333333333E-2</v>
      </c>
      <c r="S39">
        <f t="shared" si="0"/>
        <v>5.2203409090909085E-2</v>
      </c>
      <c r="T39">
        <f t="shared" si="1"/>
        <v>3.4950757575757524E-3</v>
      </c>
      <c r="U39">
        <v>4.6116666666666674E-2</v>
      </c>
      <c r="V39">
        <v>5.5714285714285709E-2</v>
      </c>
      <c r="W39">
        <v>0.57413019079685768</v>
      </c>
      <c r="X39">
        <v>0.48357142857142854</v>
      </c>
      <c r="Y39">
        <v>0.51330687830687849</v>
      </c>
      <c r="Z39">
        <v>0.74238095238095247</v>
      </c>
      <c r="AA39">
        <v>0.44540444444444438</v>
      </c>
      <c r="AB39">
        <v>0.31617476851851845</v>
      </c>
      <c r="AC39">
        <v>0.27006415864683581</v>
      </c>
      <c r="AD39">
        <v>0.3175960866526904</v>
      </c>
      <c r="AE39">
        <v>0.19198412698412692</v>
      </c>
      <c r="AF39">
        <v>0.10382996632996636</v>
      </c>
      <c r="AG39">
        <v>0.13733441470667748</v>
      </c>
      <c r="AH39">
        <v>9.6269261962692573E-2</v>
      </c>
      <c r="AI39">
        <v>0.10160854284941881</v>
      </c>
      <c r="AJ39">
        <v>0.16478395061728399</v>
      </c>
      <c r="AK39">
        <v>0.40576318742985412</v>
      </c>
      <c r="AL39">
        <v>0.29085858585858593</v>
      </c>
      <c r="AM39">
        <v>0.3741582491582493</v>
      </c>
      <c r="AN39">
        <v>0.48217998700454839</v>
      </c>
      <c r="AO39">
        <v>0.4753108465608466</v>
      </c>
      <c r="AP39">
        <v>0.29836366538952752</v>
      </c>
      <c r="AQ39">
        <v>0.23712316968130923</v>
      </c>
      <c r="AR39">
        <v>0.2412592592592592</v>
      </c>
      <c r="AS39">
        <v>6.8845315904139309E-2</v>
      </c>
      <c r="AT39">
        <v>0.23290895061728398</v>
      </c>
      <c r="AU39">
        <v>0.13755787037037032</v>
      </c>
      <c r="AV39">
        <v>0.19442515432098767</v>
      </c>
    </row>
    <row r="40" spans="1:48">
      <c r="A40" s="1">
        <v>39</v>
      </c>
      <c r="B40" s="1">
        <v>1</v>
      </c>
      <c r="C40" s="1">
        <v>1</v>
      </c>
      <c r="D40" s="1">
        <v>1</v>
      </c>
      <c r="E40" s="1">
        <v>1</v>
      </c>
      <c r="F40" s="1">
        <v>22</v>
      </c>
      <c r="G40" s="1">
        <v>18</v>
      </c>
      <c r="H40" s="1">
        <v>3</v>
      </c>
      <c r="I40" s="1">
        <v>1</v>
      </c>
      <c r="J40" s="1">
        <v>6</v>
      </c>
      <c r="K40">
        <v>4.2478260869565208E-2</v>
      </c>
      <c r="L40">
        <v>4.0821739130434798E-2</v>
      </c>
      <c r="M40">
        <v>4.6385714285714287E-2</v>
      </c>
      <c r="N40">
        <v>4.4445833333333316E-2</v>
      </c>
      <c r="O40">
        <v>4.4340909090909104E-2</v>
      </c>
      <c r="P40">
        <v>4.0586363636363636E-2</v>
      </c>
      <c r="Q40">
        <v>4.2627272727272715E-2</v>
      </c>
      <c r="R40">
        <v>3.5858333333333346E-2</v>
      </c>
      <c r="S40">
        <f t="shared" si="0"/>
        <v>4.3000094696969693E-2</v>
      </c>
      <c r="T40">
        <f t="shared" si="1"/>
        <v>7.1417613636363467E-3</v>
      </c>
      <c r="U40">
        <v>3.3520833333333368E-2</v>
      </c>
      <c r="V40">
        <v>4.1409523809523799E-2</v>
      </c>
      <c r="W40">
        <v>0.56099326599326593</v>
      </c>
      <c r="X40">
        <v>0.44107142857142861</v>
      </c>
      <c r="Y40">
        <v>0.47248412698412701</v>
      </c>
      <c r="Z40">
        <v>0.81571428571428561</v>
      </c>
      <c r="AA40">
        <v>-2.762133333333331E-2</v>
      </c>
      <c r="AB40">
        <v>0.13306423611111109</v>
      </c>
      <c r="AC40">
        <v>0.27538495188101486</v>
      </c>
      <c r="AD40">
        <v>0.41093501048218029</v>
      </c>
      <c r="AE40">
        <v>0.25969047619047625</v>
      </c>
      <c r="AF40">
        <v>0.17400252525252521</v>
      </c>
      <c r="AG40">
        <v>0.21218167072181679</v>
      </c>
      <c r="AH40">
        <v>0.17272506082725061</v>
      </c>
      <c r="AI40">
        <v>0.16924979724249797</v>
      </c>
      <c r="AJ40">
        <v>0.14728703703703711</v>
      </c>
      <c r="AK40">
        <v>0.38647306397306397</v>
      </c>
      <c r="AL40">
        <v>0.5508333333333334</v>
      </c>
      <c r="AM40">
        <v>0.38635858585858573</v>
      </c>
      <c r="AN40">
        <v>0.43189571150097461</v>
      </c>
      <c r="AO40">
        <v>0.31895436507936514</v>
      </c>
      <c r="AP40">
        <v>0.27326388888888886</v>
      </c>
      <c r="AQ40">
        <v>0.2747855297157622</v>
      </c>
      <c r="AR40">
        <v>0.38725555555555558</v>
      </c>
      <c r="AS40">
        <v>0.16562091503267989</v>
      </c>
      <c r="AT40">
        <v>0.34932870370370372</v>
      </c>
      <c r="AU40">
        <v>0.25081597222222235</v>
      </c>
      <c r="AV40">
        <v>0.27326967592592588</v>
      </c>
    </row>
    <row r="41" spans="1:48">
      <c r="A41" s="1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>
        <v>4.1073913043478266E-2</v>
      </c>
      <c r="L41">
        <v>4.4417391304347839E-2</v>
      </c>
      <c r="M41">
        <v>3.860952380952383E-2</v>
      </c>
      <c r="N41">
        <v>4.2874999999999976E-2</v>
      </c>
      <c r="O41">
        <v>4.8104545454545476E-2</v>
      </c>
      <c r="P41">
        <v>4.0627272727272734E-2</v>
      </c>
      <c r="Q41">
        <v>4.1863636363636374E-2</v>
      </c>
      <c r="R41">
        <v>3.3541666666666671E-2</v>
      </c>
      <c r="S41">
        <f t="shared" si="0"/>
        <v>4.3367613636363642E-2</v>
      </c>
      <c r="T41">
        <f t="shared" si="1"/>
        <v>9.8259469696969706E-3</v>
      </c>
      <c r="U41">
        <v>2.9516666666666674E-2</v>
      </c>
      <c r="V41">
        <v>4.1076190476190454E-2</v>
      </c>
      <c r="W41">
        <v>0.41512906846240161</v>
      </c>
      <c r="X41">
        <v>0.32</v>
      </c>
      <c r="Y41">
        <v>0.3145185185185187</v>
      </c>
      <c r="Z41">
        <v>0.54904761904761912</v>
      </c>
      <c r="AA41">
        <v>0.3419970370370371</v>
      </c>
      <c r="AB41">
        <v>0.2287326388888889</v>
      </c>
      <c r="AC41">
        <v>0.16075823855351415</v>
      </c>
      <c r="AD41">
        <v>0.17544654088050318</v>
      </c>
      <c r="AE41">
        <v>0.21692063492063479</v>
      </c>
      <c r="AF41">
        <v>0.12084736251402912</v>
      </c>
      <c r="AG41">
        <v>0.23709651257096531</v>
      </c>
      <c r="AH41">
        <v>0.17227899432279001</v>
      </c>
      <c r="AI41">
        <v>0.13668018383346855</v>
      </c>
      <c r="AJ41">
        <v>0.1197901234567901</v>
      </c>
      <c r="AK41">
        <v>0.22809203142536472</v>
      </c>
      <c r="AL41">
        <v>0.35262626262626268</v>
      </c>
      <c r="AM41">
        <v>0.27855892255892267</v>
      </c>
      <c r="AN41">
        <v>0.35057179987004555</v>
      </c>
      <c r="AO41">
        <v>0.42308201058201061</v>
      </c>
      <c r="AP41">
        <v>0.2222796934865901</v>
      </c>
      <c r="AQ41">
        <v>0.15823600344530575</v>
      </c>
      <c r="AR41">
        <v>0.26719999999999999</v>
      </c>
      <c r="AS41">
        <v>0.13100217864923747</v>
      </c>
      <c r="AT41">
        <v>0.29332561728395068</v>
      </c>
      <c r="AU41">
        <v>0.26883487654320998</v>
      </c>
      <c r="AV41">
        <v>0.2786496913580247</v>
      </c>
    </row>
    <row r="42" spans="1:48">
      <c r="A42" s="1">
        <v>41</v>
      </c>
      <c r="B42" s="1">
        <v>1</v>
      </c>
      <c r="C42" s="1">
        <v>1</v>
      </c>
      <c r="D42" s="1">
        <v>0</v>
      </c>
      <c r="E42" s="1">
        <v>1</v>
      </c>
      <c r="F42" s="1">
        <v>9</v>
      </c>
      <c r="G42" s="1">
        <v>6</v>
      </c>
      <c r="H42" s="1">
        <v>2</v>
      </c>
      <c r="I42" s="1">
        <v>1</v>
      </c>
      <c r="J42" s="1">
        <v>3</v>
      </c>
      <c r="K42">
        <v>4.0630434782608693E-2</v>
      </c>
      <c r="L42">
        <v>4.8891304347826098E-2</v>
      </c>
      <c r="M42">
        <v>4.2880952380952388E-2</v>
      </c>
      <c r="N42">
        <v>2.8795833333333316E-2</v>
      </c>
      <c r="O42">
        <v>4.7645454545454546E-2</v>
      </c>
      <c r="P42">
        <v>4.1259090909090919E-2</v>
      </c>
      <c r="Q42">
        <v>3.1681818181818186E-2</v>
      </c>
      <c r="R42">
        <v>3.0462500000000003E-2</v>
      </c>
      <c r="S42">
        <f t="shared" si="0"/>
        <v>3.7345549242424239E-2</v>
      </c>
      <c r="T42">
        <f t="shared" si="1"/>
        <v>6.8830492424242357E-3</v>
      </c>
      <c r="U42">
        <v>2.3191666666666649E-2</v>
      </c>
      <c r="V42">
        <v>4.178095238095237E-2</v>
      </c>
      <c r="W42">
        <v>0.72926487093153725</v>
      </c>
      <c r="X42">
        <v>0.44892857142857145</v>
      </c>
      <c r="Y42">
        <v>0.3836957671957672</v>
      </c>
      <c r="Z42">
        <v>0.68952380952380943</v>
      </c>
      <c r="AA42">
        <v>-0.30167288888888888</v>
      </c>
      <c r="AB42">
        <v>1.99681712962963E-2</v>
      </c>
      <c r="AC42">
        <v>1.2798191892680069E-2</v>
      </c>
      <c r="AD42">
        <v>5.6480782669461944E-2</v>
      </c>
      <c r="AE42">
        <v>0.18510317460317458</v>
      </c>
      <c r="AF42">
        <v>0.14389309764309771</v>
      </c>
      <c r="AG42">
        <v>0.2465477155988105</v>
      </c>
      <c r="AH42">
        <v>0.23658556366585554</v>
      </c>
      <c r="AI42">
        <v>0.22716004325493377</v>
      </c>
      <c r="AJ42">
        <v>0.17429320987654293</v>
      </c>
      <c r="AK42">
        <v>0.33607463524130199</v>
      </c>
      <c r="AL42">
        <v>0.57532828282828274</v>
      </c>
      <c r="AM42">
        <v>0.40530471380471378</v>
      </c>
      <c r="AN42">
        <v>0.21641487979207275</v>
      </c>
      <c r="AO42">
        <v>6.2491402116402119E-2</v>
      </c>
      <c r="AP42">
        <v>1.0133301404853117E-2</v>
      </c>
      <c r="AQ42">
        <v>8.4063738156761464E-2</v>
      </c>
      <c r="AR42">
        <v>0.10024814814814813</v>
      </c>
      <c r="AS42">
        <v>0.15230936819172114</v>
      </c>
      <c r="AT42">
        <v>0.2686265432098765</v>
      </c>
      <c r="AU42">
        <v>0.29087384259259269</v>
      </c>
      <c r="AV42">
        <v>0.39658371913580259</v>
      </c>
    </row>
    <row r="43" spans="1:48">
      <c r="A43" s="1">
        <v>42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>
        <v>4.5173913043478245E-2</v>
      </c>
      <c r="L43">
        <v>4.6226086956521743E-2</v>
      </c>
      <c r="M43">
        <v>5.0228571428571435E-2</v>
      </c>
      <c r="N43">
        <v>4.4850000000000001E-2</v>
      </c>
      <c r="O43">
        <v>4.1281818181818197E-2</v>
      </c>
      <c r="P43">
        <v>3.8545454545454542E-2</v>
      </c>
      <c r="Q43">
        <v>3.5449999999999982E-2</v>
      </c>
      <c r="R43">
        <v>3.5454166666666675E-2</v>
      </c>
      <c r="S43">
        <f t="shared" si="0"/>
        <v>4.0031818181818182E-2</v>
      </c>
      <c r="T43">
        <f t="shared" si="1"/>
        <v>4.5776515151515068E-3</v>
      </c>
      <c r="U43">
        <v>3.6379166666666664E-2</v>
      </c>
      <c r="V43">
        <v>4.4238095238095208E-2</v>
      </c>
      <c r="W43">
        <v>0.71976430976430938</v>
      </c>
      <c r="X43">
        <v>0.20071428571428562</v>
      </c>
      <c r="Y43">
        <v>0.17430158730158724</v>
      </c>
      <c r="Z43">
        <v>0.36</v>
      </c>
      <c r="AA43">
        <v>-0.17629866666666666</v>
      </c>
      <c r="AB43">
        <v>8.3732638888888877E-2</v>
      </c>
      <c r="AC43">
        <v>0.14567804024496941</v>
      </c>
      <c r="AD43">
        <v>0.2675555555555556</v>
      </c>
      <c r="AE43">
        <v>0.34780952380952385</v>
      </c>
      <c r="AF43">
        <v>0.25194444444444447</v>
      </c>
      <c r="AG43">
        <v>0.30533657745336584</v>
      </c>
      <c r="AH43">
        <v>0.21231143552311429</v>
      </c>
      <c r="AI43">
        <v>0.13202757502027584</v>
      </c>
      <c r="AJ43">
        <v>0.13379629629629619</v>
      </c>
      <c r="AK43">
        <v>0.19042087542087527</v>
      </c>
      <c r="AL43">
        <v>0.33348484848484844</v>
      </c>
      <c r="AM43">
        <v>0.19659595959595952</v>
      </c>
      <c r="AN43">
        <v>0.24946393762183236</v>
      </c>
      <c r="AO43">
        <v>0.11952777777777777</v>
      </c>
      <c r="AP43">
        <v>0.1065852490421456</v>
      </c>
      <c r="AQ43">
        <v>0.25660981912144715</v>
      </c>
      <c r="AR43">
        <v>0.42124444444444437</v>
      </c>
      <c r="AS43">
        <v>0.2284967320261439</v>
      </c>
      <c r="AT43">
        <v>0.5735879629629631</v>
      </c>
      <c r="AU43">
        <v>0.16246527777777775</v>
      </c>
      <c r="AV43">
        <v>0.30771990740740757</v>
      </c>
    </row>
    <row r="44" spans="1:48">
      <c r="A44" s="1">
        <v>43</v>
      </c>
      <c r="B44" s="1">
        <v>1</v>
      </c>
      <c r="C44" s="1">
        <v>1</v>
      </c>
      <c r="D44" s="1">
        <v>0</v>
      </c>
      <c r="E44" s="1">
        <v>1</v>
      </c>
      <c r="F44" s="1">
        <v>7</v>
      </c>
      <c r="G44" s="1">
        <v>6</v>
      </c>
      <c r="H44" s="1">
        <v>2</v>
      </c>
      <c r="I44" s="1">
        <v>1</v>
      </c>
      <c r="J44" s="1">
        <v>3</v>
      </c>
      <c r="K44">
        <v>3.9704347826086964E-2</v>
      </c>
      <c r="L44">
        <v>5.0421739130434781E-2</v>
      </c>
      <c r="M44">
        <v>4.1419047619047605E-2</v>
      </c>
      <c r="N44">
        <v>4.7020833333333324E-2</v>
      </c>
      <c r="O44">
        <v>4.6222727272727276E-2</v>
      </c>
      <c r="P44">
        <v>4.9786363636363636E-2</v>
      </c>
      <c r="Q44">
        <v>5.3954545454545449E-2</v>
      </c>
      <c r="R44">
        <v>4.1041666666666678E-2</v>
      </c>
      <c r="S44">
        <f t="shared" si="0"/>
        <v>4.9246117424242418E-2</v>
      </c>
      <c r="T44">
        <f t="shared" si="1"/>
        <v>8.2044507575757403E-3</v>
      </c>
      <c r="U44">
        <v>4.1558333333333329E-2</v>
      </c>
      <c r="V44">
        <v>4.3433333333333317E-2</v>
      </c>
      <c r="W44">
        <v>0.72480920314253627</v>
      </c>
      <c r="X44">
        <v>0.43678571428571444</v>
      </c>
      <c r="Y44">
        <v>0.5377645502645505</v>
      </c>
      <c r="Z44">
        <v>0.66333333333333344</v>
      </c>
      <c r="AA44">
        <v>0.30267555555555553</v>
      </c>
      <c r="AB44">
        <v>0.29515335648148139</v>
      </c>
      <c r="AC44">
        <v>0.21084135316418773</v>
      </c>
      <c r="AD44">
        <v>0.28768693221523406</v>
      </c>
      <c r="AE44">
        <v>0.21265873015873016</v>
      </c>
      <c r="AF44">
        <v>0.15848063973063969</v>
      </c>
      <c r="AG44">
        <v>0.16485536631522033</v>
      </c>
      <c r="AH44">
        <v>0.21285482562854835</v>
      </c>
      <c r="AI44">
        <v>0.24127466882941337</v>
      </c>
      <c r="AJ44">
        <v>0.26329938271604919</v>
      </c>
      <c r="AK44">
        <v>0.32658529741863079</v>
      </c>
      <c r="AL44">
        <v>0.52255050505050515</v>
      </c>
      <c r="AM44">
        <v>0.33879629629629643</v>
      </c>
      <c r="AN44">
        <v>0.36496913580246904</v>
      </c>
      <c r="AO44">
        <v>0.41317129629629629</v>
      </c>
      <c r="AP44">
        <v>0.224588920817369</v>
      </c>
      <c r="AQ44">
        <v>0.27380706287683021</v>
      </c>
      <c r="AR44">
        <v>0.28324074074074074</v>
      </c>
      <c r="AS44">
        <v>0.14291938997821349</v>
      </c>
      <c r="AT44">
        <v>0.26292438271604945</v>
      </c>
      <c r="AU44">
        <v>0.2528067129629632</v>
      </c>
      <c r="AV44">
        <v>0.3980227623456789</v>
      </c>
    </row>
    <row r="45" spans="1:48">
      <c r="A45" s="1">
        <v>44</v>
      </c>
      <c r="B45" s="1">
        <v>0</v>
      </c>
      <c r="C45" s="1">
        <v>1</v>
      </c>
      <c r="D45" s="1">
        <v>0</v>
      </c>
      <c r="E45" s="1">
        <v>0</v>
      </c>
      <c r="F45" s="1">
        <v>5</v>
      </c>
      <c r="G45" s="1">
        <v>6</v>
      </c>
      <c r="H45" s="1">
        <v>1</v>
      </c>
      <c r="I45" s="1">
        <v>1</v>
      </c>
      <c r="J45" s="1">
        <v>2</v>
      </c>
      <c r="K45">
        <v>4.7347826086956521E-2</v>
      </c>
      <c r="L45">
        <v>5.6134782608695658E-2</v>
      </c>
      <c r="M45">
        <v>5.385238095238095E-2</v>
      </c>
      <c r="N45">
        <v>3.9608333333333336E-2</v>
      </c>
      <c r="O45">
        <v>4.9068181818181796E-2</v>
      </c>
      <c r="P45">
        <v>4.8822727272727275E-2</v>
      </c>
      <c r="Q45">
        <v>4.3431818181818189E-2</v>
      </c>
      <c r="R45">
        <v>4.4220833333333341E-2</v>
      </c>
      <c r="S45">
        <f t="shared" si="0"/>
        <v>4.5232765151515149E-2</v>
      </c>
      <c r="T45">
        <f t="shared" si="1"/>
        <v>1.0119318181818077E-3</v>
      </c>
      <c r="U45">
        <v>4.4154166666666661E-2</v>
      </c>
      <c r="V45">
        <v>4.3300000000000019E-2</v>
      </c>
      <c r="W45">
        <v>0.54985409652076289</v>
      </c>
      <c r="X45">
        <v>0.16</v>
      </c>
      <c r="Y45">
        <v>0.2969417989417989</v>
      </c>
      <c r="Z45">
        <v>0.50809523809523793</v>
      </c>
      <c r="AA45">
        <v>0.51562074074074071</v>
      </c>
      <c r="AB45">
        <v>0.27387152777777768</v>
      </c>
      <c r="AC45">
        <v>0.18492855059784188</v>
      </c>
      <c r="AD45">
        <v>0.28508176100628957</v>
      </c>
      <c r="AE45">
        <v>0.17869841269841277</v>
      </c>
      <c r="AF45">
        <v>7.1492704826038214E-2</v>
      </c>
      <c r="AG45">
        <v>0.14835360908353618</v>
      </c>
      <c r="AH45">
        <v>0.12032441200324419</v>
      </c>
      <c r="AI45">
        <v>8.630440659637742E-2</v>
      </c>
      <c r="AJ45">
        <v>-3.2197530864197431E-2</v>
      </c>
      <c r="AK45">
        <v>0.2427497194163859</v>
      </c>
      <c r="AL45">
        <v>0.30252525252525247</v>
      </c>
      <c r="AM45">
        <v>0.18736026936026925</v>
      </c>
      <c r="AN45">
        <v>0.37406757634827792</v>
      </c>
      <c r="AO45">
        <v>0.52592592592592602</v>
      </c>
      <c r="AP45">
        <v>0.35438697318007661</v>
      </c>
      <c r="AQ45">
        <v>0.16025495262704573</v>
      </c>
      <c r="AR45">
        <v>0.26160000000000017</v>
      </c>
      <c r="AS45">
        <v>6.8278867102396432E-2</v>
      </c>
      <c r="AT45">
        <v>0.24359567901234577</v>
      </c>
      <c r="AU45">
        <v>0.15669753086419752</v>
      </c>
      <c r="AV45">
        <v>0.21611882716049385</v>
      </c>
    </row>
    <row r="46" spans="1:48">
      <c r="A46" s="1">
        <v>45</v>
      </c>
      <c r="B46" s="1">
        <v>0</v>
      </c>
      <c r="C46" s="1">
        <v>1</v>
      </c>
      <c r="D46" s="1">
        <v>0</v>
      </c>
      <c r="E46" s="1">
        <v>1</v>
      </c>
      <c r="F46" s="1">
        <v>5</v>
      </c>
      <c r="G46" s="1">
        <v>6</v>
      </c>
      <c r="H46" s="1">
        <v>1</v>
      </c>
      <c r="I46" s="1">
        <v>1</v>
      </c>
      <c r="J46" s="1">
        <v>2</v>
      </c>
      <c r="K46">
        <v>4.8817391304347833E-2</v>
      </c>
      <c r="L46">
        <v>4.9747826086956506E-2</v>
      </c>
      <c r="M46">
        <v>4.5766666666666671E-2</v>
      </c>
      <c r="N46">
        <v>4.4091666666666661E-2</v>
      </c>
      <c r="O46">
        <v>4.087272727272729E-2</v>
      </c>
      <c r="P46">
        <v>4.0463636363636368E-2</v>
      </c>
      <c r="Q46">
        <v>5.0513636363636344E-2</v>
      </c>
      <c r="R46">
        <v>4.0058333333333342E-2</v>
      </c>
      <c r="S46">
        <f t="shared" si="0"/>
        <v>4.3985416666666666E-2</v>
      </c>
      <c r="T46">
        <f t="shared" si="1"/>
        <v>3.9270833333333241E-3</v>
      </c>
      <c r="U46">
        <v>3.5870833333333331E-2</v>
      </c>
      <c r="V46">
        <v>4.5366666666666632E-2</v>
      </c>
      <c r="W46">
        <v>0.69671717171717162</v>
      </c>
      <c r="X46">
        <v>0.43178571428571438</v>
      </c>
      <c r="Y46">
        <v>0.4332619047619044</v>
      </c>
      <c r="Z46">
        <v>0.59285714285714286</v>
      </c>
      <c r="AA46">
        <v>0.27662399999999998</v>
      </c>
      <c r="AB46">
        <v>0.31252604166666675</v>
      </c>
      <c r="AC46">
        <v>0.2624278215223097</v>
      </c>
      <c r="AD46">
        <v>0.18681761006289296</v>
      </c>
      <c r="AE46">
        <v>0.10092857142857145</v>
      </c>
      <c r="AF46">
        <v>6.3219696969696995E-2</v>
      </c>
      <c r="AG46">
        <v>0.14739659367396585</v>
      </c>
      <c r="AH46">
        <v>9.0583941605839463E-2</v>
      </c>
      <c r="AI46">
        <v>8.3126520681265276E-2</v>
      </c>
      <c r="AJ46">
        <v>0.26930555555555563</v>
      </c>
      <c r="AK46">
        <v>0.26800505050505063</v>
      </c>
      <c r="AL46">
        <v>0.46795454545454535</v>
      </c>
      <c r="AM46">
        <v>0.387742424242424</v>
      </c>
      <c r="AN46">
        <v>0.41615497076023383</v>
      </c>
      <c r="AO46">
        <v>0.47456547619047618</v>
      </c>
      <c r="AP46">
        <v>0.41145833333333337</v>
      </c>
      <c r="AQ46">
        <v>0.20029457364341058</v>
      </c>
      <c r="AR46">
        <v>0.18923333333333331</v>
      </c>
      <c r="AS46">
        <v>7.7647058823529486E-2</v>
      </c>
      <c r="AT46">
        <v>0.22076388888888893</v>
      </c>
      <c r="AU46">
        <v>0.15848958333333329</v>
      </c>
      <c r="AV46">
        <v>0.18800347222222227</v>
      </c>
    </row>
    <row r="47" spans="1:48">
      <c r="A47" s="1">
        <v>46</v>
      </c>
      <c r="B47" s="1">
        <v>0</v>
      </c>
      <c r="C47" s="1">
        <v>1</v>
      </c>
      <c r="D47" s="1">
        <v>0</v>
      </c>
      <c r="E47" s="1">
        <v>1</v>
      </c>
      <c r="F47" s="1">
        <v>6</v>
      </c>
      <c r="G47" s="1">
        <v>6</v>
      </c>
      <c r="H47" s="1">
        <v>1</v>
      </c>
      <c r="I47" s="1">
        <v>1</v>
      </c>
      <c r="J47" s="1">
        <v>2</v>
      </c>
      <c r="K47">
        <v>4.0404347826086956E-2</v>
      </c>
      <c r="L47">
        <v>4.682608695652174E-2</v>
      </c>
      <c r="M47">
        <v>4.4557142857142865E-2</v>
      </c>
      <c r="N47">
        <v>4.1016666666666667E-2</v>
      </c>
      <c r="O47">
        <v>4.8777272727272718E-2</v>
      </c>
      <c r="P47">
        <v>4.565000000000001E-2</v>
      </c>
      <c r="Q47">
        <v>4.944545454545457E-2</v>
      </c>
      <c r="R47">
        <v>4.7924999999999995E-2</v>
      </c>
      <c r="S47">
        <f t="shared" si="0"/>
        <v>4.6222348484848491E-2</v>
      </c>
      <c r="T47">
        <f t="shared" si="1"/>
        <v>-1.7026515151515043E-3</v>
      </c>
      <c r="U47">
        <v>4.3416666666666659E-2</v>
      </c>
      <c r="V47">
        <v>4.9695238095238077E-2</v>
      </c>
      <c r="W47">
        <v>0.6508529741863075</v>
      </c>
      <c r="X47">
        <v>0.40357142857142847</v>
      </c>
      <c r="Y47">
        <v>0.50243915343915369</v>
      </c>
      <c r="Z47">
        <v>0.6004761904761905</v>
      </c>
      <c r="AA47">
        <v>0.2547982222222222</v>
      </c>
      <c r="AB47">
        <v>0.27472800925925911</v>
      </c>
      <c r="AC47">
        <v>0.19845727617381165</v>
      </c>
      <c r="AD47">
        <v>0.23185464709993009</v>
      </c>
      <c r="AE47">
        <v>0.19649206349206352</v>
      </c>
      <c r="AF47">
        <v>0.10308922558922561</v>
      </c>
      <c r="AG47">
        <v>0.19888618545552852</v>
      </c>
      <c r="AH47">
        <v>0.15317112733171134</v>
      </c>
      <c r="AI47">
        <v>0.19383346850500149</v>
      </c>
      <c r="AJ47">
        <v>0.19480864197530856</v>
      </c>
      <c r="AK47">
        <v>0.30598765432098757</v>
      </c>
      <c r="AL47">
        <v>0.43247474747474757</v>
      </c>
      <c r="AM47">
        <v>0.33267003367003378</v>
      </c>
      <c r="AN47">
        <v>0.33253736192332672</v>
      </c>
      <c r="AO47">
        <v>0.37178042328042327</v>
      </c>
      <c r="AP47">
        <v>0.19928959131545335</v>
      </c>
      <c r="AQ47">
        <v>0.23237553832902683</v>
      </c>
      <c r="AR47">
        <v>0.24222962962962971</v>
      </c>
      <c r="AS47">
        <v>0.12736383442265797</v>
      </c>
      <c r="AT47">
        <v>0.28093364197530873</v>
      </c>
      <c r="AU47">
        <v>0.21653935185185197</v>
      </c>
      <c r="AV47">
        <v>0.28143132716049374</v>
      </c>
    </row>
    <row r="48" spans="1:48">
      <c r="A48" s="1">
        <v>47</v>
      </c>
      <c r="B48" s="1">
        <v>1</v>
      </c>
      <c r="C48" s="1">
        <v>1</v>
      </c>
      <c r="D48" s="1">
        <v>1</v>
      </c>
      <c r="E48" s="1">
        <v>1</v>
      </c>
      <c r="F48" s="1">
        <v>16</v>
      </c>
      <c r="G48" s="1">
        <v>6</v>
      </c>
      <c r="H48" s="1">
        <v>3</v>
      </c>
      <c r="I48" s="1">
        <v>1</v>
      </c>
      <c r="J48" s="1">
        <v>5</v>
      </c>
      <c r="K48">
        <v>4.1208695652173909E-2</v>
      </c>
      <c r="L48">
        <v>5.121739130434784E-2</v>
      </c>
      <c r="M48">
        <v>5.3052380952380976E-2</v>
      </c>
      <c r="N48">
        <v>4.9112500000000003E-2</v>
      </c>
      <c r="O48">
        <v>4.8181818181818166E-2</v>
      </c>
      <c r="P48">
        <v>4.8631818181818186E-2</v>
      </c>
      <c r="Q48">
        <v>3.267272727272727E-2</v>
      </c>
      <c r="R48">
        <v>4.2549999999999998E-2</v>
      </c>
      <c r="S48">
        <f t="shared" si="0"/>
        <v>4.4649715909090906E-2</v>
      </c>
      <c r="T48">
        <f t="shared" si="1"/>
        <v>2.0997159090909087E-3</v>
      </c>
      <c r="U48">
        <v>3.6108333333333333E-2</v>
      </c>
      <c r="V48">
        <v>5.1385714285714285E-2</v>
      </c>
      <c r="W48">
        <v>0.90498877665544342</v>
      </c>
      <c r="X48">
        <v>0.57821428571428568</v>
      </c>
      <c r="Y48">
        <v>0.69304497354497363</v>
      </c>
      <c r="Z48">
        <v>0.83238095238095211</v>
      </c>
      <c r="AA48">
        <v>-6.2275555555554975E-3</v>
      </c>
      <c r="AB48">
        <v>0.24708622685185189</v>
      </c>
      <c r="AC48">
        <v>0.24944736074657328</v>
      </c>
      <c r="AD48">
        <v>0.25123130677847655</v>
      </c>
      <c r="AE48">
        <v>0.21062698412698408</v>
      </c>
      <c r="AF48">
        <v>0.14144360269360273</v>
      </c>
      <c r="AG48">
        <v>0.24599621519329545</v>
      </c>
      <c r="AH48">
        <v>0.23473641524736424</v>
      </c>
      <c r="AI48">
        <v>0.22497837253311703</v>
      </c>
      <c r="AJ48">
        <v>0.21731172839506172</v>
      </c>
      <c r="AK48">
        <v>0.41306116722783398</v>
      </c>
      <c r="AL48">
        <v>0.59517676767676797</v>
      </c>
      <c r="AM48">
        <v>0.41577946127946125</v>
      </c>
      <c r="AN48">
        <v>0.43663905133203396</v>
      </c>
      <c r="AO48">
        <v>0.39667394179894178</v>
      </c>
      <c r="AP48">
        <v>0.25005188378033211</v>
      </c>
      <c r="AQ48">
        <v>0.19934022394487519</v>
      </c>
      <c r="AR48">
        <v>0.31422592592592596</v>
      </c>
      <c r="AS48">
        <v>0.13198257080610021</v>
      </c>
      <c r="AT48">
        <v>0.32860339506172836</v>
      </c>
      <c r="AU48">
        <v>0.25792245370370387</v>
      </c>
      <c r="AV48">
        <v>0.41340084876543209</v>
      </c>
    </row>
    <row r="49" spans="1:48">
      <c r="A49" s="1">
        <v>48</v>
      </c>
      <c r="B49" s="1">
        <v>0</v>
      </c>
      <c r="C49" s="1">
        <v>1</v>
      </c>
      <c r="D49" s="1">
        <v>1</v>
      </c>
      <c r="E49" s="1">
        <v>1</v>
      </c>
      <c r="F49" s="1">
        <v>12</v>
      </c>
      <c r="G49" s="1">
        <v>6</v>
      </c>
      <c r="H49" s="1">
        <v>2</v>
      </c>
      <c r="I49" s="1">
        <v>1</v>
      </c>
      <c r="J49" s="1">
        <v>4</v>
      </c>
      <c r="K49">
        <v>3.8347826086956527E-2</v>
      </c>
      <c r="L49">
        <v>4.1856521739130452E-2</v>
      </c>
      <c r="M49">
        <v>3.6847619047619053E-2</v>
      </c>
      <c r="N49">
        <v>3.6962500000000009E-2</v>
      </c>
      <c r="O49">
        <v>3.7477272727272727E-2</v>
      </c>
      <c r="P49">
        <v>3.6486363636363643E-2</v>
      </c>
      <c r="Q49">
        <v>3.5990909090909101E-2</v>
      </c>
      <c r="R49">
        <v>3.4987499999999984E-2</v>
      </c>
      <c r="S49">
        <f t="shared" si="0"/>
        <v>3.672926136363637E-2</v>
      </c>
      <c r="T49">
        <f t="shared" si="1"/>
        <v>1.7417613636363863E-3</v>
      </c>
      <c r="U49">
        <v>3.5262499999999995E-2</v>
      </c>
      <c r="V49">
        <v>4.7128571428571429E-2</v>
      </c>
      <c r="W49">
        <v>0.43548821548821531</v>
      </c>
      <c r="X49">
        <v>0.18</v>
      </c>
      <c r="Y49">
        <v>0.23650793650793656</v>
      </c>
      <c r="Z49">
        <v>0.25428571428571423</v>
      </c>
      <c r="AA49">
        <v>0.11034666666666666</v>
      </c>
      <c r="AB49">
        <v>0.13350694444444441</v>
      </c>
      <c r="AC49">
        <v>0.30358705161854777</v>
      </c>
      <c r="AD49">
        <v>0.38985324947589106</v>
      </c>
      <c r="AE49">
        <v>0.29976190476190484</v>
      </c>
      <c r="AF49">
        <v>0.22601010101010097</v>
      </c>
      <c r="AG49">
        <v>0.20624493106244934</v>
      </c>
      <c r="AH49">
        <v>0.15790754257907541</v>
      </c>
      <c r="AI49">
        <v>0.18459042984590432</v>
      </c>
      <c r="AJ49">
        <v>0.14581481481481476</v>
      </c>
      <c r="AK49">
        <v>0.18922558922558921</v>
      </c>
      <c r="AL49">
        <v>0.11424242424242424</v>
      </c>
      <c r="AM49">
        <v>0.11797979797979799</v>
      </c>
      <c r="AN49">
        <v>0.23898635477582841</v>
      </c>
      <c r="AO49">
        <v>0.13049603174603175</v>
      </c>
      <c r="AP49">
        <v>0.25426245210727977</v>
      </c>
      <c r="AQ49">
        <v>0.37281653746770038</v>
      </c>
      <c r="AR49">
        <v>0.42022222222222227</v>
      </c>
      <c r="AS49">
        <v>0.24542483660130726</v>
      </c>
      <c r="AT49">
        <v>0.36689814814814825</v>
      </c>
      <c r="AU49">
        <v>0.18888888888888891</v>
      </c>
      <c r="AV49">
        <v>0.34849537037037037</v>
      </c>
    </row>
    <row r="50" spans="1:48">
      <c r="A50" s="1">
        <v>49</v>
      </c>
      <c r="B50" s="1">
        <v>1</v>
      </c>
      <c r="C50" s="1">
        <v>0</v>
      </c>
      <c r="D50" s="1">
        <v>0</v>
      </c>
      <c r="E50" s="1">
        <v>1</v>
      </c>
      <c r="F50" s="1">
        <v>2</v>
      </c>
      <c r="G50" s="1">
        <v>6</v>
      </c>
      <c r="H50" s="1">
        <v>1</v>
      </c>
      <c r="I50" s="1">
        <v>1</v>
      </c>
      <c r="J50" s="1">
        <v>1</v>
      </c>
      <c r="K50">
        <v>4.4643478260869555E-2</v>
      </c>
      <c r="L50">
        <v>5.2313043478260865E-2</v>
      </c>
      <c r="M50">
        <v>5.5552380952380923E-2</v>
      </c>
      <c r="N50">
        <v>5.6912499999999998E-2</v>
      </c>
      <c r="O50">
        <v>3.0440909090909078E-2</v>
      </c>
      <c r="P50">
        <v>5.5531818181818189E-2</v>
      </c>
      <c r="Q50">
        <v>5.5881818181818164E-2</v>
      </c>
      <c r="R50">
        <v>4.8516666666666673E-2</v>
      </c>
      <c r="S50">
        <f t="shared" si="0"/>
        <v>4.9691761363636358E-2</v>
      </c>
      <c r="T50">
        <f t="shared" si="1"/>
        <v>1.1750946969696849E-3</v>
      </c>
      <c r="U50">
        <v>4.2612499999999998E-2</v>
      </c>
      <c r="V50">
        <v>5.1923809523809518E-2</v>
      </c>
      <c r="W50">
        <v>0.63871492704826016</v>
      </c>
      <c r="X50">
        <v>0.53035714285714286</v>
      </c>
      <c r="Y50">
        <v>0.50139947089947079</v>
      </c>
      <c r="Z50">
        <v>0.64761904761904765</v>
      </c>
      <c r="AA50">
        <v>0.30212088888888888</v>
      </c>
      <c r="AB50">
        <v>0.27539641203703707</v>
      </c>
      <c r="AC50">
        <v>0.20575823855351419</v>
      </c>
      <c r="AD50">
        <v>0.26130538085255062</v>
      </c>
      <c r="AE50">
        <v>0.16532539682539685</v>
      </c>
      <c r="AF50">
        <v>0.12724326599326599</v>
      </c>
      <c r="AG50">
        <v>0.20371992430386587</v>
      </c>
      <c r="AH50">
        <v>0.16648012976480137</v>
      </c>
      <c r="AI50">
        <v>0.16391051635577186</v>
      </c>
      <c r="AJ50">
        <v>0.20531790123456783</v>
      </c>
      <c r="AK50">
        <v>0.28902637485970817</v>
      </c>
      <c r="AL50">
        <v>0.48512626262626263</v>
      </c>
      <c r="AM50">
        <v>0.30836195286195289</v>
      </c>
      <c r="AN50">
        <v>0.44045646523716692</v>
      </c>
      <c r="AO50">
        <v>0.45360383597883608</v>
      </c>
      <c r="AP50">
        <v>0.23261095146871011</v>
      </c>
      <c r="AQ50">
        <v>0.23094401378122309</v>
      </c>
      <c r="AR50">
        <v>0.27621851851851853</v>
      </c>
      <c r="AS50">
        <v>0.13239651416122003</v>
      </c>
      <c r="AT50">
        <v>0.29685956790123452</v>
      </c>
      <c r="AU50">
        <v>0.20423032407407413</v>
      </c>
      <c r="AV50">
        <v>0.27108989197530853</v>
      </c>
    </row>
    <row r="51" spans="1:48">
      <c r="A51" s="1">
        <v>50</v>
      </c>
      <c r="B51" s="1">
        <v>1</v>
      </c>
      <c r="C51" s="1">
        <v>1</v>
      </c>
      <c r="D51" s="1">
        <v>1</v>
      </c>
      <c r="E51" s="1">
        <v>1</v>
      </c>
      <c r="F51" s="1">
        <v>17</v>
      </c>
      <c r="G51" s="1">
        <v>6</v>
      </c>
      <c r="H51" s="1">
        <v>3</v>
      </c>
      <c r="I51" s="1">
        <v>1</v>
      </c>
      <c r="J51" s="1">
        <v>5</v>
      </c>
      <c r="K51">
        <v>3.6334782608695659E-2</v>
      </c>
      <c r="L51">
        <v>4.5478260869565211E-2</v>
      </c>
      <c r="M51">
        <v>4.3352380952380955E-2</v>
      </c>
      <c r="N51">
        <v>4.294166666666669E-2</v>
      </c>
      <c r="O51">
        <v>5.6777272727272725E-2</v>
      </c>
      <c r="P51">
        <v>5.1013636363636344E-2</v>
      </c>
      <c r="Q51">
        <v>5.1649999999999995E-2</v>
      </c>
      <c r="R51">
        <v>4.3049999999999998E-2</v>
      </c>
      <c r="S51">
        <f t="shared" si="0"/>
        <v>5.059564393939394E-2</v>
      </c>
      <c r="T51">
        <f t="shared" si="1"/>
        <v>7.5456439393939423E-3</v>
      </c>
      <c r="U51">
        <v>3.830416666666666E-2</v>
      </c>
      <c r="V51">
        <v>4.3366666666666678E-2</v>
      </c>
      <c r="W51">
        <v>0.38194163860830521</v>
      </c>
      <c r="X51">
        <v>0.41071428571428548</v>
      </c>
      <c r="Y51">
        <v>0.41486243386243388</v>
      </c>
      <c r="Z51">
        <v>0.49095238095238108</v>
      </c>
      <c r="AA51">
        <v>0.38909511111111122</v>
      </c>
      <c r="AB51">
        <v>0.2602546296296297</v>
      </c>
      <c r="AC51">
        <v>0.1953310002916302</v>
      </c>
      <c r="AD51">
        <v>0.22105939902166294</v>
      </c>
      <c r="AE51">
        <v>0.21374603174603188</v>
      </c>
      <c r="AF51">
        <v>0.15499158249158246</v>
      </c>
      <c r="AG51">
        <v>0.22090294674236272</v>
      </c>
      <c r="AH51">
        <v>0.19841038118410387</v>
      </c>
      <c r="AI51">
        <v>0.19943498242768318</v>
      </c>
      <c r="AJ51">
        <v>9.8820987654320902E-2</v>
      </c>
      <c r="AK51">
        <v>0.29700897867564519</v>
      </c>
      <c r="AL51">
        <v>0.3405555555555555</v>
      </c>
      <c r="AM51">
        <v>0.27056228956228962</v>
      </c>
      <c r="AN51">
        <v>0.32789148797920731</v>
      </c>
      <c r="AO51">
        <v>0.43296164021164035</v>
      </c>
      <c r="AP51">
        <v>0.20664910600255423</v>
      </c>
      <c r="AQ51">
        <v>0.26395521102497843</v>
      </c>
      <c r="AR51">
        <v>0.24721481481481486</v>
      </c>
      <c r="AS51">
        <v>0.14387799564270151</v>
      </c>
      <c r="AT51">
        <v>0.31536265432098753</v>
      </c>
      <c r="AU51">
        <v>0.28519675925925925</v>
      </c>
      <c r="AV51">
        <v>0.32493441358024688</v>
      </c>
    </row>
    <row r="52" spans="1:48">
      <c r="A52" s="1">
        <v>51</v>
      </c>
      <c r="B52" s="1">
        <v>0</v>
      </c>
      <c r="C52" s="1">
        <v>1</v>
      </c>
      <c r="D52" s="1">
        <v>1</v>
      </c>
      <c r="E52" s="1">
        <v>0</v>
      </c>
      <c r="F52" s="1">
        <v>11</v>
      </c>
      <c r="G52" s="1">
        <v>6</v>
      </c>
      <c r="H52" s="1">
        <v>2</v>
      </c>
      <c r="I52" s="1">
        <v>1</v>
      </c>
      <c r="J52" s="1">
        <v>4</v>
      </c>
      <c r="K52">
        <v>4.5360869565217406E-2</v>
      </c>
      <c r="L52">
        <v>5.0321739130434785E-2</v>
      </c>
      <c r="M52">
        <v>4.3247619047619042E-2</v>
      </c>
      <c r="N52">
        <v>3.9845833333333323E-2</v>
      </c>
      <c r="O52">
        <v>4.3322727272727277E-2</v>
      </c>
      <c r="P52">
        <v>6.0004545454545456E-2</v>
      </c>
      <c r="Q52">
        <v>4.6390909090909066E-2</v>
      </c>
      <c r="R52">
        <v>4.1345833333333325E-2</v>
      </c>
      <c r="S52">
        <f t="shared" si="0"/>
        <v>4.7391003787878777E-2</v>
      </c>
      <c r="T52">
        <f t="shared" si="1"/>
        <v>6.0451704545454524E-3</v>
      </c>
      <c r="U52">
        <v>4.149166666666667E-2</v>
      </c>
      <c r="V52">
        <v>4.8609523809523783E-2</v>
      </c>
      <c r="W52">
        <v>0.6033501683501683</v>
      </c>
      <c r="X52">
        <v>0.63821428571428584</v>
      </c>
      <c r="Y52">
        <v>0.44403968253968251</v>
      </c>
      <c r="Z52">
        <v>0.53857142857142848</v>
      </c>
      <c r="AA52">
        <v>0.40946222222222217</v>
      </c>
      <c r="AB52">
        <v>0.17102864583333341</v>
      </c>
      <c r="AC52">
        <v>0.26738407699037625</v>
      </c>
      <c r="AD52">
        <v>0.35845283018867935</v>
      </c>
      <c r="AE52">
        <v>0.28270238095238082</v>
      </c>
      <c r="AF52">
        <v>0.13663720538720542</v>
      </c>
      <c r="AG52">
        <v>0.14816301703163023</v>
      </c>
      <c r="AH52">
        <v>0.12776155717761561</v>
      </c>
      <c r="AI52">
        <v>8.7380373073803724E-2</v>
      </c>
      <c r="AJ52">
        <v>0.17232407407407405</v>
      </c>
      <c r="AK52">
        <v>0.33953703703703703</v>
      </c>
      <c r="AL52">
        <v>0.51507575757575741</v>
      </c>
      <c r="AM52">
        <v>0.34003535353535352</v>
      </c>
      <c r="AN52">
        <v>0.49413255360623781</v>
      </c>
      <c r="AO52">
        <v>0.56393849206349211</v>
      </c>
      <c r="AP52">
        <v>0.20669540229885058</v>
      </c>
      <c r="AQ52">
        <v>0.26471834625323004</v>
      </c>
      <c r="AR52">
        <v>0.38979999999999998</v>
      </c>
      <c r="AS52">
        <v>0.14919934640522878</v>
      </c>
      <c r="AT52">
        <v>0.33443287037037051</v>
      </c>
      <c r="AU52">
        <v>0.16748842592592592</v>
      </c>
      <c r="AV52">
        <v>0.24054398148148137</v>
      </c>
    </row>
    <row r="53" spans="1:48">
      <c r="A53" s="1">
        <v>52</v>
      </c>
      <c r="B53" s="1">
        <v>0</v>
      </c>
      <c r="C53" s="1">
        <v>1</v>
      </c>
      <c r="D53" s="1">
        <v>1</v>
      </c>
      <c r="E53" s="1">
        <v>1</v>
      </c>
      <c r="F53" s="1">
        <v>11</v>
      </c>
      <c r="G53" s="1">
        <v>6</v>
      </c>
      <c r="H53" s="1">
        <v>2</v>
      </c>
      <c r="I53" s="1">
        <v>1</v>
      </c>
      <c r="J53" s="1">
        <v>4</v>
      </c>
      <c r="K53">
        <v>5.1926086956521768E-2</v>
      </c>
      <c r="L53">
        <v>5.7760869565217393E-2</v>
      </c>
      <c r="M53">
        <v>5.3904761904761914E-2</v>
      </c>
      <c r="N53">
        <v>3.9579166666666665E-2</v>
      </c>
      <c r="O53">
        <v>7.4550000000000019E-2</v>
      </c>
      <c r="P53">
        <v>4.7527272727272724E-2</v>
      </c>
      <c r="Q53">
        <v>5.4568181818181814E-2</v>
      </c>
      <c r="R53">
        <v>4.2237499999999983E-2</v>
      </c>
      <c r="S53">
        <f t="shared" si="0"/>
        <v>5.4056155303030311E-2</v>
      </c>
      <c r="T53">
        <f t="shared" si="1"/>
        <v>1.1818655303030327E-2</v>
      </c>
      <c r="U53">
        <v>4.3812499999999997E-2</v>
      </c>
      <c r="V53">
        <v>4.408095238095238E-2</v>
      </c>
      <c r="W53">
        <v>0.72657687991021291</v>
      </c>
      <c r="X53">
        <v>0.34285714285714303</v>
      </c>
      <c r="Y53">
        <v>0.40035978835978853</v>
      </c>
      <c r="Z53">
        <v>0.51190476190476175</v>
      </c>
      <c r="AA53">
        <v>0.25264355555555551</v>
      </c>
      <c r="AB53">
        <v>0.36747106481481484</v>
      </c>
      <c r="AC53">
        <v>0.22880723242927967</v>
      </c>
      <c r="AD53">
        <v>0.25151083158630322</v>
      </c>
      <c r="AE53">
        <v>0.17273015873015879</v>
      </c>
      <c r="AF53">
        <v>8.0942760942760872E-2</v>
      </c>
      <c r="AG53">
        <v>0.15380913760475795</v>
      </c>
      <c r="AH53">
        <v>0.16373073803730748</v>
      </c>
      <c r="AI53">
        <v>0.12595836712625036</v>
      </c>
      <c r="AJ53">
        <v>0.15182716049382705</v>
      </c>
      <c r="AK53">
        <v>0.24297418630751955</v>
      </c>
      <c r="AL53">
        <v>0.37050505050505061</v>
      </c>
      <c r="AM53">
        <v>0.24223569023569025</v>
      </c>
      <c r="AN53">
        <v>0.38346328784925277</v>
      </c>
      <c r="AO53">
        <v>0.38721296296296293</v>
      </c>
      <c r="AP53">
        <v>0.29610472541507032</v>
      </c>
      <c r="AQ53">
        <v>0.17741946597760549</v>
      </c>
      <c r="AR53">
        <v>0.20120740740740733</v>
      </c>
      <c r="AS53">
        <v>0.10507625272331168</v>
      </c>
      <c r="AT53">
        <v>0.25028549382716037</v>
      </c>
      <c r="AU53">
        <v>0.22525462962962967</v>
      </c>
      <c r="AV53">
        <v>0.2628317901234567</v>
      </c>
    </row>
    <row r="54" spans="1:48">
      <c r="A54" s="1">
        <v>53</v>
      </c>
      <c r="B54" s="1">
        <v>1</v>
      </c>
      <c r="C54" s="1">
        <v>1</v>
      </c>
      <c r="D54" s="1">
        <v>1</v>
      </c>
      <c r="E54" s="1">
        <v>1</v>
      </c>
      <c r="F54" s="1">
        <v>15</v>
      </c>
      <c r="G54" s="1">
        <v>6</v>
      </c>
      <c r="H54" s="1">
        <v>3</v>
      </c>
      <c r="I54" s="1">
        <v>1</v>
      </c>
      <c r="J54" s="1">
        <v>5</v>
      </c>
      <c r="K54">
        <v>3.9660869565217409E-2</v>
      </c>
      <c r="L54">
        <v>4.8882608695652148E-2</v>
      </c>
      <c r="M54">
        <v>4.1309523809523817E-2</v>
      </c>
      <c r="N54">
        <v>4.4395833333333322E-2</v>
      </c>
      <c r="O54">
        <v>4.2895454545454535E-2</v>
      </c>
      <c r="P54">
        <v>3.7581818181818182E-2</v>
      </c>
      <c r="Q54">
        <v>3.7459090909090893E-2</v>
      </c>
      <c r="R54">
        <v>2.763750000000002E-2</v>
      </c>
      <c r="S54">
        <f t="shared" si="0"/>
        <v>4.058304924242423E-2</v>
      </c>
      <c r="T54">
        <f t="shared" si="1"/>
        <v>1.294554924242421E-2</v>
      </c>
      <c r="U54">
        <v>3.0733333333333335E-2</v>
      </c>
      <c r="V54">
        <v>3.6666666666666688E-2</v>
      </c>
      <c r="W54">
        <v>0.71707631874298561</v>
      </c>
      <c r="X54">
        <v>0.36892857142857138</v>
      </c>
      <c r="Y54">
        <v>0.36953703703703716</v>
      </c>
      <c r="Z54">
        <v>0.77238095238095228</v>
      </c>
      <c r="AA54">
        <v>-0.3715822222222222</v>
      </c>
      <c r="AB54">
        <v>1.639178240740741E-2</v>
      </c>
      <c r="AC54">
        <v>1.0505978419364235E-2</v>
      </c>
      <c r="AD54">
        <v>0.14711390635918936</v>
      </c>
      <c r="AE54">
        <v>0.21543650793650787</v>
      </c>
      <c r="AF54">
        <v>0.18596380471380466</v>
      </c>
      <c r="AG54">
        <v>0.22865639361989742</v>
      </c>
      <c r="AH54">
        <v>0.20296025952960264</v>
      </c>
      <c r="AI54">
        <v>0.19943903757772374</v>
      </c>
      <c r="AJ54">
        <v>0.22533024691358036</v>
      </c>
      <c r="AK54">
        <v>0.39913860830527492</v>
      </c>
      <c r="AL54">
        <v>0.51775252525252535</v>
      </c>
      <c r="AM54">
        <v>0.32989057239057229</v>
      </c>
      <c r="AN54">
        <v>0.36651234567901236</v>
      </c>
      <c r="AO54">
        <v>5.8564814814814868E-3</v>
      </c>
      <c r="AP54">
        <v>5.4877075351213193E-3</v>
      </c>
      <c r="AQ54">
        <v>4.3919035314384181E-2</v>
      </c>
      <c r="AR54">
        <v>0.25420370370370371</v>
      </c>
      <c r="AS54">
        <v>0.18028322440087144</v>
      </c>
      <c r="AT54">
        <v>0.38545524691358024</v>
      </c>
      <c r="AU54">
        <v>0.24372106481481481</v>
      </c>
      <c r="AV54">
        <v>0.32605131172839513</v>
      </c>
    </row>
    <row r="55" spans="1:48">
      <c r="A55" s="1">
        <v>54</v>
      </c>
      <c r="B55" s="1">
        <v>1</v>
      </c>
      <c r="C55" s="1">
        <v>1</v>
      </c>
      <c r="D55" s="1">
        <v>1</v>
      </c>
      <c r="E55" s="1">
        <v>1</v>
      </c>
      <c r="F55" s="1">
        <v>19</v>
      </c>
      <c r="G55" s="1">
        <v>6</v>
      </c>
      <c r="H55" s="1">
        <v>3</v>
      </c>
      <c r="I55" s="1">
        <v>1</v>
      </c>
      <c r="J55" s="1">
        <v>5</v>
      </c>
      <c r="K55">
        <v>4.8313043478260875E-2</v>
      </c>
      <c r="L55">
        <v>4.4913043478260868E-2</v>
      </c>
      <c r="M55">
        <v>4.7109523809523789E-2</v>
      </c>
      <c r="N55">
        <v>3.8679166666666674E-2</v>
      </c>
      <c r="O55">
        <v>4.385909090909091E-2</v>
      </c>
      <c r="P55">
        <v>4.6745454545454562E-2</v>
      </c>
      <c r="Q55">
        <v>4.1963636363636342E-2</v>
      </c>
      <c r="R55">
        <v>3.5845833333333334E-2</v>
      </c>
      <c r="S55">
        <f t="shared" si="0"/>
        <v>4.2811837121212122E-2</v>
      </c>
      <c r="T55">
        <f t="shared" si="1"/>
        <v>6.9660037878787884E-3</v>
      </c>
      <c r="U55">
        <v>3.903333333333333E-2</v>
      </c>
      <c r="V55">
        <v>4.973333333333331E-2</v>
      </c>
      <c r="W55">
        <v>0.60575757575757583</v>
      </c>
      <c r="X55">
        <v>0.52357142857142869</v>
      </c>
      <c r="Y55">
        <v>0.45585714285714296</v>
      </c>
      <c r="Z55">
        <v>0.69428571428571428</v>
      </c>
      <c r="AA55">
        <v>0.46979199999999999</v>
      </c>
      <c r="AB55">
        <v>0.33640625000000002</v>
      </c>
      <c r="AC55">
        <v>0.24889763779527566</v>
      </c>
      <c r="AD55">
        <v>0.3098867924528303</v>
      </c>
      <c r="AE55">
        <v>0.26100000000000012</v>
      </c>
      <c r="AF55">
        <v>0.15916666666666668</v>
      </c>
      <c r="AG55">
        <v>0.20496350364963517</v>
      </c>
      <c r="AH55">
        <v>0.18963503649635044</v>
      </c>
      <c r="AI55">
        <v>0.17583941605839423</v>
      </c>
      <c r="AJ55">
        <v>0.10083333333333329</v>
      </c>
      <c r="AK55">
        <v>0.37621212121212122</v>
      </c>
      <c r="AL55">
        <v>0.435</v>
      </c>
      <c r="AM55">
        <v>0.32390909090909087</v>
      </c>
      <c r="AN55">
        <v>0.51359649122807016</v>
      </c>
      <c r="AO55">
        <v>0.62182142857142852</v>
      </c>
      <c r="AP55">
        <v>0.28038793103448278</v>
      </c>
      <c r="AQ55">
        <v>0.30018604651162811</v>
      </c>
      <c r="AR55">
        <v>0.31420000000000015</v>
      </c>
      <c r="AS55">
        <v>0.16921568627450981</v>
      </c>
      <c r="AT55">
        <v>0.28312500000000002</v>
      </c>
      <c r="AU55">
        <v>0.2538541666666666</v>
      </c>
      <c r="AV55">
        <v>0.28718749999999998</v>
      </c>
    </row>
    <row r="56" spans="1:48">
      <c r="A56" s="1">
        <v>55</v>
      </c>
      <c r="B56" s="1">
        <v>0</v>
      </c>
      <c r="C56" s="1">
        <v>1</v>
      </c>
      <c r="D56" s="1">
        <v>1</v>
      </c>
      <c r="E56" s="1">
        <v>0</v>
      </c>
      <c r="F56" s="1">
        <v>11</v>
      </c>
      <c r="G56" s="1">
        <v>6</v>
      </c>
      <c r="H56" s="1">
        <v>2</v>
      </c>
      <c r="I56" s="1">
        <v>2</v>
      </c>
      <c r="J56" s="1">
        <v>4</v>
      </c>
      <c r="K56">
        <v>5.4226086956521737E-2</v>
      </c>
      <c r="L56">
        <v>5.182608695652173E-2</v>
      </c>
      <c r="M56">
        <v>4.4971428571428565E-2</v>
      </c>
      <c r="N56">
        <v>4.9920833333333338E-2</v>
      </c>
      <c r="O56">
        <v>4.9154545454545472E-2</v>
      </c>
      <c r="P56">
        <v>5.2518181818181825E-2</v>
      </c>
      <c r="Q56">
        <v>5.244999999999999E-2</v>
      </c>
      <c r="R56">
        <v>4.2925000000000012E-2</v>
      </c>
      <c r="S56">
        <f t="shared" si="0"/>
        <v>5.1010890151515158E-2</v>
      </c>
      <c r="T56">
        <f t="shared" si="1"/>
        <v>8.085890151515146E-3</v>
      </c>
      <c r="U56">
        <v>3.3104166666666657E-2</v>
      </c>
      <c r="V56">
        <v>4.1833333333333327E-2</v>
      </c>
      <c r="W56">
        <v>0.88716610549943875</v>
      </c>
      <c r="X56">
        <v>0.22964285714285701</v>
      </c>
      <c r="Y56">
        <v>0.4593201058201058</v>
      </c>
      <c r="Z56">
        <v>0.52761904761904732</v>
      </c>
      <c r="AA56">
        <v>0.44308592592592605</v>
      </c>
      <c r="AB56">
        <v>0.30523003472222227</v>
      </c>
      <c r="AC56">
        <v>0.23171186934966467</v>
      </c>
      <c r="AD56">
        <v>0.28922012578616357</v>
      </c>
      <c r="AE56">
        <v>0.23590873015873015</v>
      </c>
      <c r="AF56">
        <v>0.11910072951739613</v>
      </c>
      <c r="AG56">
        <v>0.1791281427412813</v>
      </c>
      <c r="AH56">
        <v>0.16923763179237636</v>
      </c>
      <c r="AI56">
        <v>0.13408488780751557</v>
      </c>
      <c r="AJ56">
        <v>0.29333641975308639</v>
      </c>
      <c r="AK56">
        <v>0.37237654320987645</v>
      </c>
      <c r="AL56">
        <v>0.30497474747474751</v>
      </c>
      <c r="AM56">
        <v>0.24792760942760933</v>
      </c>
      <c r="AN56">
        <v>0.45359324236517223</v>
      </c>
      <c r="AO56">
        <v>0.54803240740740755</v>
      </c>
      <c r="AP56">
        <v>0.26121647509578555</v>
      </c>
      <c r="AQ56">
        <v>0.26394659776055124</v>
      </c>
      <c r="AR56">
        <v>0.41020000000000001</v>
      </c>
      <c r="AS56">
        <v>0.14529956427015256</v>
      </c>
      <c r="AT56">
        <v>0.32845293209876525</v>
      </c>
      <c r="AU56">
        <v>0.21264274691358037</v>
      </c>
      <c r="AV56">
        <v>0.26134645061728407</v>
      </c>
    </row>
    <row r="57" spans="1:48">
      <c r="A57" s="1">
        <v>56</v>
      </c>
      <c r="B57" s="1">
        <v>0</v>
      </c>
      <c r="C57" s="1">
        <v>1</v>
      </c>
      <c r="D57" s="1">
        <v>1</v>
      </c>
      <c r="E57" s="1">
        <v>0</v>
      </c>
      <c r="F57" s="1">
        <v>10</v>
      </c>
      <c r="G57" s="1">
        <v>6</v>
      </c>
      <c r="H57" s="1">
        <v>2</v>
      </c>
      <c r="I57" s="1">
        <v>2</v>
      </c>
      <c r="J57" s="1">
        <v>4</v>
      </c>
      <c r="K57">
        <v>4.0704347826086971E-2</v>
      </c>
      <c r="L57">
        <v>4.2539130434782614E-2</v>
      </c>
      <c r="M57">
        <v>4.1023809523809539E-2</v>
      </c>
      <c r="N57">
        <v>3.7129166666666658E-2</v>
      </c>
      <c r="O57">
        <v>4.1949999999999994E-2</v>
      </c>
      <c r="P57">
        <v>4.0663636363636367E-2</v>
      </c>
      <c r="Q57">
        <v>4.0050000000000023E-2</v>
      </c>
      <c r="R57">
        <v>4.4025000000000002E-2</v>
      </c>
      <c r="S57">
        <f t="shared" si="0"/>
        <v>3.9948200757575762E-2</v>
      </c>
      <c r="T57">
        <f t="shared" si="1"/>
        <v>-4.0767992424242394E-3</v>
      </c>
      <c r="U57">
        <v>4.4183333333333318E-2</v>
      </c>
      <c r="V57">
        <v>4.0499999999999994E-2</v>
      </c>
      <c r="W57">
        <v>0.73039281705948411</v>
      </c>
      <c r="X57">
        <v>0.15428571428571417</v>
      </c>
      <c r="Y57">
        <v>0.27564021164021163</v>
      </c>
      <c r="Z57">
        <v>0.37952380952380949</v>
      </c>
      <c r="AA57">
        <v>0.43489185185185192</v>
      </c>
      <c r="AB57">
        <v>0.16631944444444441</v>
      </c>
      <c r="AC57">
        <v>9.0510352872557612E-2</v>
      </c>
      <c r="AD57">
        <v>0.25021383647798745</v>
      </c>
      <c r="AE57">
        <v>0.16903174603174603</v>
      </c>
      <c r="AF57">
        <v>0.10600448933782271</v>
      </c>
      <c r="AG57">
        <v>0.17409570154095705</v>
      </c>
      <c r="AH57">
        <v>0.13453365774533657</v>
      </c>
      <c r="AI57">
        <v>9.5031089483644263E-2</v>
      </c>
      <c r="AJ57">
        <v>0.20683950617283955</v>
      </c>
      <c r="AK57">
        <v>0.1230864197530864</v>
      </c>
      <c r="AL57">
        <v>0.28676767676767678</v>
      </c>
      <c r="AM57">
        <v>0.22194612794612792</v>
      </c>
      <c r="AN57">
        <v>0.35771280051981796</v>
      </c>
      <c r="AO57">
        <v>0.45767195767195779</v>
      </c>
      <c r="AP57">
        <v>8.4329501915708802E-2</v>
      </c>
      <c r="AQ57">
        <v>0.18491645133505596</v>
      </c>
      <c r="AR57">
        <v>0.23179999999999995</v>
      </c>
      <c r="AS57">
        <v>0.13305010893246183</v>
      </c>
      <c r="AT57">
        <v>0.27357253086419753</v>
      </c>
      <c r="AU57">
        <v>0.19528549382716051</v>
      </c>
      <c r="AV57">
        <v>0.18581790123456798</v>
      </c>
    </row>
    <row r="58" spans="1:48">
      <c r="A58" s="1">
        <v>57</v>
      </c>
      <c r="B58" s="1">
        <v>1</v>
      </c>
      <c r="C58" s="1">
        <v>1</v>
      </c>
      <c r="D58" s="1">
        <v>1</v>
      </c>
      <c r="E58" s="1">
        <v>0</v>
      </c>
      <c r="F58" s="1">
        <v>20</v>
      </c>
      <c r="G58" s="1">
        <v>18</v>
      </c>
      <c r="H58" s="1">
        <v>3</v>
      </c>
      <c r="I58" s="1">
        <v>2</v>
      </c>
      <c r="J58" s="1">
        <v>6</v>
      </c>
      <c r="K58">
        <v>3.896521739130436E-2</v>
      </c>
      <c r="L58">
        <v>4.8400000000000019E-2</v>
      </c>
      <c r="M58">
        <v>4.5971428571428587E-2</v>
      </c>
      <c r="N58">
        <v>4.2445833333333328E-2</v>
      </c>
      <c r="O58">
        <v>4.9786363636363636E-2</v>
      </c>
      <c r="P58">
        <v>5.3536363636363632E-2</v>
      </c>
      <c r="Q58">
        <v>4.8427272727272722E-2</v>
      </c>
      <c r="R58">
        <v>3.7458333333333337E-2</v>
      </c>
      <c r="S58">
        <f t="shared" si="0"/>
        <v>4.8548958333333322E-2</v>
      </c>
      <c r="T58">
        <f t="shared" si="1"/>
        <v>1.1090624999999986E-2</v>
      </c>
      <c r="U58">
        <v>3.4850000000000013E-2</v>
      </c>
      <c r="V58">
        <v>4.1904761904761903E-2</v>
      </c>
      <c r="W58">
        <v>0.84998316498316517</v>
      </c>
      <c r="X58">
        <v>0.49178571428571416</v>
      </c>
      <c r="Y58">
        <v>0.39196031746031729</v>
      </c>
      <c r="Z58">
        <v>0.74</v>
      </c>
      <c r="AA58">
        <v>0.66189777777777792</v>
      </c>
      <c r="AB58">
        <v>0.37897135416666655</v>
      </c>
      <c r="AC58">
        <v>0.15718285214348207</v>
      </c>
      <c r="AD58">
        <v>0.52215094339622659</v>
      </c>
      <c r="AE58">
        <v>0.31786904761904761</v>
      </c>
      <c r="AF58">
        <v>0.23457491582491577</v>
      </c>
      <c r="AG58">
        <v>0.28658150851581526</v>
      </c>
      <c r="AH58">
        <v>0.22975669099756688</v>
      </c>
      <c r="AI58">
        <v>0.18444444444444436</v>
      </c>
      <c r="AJ58">
        <v>0.15334259259259292</v>
      </c>
      <c r="AK58">
        <v>0.31015993265993252</v>
      </c>
      <c r="AL58">
        <v>0.55310606060606071</v>
      </c>
      <c r="AM58">
        <v>0.36232828282828272</v>
      </c>
      <c r="AN58">
        <v>0.55393762183235851</v>
      </c>
      <c r="AO58">
        <v>0.73963293650793671</v>
      </c>
      <c r="AP58">
        <v>0.39451149425287363</v>
      </c>
      <c r="AQ58">
        <v>0.32170025839793293</v>
      </c>
      <c r="AR58">
        <v>0.40839999999999999</v>
      </c>
      <c r="AS58">
        <v>0.27472222222222231</v>
      </c>
      <c r="AT58">
        <v>0.41140046296296306</v>
      </c>
      <c r="AU58">
        <v>0.34771990740740744</v>
      </c>
      <c r="AV58">
        <v>0.36133101851851851</v>
      </c>
    </row>
    <row r="59" spans="1:48">
      <c r="A59" s="1">
        <v>58</v>
      </c>
      <c r="B59" s="1">
        <v>1</v>
      </c>
      <c r="C59" s="1">
        <v>1</v>
      </c>
      <c r="D59" s="1">
        <v>1</v>
      </c>
      <c r="E59" s="1">
        <v>0</v>
      </c>
      <c r="F59" s="1">
        <v>25</v>
      </c>
      <c r="G59" s="1">
        <v>18</v>
      </c>
      <c r="H59" s="1">
        <v>3</v>
      </c>
      <c r="I59" s="1">
        <v>2</v>
      </c>
      <c r="J59" s="1">
        <v>6</v>
      </c>
      <c r="K59">
        <v>4.5756521739130432E-2</v>
      </c>
      <c r="L59">
        <v>5.9799999999999999E-2</v>
      </c>
      <c r="M59">
        <v>5.3690476190476191E-2</v>
      </c>
      <c r="N59">
        <v>5.2450000000000017E-2</v>
      </c>
      <c r="O59">
        <v>5.5449999999999978E-2</v>
      </c>
      <c r="P59">
        <v>6.1531818181818181E-2</v>
      </c>
      <c r="Q59">
        <v>5.9709090909090913E-2</v>
      </c>
      <c r="R59">
        <v>4.6062500000000006E-2</v>
      </c>
      <c r="S59">
        <f t="shared" si="0"/>
        <v>5.7285227272727272E-2</v>
      </c>
      <c r="T59">
        <f t="shared" si="1"/>
        <v>1.1222727272727266E-2</v>
      </c>
      <c r="U59">
        <v>4.2374999999999996E-2</v>
      </c>
      <c r="V59">
        <v>4.8490476190476167E-2</v>
      </c>
      <c r="W59">
        <v>0.84230078563411936</v>
      </c>
      <c r="X59">
        <v>0.56499999999999995</v>
      </c>
      <c r="Y59">
        <v>0.54113756613756614</v>
      </c>
      <c r="Z59">
        <v>0.62333333333333329</v>
      </c>
      <c r="AA59">
        <v>0.67690370370370345</v>
      </c>
      <c r="AB59">
        <v>0.49396701388888892</v>
      </c>
      <c r="AC59">
        <v>0.32700495771361932</v>
      </c>
      <c r="AD59">
        <v>0.3910691823899371</v>
      </c>
      <c r="AE59">
        <v>0.2517063492063491</v>
      </c>
      <c r="AF59">
        <v>0.13663019079685751</v>
      </c>
      <c r="AG59">
        <v>0.28519870235198702</v>
      </c>
      <c r="AH59">
        <v>0.23154906731549058</v>
      </c>
      <c r="AI59">
        <v>0.22933225195998935</v>
      </c>
      <c r="AJ59">
        <v>0.24484567901234583</v>
      </c>
      <c r="AK59">
        <v>0.33177890011223338</v>
      </c>
      <c r="AL59">
        <v>0.51398989898989911</v>
      </c>
      <c r="AM59">
        <v>0.35816498316498319</v>
      </c>
      <c r="AN59">
        <v>0.62121507472384663</v>
      </c>
      <c r="AO59">
        <v>0.75641534391534382</v>
      </c>
      <c r="AP59">
        <v>0.7727969348659004</v>
      </c>
      <c r="AQ59">
        <v>0.3598794142980189</v>
      </c>
      <c r="AR59">
        <v>0.375</v>
      </c>
      <c r="AS59">
        <v>0.1585511982570805</v>
      </c>
      <c r="AT59">
        <v>0.38464506172839497</v>
      </c>
      <c r="AU59">
        <v>0.27827932098765423</v>
      </c>
      <c r="AV59">
        <v>0.42538580246913593</v>
      </c>
    </row>
    <row r="60" spans="1:48">
      <c r="A60" s="1">
        <v>59</v>
      </c>
      <c r="B60" s="1">
        <v>1</v>
      </c>
      <c r="C60" s="1">
        <v>1</v>
      </c>
      <c r="D60" s="1">
        <v>1</v>
      </c>
      <c r="E60" s="1">
        <v>0</v>
      </c>
      <c r="F60" s="1">
        <v>17</v>
      </c>
      <c r="G60" s="1">
        <v>6</v>
      </c>
      <c r="H60" s="1">
        <v>3</v>
      </c>
      <c r="I60" s="1">
        <v>2</v>
      </c>
      <c r="J60" s="1">
        <v>5</v>
      </c>
      <c r="K60">
        <v>3.371304347826088E-2</v>
      </c>
      <c r="L60">
        <v>4.9021739130434783E-2</v>
      </c>
      <c r="M60">
        <v>3.8795238095238105E-2</v>
      </c>
      <c r="N60">
        <v>4.0412499999999983E-2</v>
      </c>
      <c r="O60">
        <v>5.0050000000000011E-2</v>
      </c>
      <c r="P60">
        <v>5.3931818181818185E-2</v>
      </c>
      <c r="Q60">
        <v>4.5968181818181832E-2</v>
      </c>
      <c r="R60">
        <v>4.7654166666666685E-2</v>
      </c>
      <c r="S60">
        <f t="shared" si="0"/>
        <v>4.7590625000000004E-2</v>
      </c>
      <c r="T60">
        <f t="shared" si="1"/>
        <v>-6.3541666666680485E-5</v>
      </c>
      <c r="U60">
        <v>3.5266666666666668E-2</v>
      </c>
      <c r="V60">
        <v>4.8419047619047619E-2</v>
      </c>
      <c r="W60">
        <v>0.57825476992143665</v>
      </c>
      <c r="X60">
        <v>0.46821428571428569</v>
      </c>
      <c r="Y60">
        <v>0.35602910052910047</v>
      </c>
      <c r="Z60">
        <v>0.45666666666666672</v>
      </c>
      <c r="AA60">
        <v>0.50550962962962975</v>
      </c>
      <c r="AB60">
        <v>0.21208767361111108</v>
      </c>
      <c r="AC60">
        <v>0.15588218139399246</v>
      </c>
      <c r="AD60">
        <v>0.21621383647798742</v>
      </c>
      <c r="AE60">
        <v>0.21268650793650798</v>
      </c>
      <c r="AF60">
        <v>0.15307940516273852</v>
      </c>
      <c r="AG60">
        <v>0.24658961881589614</v>
      </c>
      <c r="AH60">
        <v>0.21728304947283061</v>
      </c>
      <c r="AI60">
        <v>0.2019572857529062</v>
      </c>
      <c r="AJ60">
        <v>0.13634876543209895</v>
      </c>
      <c r="AK60">
        <v>0.34794332210998874</v>
      </c>
      <c r="AL60">
        <v>0.35941919191919197</v>
      </c>
      <c r="AM60">
        <v>0.27127441077441072</v>
      </c>
      <c r="AN60">
        <v>0.4744574398960365</v>
      </c>
      <c r="AO60">
        <v>0.54819775132275139</v>
      </c>
      <c r="AP60">
        <v>0.15539272030651338</v>
      </c>
      <c r="AQ60">
        <v>0.24084926787252356</v>
      </c>
      <c r="AR60">
        <v>0.2435999999999999</v>
      </c>
      <c r="AS60">
        <v>0.16983115468409582</v>
      </c>
      <c r="AT60">
        <v>0.35580632716049387</v>
      </c>
      <c r="AU60">
        <v>0.30883873456790123</v>
      </c>
      <c r="AV60">
        <v>0.32173225308641973</v>
      </c>
    </row>
    <row r="61" spans="1:48">
      <c r="A61" s="1">
        <v>60</v>
      </c>
      <c r="B61" s="1">
        <v>1</v>
      </c>
      <c r="C61" s="1">
        <v>1</v>
      </c>
      <c r="D61" s="1">
        <v>1</v>
      </c>
      <c r="E61" s="1">
        <v>0</v>
      </c>
      <c r="F61" s="1">
        <v>23</v>
      </c>
      <c r="G61" s="1">
        <v>18</v>
      </c>
      <c r="H61" s="1">
        <v>3</v>
      </c>
      <c r="I61" s="1">
        <v>2</v>
      </c>
      <c r="J61" s="1">
        <v>6</v>
      </c>
      <c r="K61">
        <v>3.7973913043478268E-2</v>
      </c>
      <c r="L61">
        <v>4.6413043478260863E-2</v>
      </c>
      <c r="M61">
        <v>4.1352380952380967E-2</v>
      </c>
      <c r="N61">
        <v>4.368749999999999E-2</v>
      </c>
      <c r="O61">
        <v>5.8431818181818175E-2</v>
      </c>
      <c r="P61">
        <v>5.499090909090909E-2</v>
      </c>
      <c r="Q61">
        <v>5.3654545454545483E-2</v>
      </c>
      <c r="R61">
        <v>4.5550000000000014E-2</v>
      </c>
      <c r="S61">
        <f t="shared" si="0"/>
        <v>5.2691193181818183E-2</v>
      </c>
      <c r="T61">
        <f t="shared" si="1"/>
        <v>7.1411931818181687E-3</v>
      </c>
      <c r="U61">
        <v>4.7529166666666657E-2</v>
      </c>
      <c r="V61">
        <v>5.1995238095238108E-2</v>
      </c>
      <c r="W61">
        <v>0.65057239057239069</v>
      </c>
      <c r="X61">
        <v>0.53857142857142848</v>
      </c>
      <c r="Y61">
        <v>0.55520634920634915</v>
      </c>
      <c r="Z61">
        <v>0.57857142857142851</v>
      </c>
      <c r="AA61">
        <v>0.31571555555555547</v>
      </c>
      <c r="AB61">
        <v>0.27552083333333327</v>
      </c>
      <c r="AC61">
        <v>0.20916885389326334</v>
      </c>
      <c r="AD61">
        <v>0.31456603773584912</v>
      </c>
      <c r="AE61">
        <v>0.2636666666666666</v>
      </c>
      <c r="AF61">
        <v>0.17710437710437707</v>
      </c>
      <c r="AG61">
        <v>0.28535279805352809</v>
      </c>
      <c r="AH61">
        <v>0.27819951338199522</v>
      </c>
      <c r="AI61">
        <v>0.21399837793998377</v>
      </c>
      <c r="AJ61">
        <v>0.18785185185185185</v>
      </c>
      <c r="AK61">
        <v>0.34319865319865334</v>
      </c>
      <c r="AL61">
        <v>0.48212121212121201</v>
      </c>
      <c r="AM61">
        <v>0.34983838383838378</v>
      </c>
      <c r="AN61">
        <v>0.53208576998050694</v>
      </c>
      <c r="AO61">
        <v>0.49444444444444446</v>
      </c>
      <c r="AP61">
        <v>0.24229885057471268</v>
      </c>
      <c r="AQ61">
        <v>0.25019121447028425</v>
      </c>
      <c r="AR61">
        <v>0.32719999999999982</v>
      </c>
      <c r="AS61">
        <v>0.17620915032679732</v>
      </c>
      <c r="AT61">
        <v>0.42696759259259254</v>
      </c>
      <c r="AU61">
        <v>0.35502314814814817</v>
      </c>
      <c r="AV61">
        <v>0.38057870370370389</v>
      </c>
    </row>
    <row r="62" spans="1:48">
      <c r="A62" s="1">
        <v>61</v>
      </c>
      <c r="B62" s="1">
        <v>0</v>
      </c>
      <c r="C62" s="1">
        <v>1</v>
      </c>
      <c r="D62" s="1">
        <v>0</v>
      </c>
      <c r="E62" s="1">
        <v>0</v>
      </c>
      <c r="F62" s="1">
        <v>6</v>
      </c>
      <c r="G62" s="1">
        <v>6</v>
      </c>
      <c r="H62" s="1">
        <v>1</v>
      </c>
      <c r="I62" s="1">
        <v>2</v>
      </c>
      <c r="J62" s="1">
        <v>2</v>
      </c>
      <c r="K62">
        <v>3.884782608695652E-2</v>
      </c>
      <c r="L62">
        <v>4.4547826086956538E-2</v>
      </c>
      <c r="M62">
        <v>4.1723809523809517E-2</v>
      </c>
      <c r="N62">
        <v>4.9720833333333346E-2</v>
      </c>
      <c r="O62">
        <v>6.0659090909090919E-2</v>
      </c>
      <c r="P62">
        <v>6.301818181818182E-2</v>
      </c>
      <c r="Q62">
        <v>6.3195454545454541E-2</v>
      </c>
      <c r="R62">
        <v>5.3928390151515154E-2</v>
      </c>
      <c r="S62">
        <f t="shared" si="0"/>
        <v>5.9148390151515157E-2</v>
      </c>
      <c r="T62">
        <f t="shared" si="1"/>
        <v>5.2200000000000024E-3</v>
      </c>
      <c r="U62">
        <v>5.3108333333333313E-2</v>
      </c>
      <c r="V62">
        <v>5.3795238095238104E-2</v>
      </c>
      <c r="W62">
        <v>0.48470819304152646</v>
      </c>
      <c r="X62">
        <v>0.54178571428571409</v>
      </c>
      <c r="Y62">
        <v>0.57866931216931228</v>
      </c>
      <c r="Z62">
        <v>0.64761904761904732</v>
      </c>
      <c r="AA62">
        <v>0.70432148148148144</v>
      </c>
      <c r="AB62">
        <v>0.44364149305555556</v>
      </c>
      <c r="AC62">
        <v>0.27505395158938495</v>
      </c>
      <c r="AD62">
        <v>0.30272955974842775</v>
      </c>
      <c r="AE62">
        <v>0.29607539682539702</v>
      </c>
      <c r="AF62">
        <v>8.1432379349045986E-2</v>
      </c>
      <c r="AG62">
        <v>0.1941889699918897</v>
      </c>
      <c r="AH62">
        <v>0.11356853203568547</v>
      </c>
      <c r="AI62">
        <v>8.5163557718302238E-2</v>
      </c>
      <c r="AJ62">
        <v>0.135354938271605</v>
      </c>
      <c r="AK62">
        <v>0.31118125701459043</v>
      </c>
      <c r="AL62">
        <v>0.43664141414141416</v>
      </c>
      <c r="AM62">
        <v>0.33294781144781138</v>
      </c>
      <c r="AN62">
        <v>0.50813515269655618</v>
      </c>
      <c r="AO62">
        <v>0.72819113756613763</v>
      </c>
      <c r="AP62">
        <v>0.35937739463601542</v>
      </c>
      <c r="AQ62">
        <v>0.28092850990525431</v>
      </c>
      <c r="AR62">
        <v>0.30080000000000007</v>
      </c>
      <c r="AS62">
        <v>7.7685185185184982E-2</v>
      </c>
      <c r="AT62">
        <v>0.30333719135802462</v>
      </c>
      <c r="AU62">
        <v>0.17620756172839519</v>
      </c>
      <c r="AV62">
        <v>0.22796682098765453</v>
      </c>
    </row>
    <row r="63" spans="1:48">
      <c r="A63" s="1">
        <v>62</v>
      </c>
      <c r="B63" s="1">
        <v>0</v>
      </c>
      <c r="C63" s="1">
        <v>1</v>
      </c>
      <c r="D63" s="1">
        <v>0</v>
      </c>
      <c r="E63" s="1">
        <v>0</v>
      </c>
      <c r="F63" s="1">
        <v>5</v>
      </c>
      <c r="G63" s="1">
        <v>6</v>
      </c>
      <c r="H63" s="1">
        <v>1</v>
      </c>
      <c r="I63" s="1">
        <v>2</v>
      </c>
      <c r="J63" s="1">
        <v>2</v>
      </c>
      <c r="K63">
        <v>4.5773913043478262E-2</v>
      </c>
      <c r="L63">
        <v>5.7508695652173904E-2</v>
      </c>
      <c r="M63">
        <v>6.0666666666666647E-2</v>
      </c>
      <c r="N63">
        <v>4.720000000000002E-2</v>
      </c>
      <c r="O63">
        <v>5.2740909090909088E-2</v>
      </c>
      <c r="P63">
        <v>5.2990909090909089E-2</v>
      </c>
      <c r="Q63">
        <v>4.5363636363636356E-2</v>
      </c>
      <c r="R63">
        <v>5.2904166666666676E-2</v>
      </c>
      <c r="S63">
        <f t="shared" si="0"/>
        <v>4.9573863636363638E-2</v>
      </c>
      <c r="T63">
        <f t="shared" si="1"/>
        <v>-3.3303030303030376E-3</v>
      </c>
      <c r="U63">
        <v>4.2374999999999996E-2</v>
      </c>
      <c r="V63">
        <v>3.8514285714285723E-2</v>
      </c>
      <c r="W63">
        <v>0.68611672278338953</v>
      </c>
      <c r="X63">
        <v>0.69499999999999995</v>
      </c>
      <c r="Y63">
        <v>0.42784656084656042</v>
      </c>
      <c r="Z63">
        <v>0.56952380952380921</v>
      </c>
      <c r="AA63">
        <v>0.49612740740740746</v>
      </c>
      <c r="AB63">
        <v>0.23988715277777767</v>
      </c>
      <c r="AC63">
        <v>0.24172645086030928</v>
      </c>
      <c r="AD63">
        <v>0.26825157232704394</v>
      </c>
      <c r="AE63">
        <v>0.24205555555555566</v>
      </c>
      <c r="AF63">
        <v>4.1820987654320976E-2</v>
      </c>
      <c r="AG63">
        <v>8.9156528791565312E-2</v>
      </c>
      <c r="AH63">
        <v>9.2003244120032482E-2</v>
      </c>
      <c r="AI63">
        <v>7.5306839686401728E-2</v>
      </c>
      <c r="AJ63">
        <v>0.24185802469135814</v>
      </c>
      <c r="AK63">
        <v>0.3128002244668911</v>
      </c>
      <c r="AL63">
        <v>0.34025252525252497</v>
      </c>
      <c r="AM63">
        <v>0.44969360269360242</v>
      </c>
      <c r="AN63">
        <v>0.42453541260558786</v>
      </c>
      <c r="AO63">
        <v>0.56908068783068788</v>
      </c>
      <c r="AP63">
        <v>0.3480076628352492</v>
      </c>
      <c r="AQ63">
        <v>0.19445650301464229</v>
      </c>
      <c r="AR63">
        <v>0.35140000000000027</v>
      </c>
      <c r="AS63">
        <v>0.12916122004357294</v>
      </c>
      <c r="AT63">
        <v>0.20158179012345689</v>
      </c>
      <c r="AU63">
        <v>9.8433641975308656E-2</v>
      </c>
      <c r="AV63">
        <v>0.1868132716049383</v>
      </c>
    </row>
    <row r="64" spans="1:48">
      <c r="A64" s="1">
        <v>63</v>
      </c>
      <c r="B64" s="1">
        <v>0</v>
      </c>
      <c r="C64" s="1">
        <v>1</v>
      </c>
      <c r="D64" s="1">
        <v>0</v>
      </c>
      <c r="E64" s="1">
        <v>1</v>
      </c>
      <c r="F64" s="1">
        <v>5</v>
      </c>
      <c r="G64" s="1">
        <v>6</v>
      </c>
      <c r="H64" s="1">
        <v>1</v>
      </c>
      <c r="I64" s="1">
        <v>2</v>
      </c>
      <c r="J64" s="1">
        <v>2</v>
      </c>
      <c r="K64">
        <v>4.0152173913043487E-2</v>
      </c>
      <c r="L64">
        <v>4.0369565217391309E-2</v>
      </c>
      <c r="M64">
        <v>4.6890476190476198E-2</v>
      </c>
      <c r="N64">
        <v>4.7329166666666679E-2</v>
      </c>
      <c r="O64">
        <v>4.6240909090909076E-2</v>
      </c>
      <c r="P64">
        <v>4.7586363636363614E-2</v>
      </c>
      <c r="Q64">
        <v>3.979545454545453E-2</v>
      </c>
      <c r="R64">
        <v>3.9404166666666664E-2</v>
      </c>
      <c r="S64">
        <f t="shared" si="0"/>
        <v>4.5237973484848475E-2</v>
      </c>
      <c r="T64">
        <f t="shared" si="1"/>
        <v>5.8338068181818109E-3</v>
      </c>
      <c r="U64">
        <v>3.0920833333333324E-2</v>
      </c>
      <c r="V64">
        <v>3.5785714285714289E-2</v>
      </c>
      <c r="W64">
        <v>0.69116161616161653</v>
      </c>
      <c r="X64">
        <v>0.45535714285714263</v>
      </c>
      <c r="Y64">
        <v>0.41988095238095241</v>
      </c>
      <c r="Z64">
        <v>0.74571428571428611</v>
      </c>
      <c r="AA64">
        <v>0.12216000000000009</v>
      </c>
      <c r="AB64">
        <v>0.3891927083333333</v>
      </c>
      <c r="AC64">
        <v>0.25741469816272972</v>
      </c>
      <c r="AD64">
        <v>0.25484276729559752</v>
      </c>
      <c r="AE64">
        <v>9.7500000000000003E-2</v>
      </c>
      <c r="AF64">
        <v>8.6174242424242445E-2</v>
      </c>
      <c r="AG64">
        <v>0.12603406326034064</v>
      </c>
      <c r="AH64">
        <v>0.11642335766423356</v>
      </c>
      <c r="AI64">
        <v>0.15760340632603415</v>
      </c>
      <c r="AJ64">
        <v>0.17136111111111135</v>
      </c>
      <c r="AK64">
        <v>0.33896464646464658</v>
      </c>
      <c r="AL64">
        <v>0.54568181818181816</v>
      </c>
      <c r="AM64">
        <v>0.41643939393939405</v>
      </c>
      <c r="AN64">
        <v>0.48910818713450299</v>
      </c>
      <c r="AO64">
        <v>0.42979166666666674</v>
      </c>
      <c r="AP64">
        <v>0.29931752873563222</v>
      </c>
      <c r="AQ64">
        <v>0.23821705426356587</v>
      </c>
      <c r="AR64">
        <v>0.22316666666666657</v>
      </c>
      <c r="AS64">
        <v>7.7450980392156865E-2</v>
      </c>
      <c r="AT64">
        <v>0.23298611111111128</v>
      </c>
      <c r="AU64">
        <v>0.14192708333333331</v>
      </c>
      <c r="AV64">
        <v>0.30095486111111119</v>
      </c>
    </row>
    <row r="65" spans="1:48">
      <c r="A65" s="1">
        <v>64</v>
      </c>
      <c r="B65" s="1">
        <v>1</v>
      </c>
      <c r="C65" s="1">
        <v>1</v>
      </c>
      <c r="D65" s="1">
        <v>0</v>
      </c>
      <c r="E65" s="1">
        <v>0</v>
      </c>
      <c r="F65" s="1">
        <v>9</v>
      </c>
      <c r="G65" s="1">
        <v>6</v>
      </c>
      <c r="H65" s="1">
        <v>2</v>
      </c>
      <c r="I65" s="1">
        <v>2</v>
      </c>
      <c r="J65" s="1">
        <v>3</v>
      </c>
      <c r="K65">
        <v>4.0630434782608707E-2</v>
      </c>
      <c r="L65">
        <v>4.0260869565217398E-2</v>
      </c>
      <c r="M65">
        <v>5.0580952380952393E-2</v>
      </c>
      <c r="N65">
        <v>3.8016666666666664E-2</v>
      </c>
      <c r="O65">
        <v>4.9677272727272716E-2</v>
      </c>
      <c r="P65">
        <v>4.9640909090909104E-2</v>
      </c>
      <c r="Q65">
        <v>4.1450000000000008E-2</v>
      </c>
      <c r="R65">
        <v>3.72375E-2</v>
      </c>
      <c r="S65">
        <f t="shared" si="0"/>
        <v>4.4696212121212123E-2</v>
      </c>
      <c r="T65">
        <f t="shared" si="1"/>
        <v>7.458712121212123E-3</v>
      </c>
      <c r="U65">
        <v>4.2008333333333314E-2</v>
      </c>
      <c r="V65">
        <v>4.1319047619047623E-2</v>
      </c>
      <c r="W65">
        <v>0.68893378226711566</v>
      </c>
      <c r="X65">
        <v>0.64</v>
      </c>
      <c r="Y65">
        <v>0.60048677248677229</v>
      </c>
      <c r="Z65">
        <v>0.76761904761904753</v>
      </c>
      <c r="AA65">
        <v>0.56773925925925939</v>
      </c>
      <c r="AB65">
        <v>0.33706597222222229</v>
      </c>
      <c r="AC65">
        <v>0.25774861475648891</v>
      </c>
      <c r="AD65">
        <v>0.39929559748427684</v>
      </c>
      <c r="AE65">
        <v>0.29901587301587301</v>
      </c>
      <c r="AF65">
        <v>0.14062850729517404</v>
      </c>
      <c r="AG65">
        <v>0.22069748580697499</v>
      </c>
      <c r="AH65">
        <v>0.18025952960259528</v>
      </c>
      <c r="AI65">
        <v>0.15121384157880505</v>
      </c>
      <c r="AJ65">
        <v>3.2864197530864205E-2</v>
      </c>
      <c r="AK65">
        <v>0.47785634118967463</v>
      </c>
      <c r="AL65">
        <v>0.55838383838383832</v>
      </c>
      <c r="AM65">
        <v>0.39954882154882154</v>
      </c>
      <c r="AN65">
        <v>0.49417803768680973</v>
      </c>
      <c r="AO65">
        <v>0.65443121693121709</v>
      </c>
      <c r="AP65">
        <v>0.30371647509578542</v>
      </c>
      <c r="AQ65">
        <v>0.30802411714039635</v>
      </c>
      <c r="AR65">
        <v>0.43459999999999982</v>
      </c>
      <c r="AS65">
        <v>0.18211328976034863</v>
      </c>
      <c r="AT65">
        <v>0.34390432098765433</v>
      </c>
      <c r="AU65">
        <v>0.23559413580246907</v>
      </c>
      <c r="AV65">
        <v>0.25033950617283945</v>
      </c>
    </row>
    <row r="66" spans="1:48">
      <c r="A66" s="1">
        <v>65</v>
      </c>
      <c r="B66" s="1">
        <v>1</v>
      </c>
      <c r="C66" s="1">
        <v>1</v>
      </c>
      <c r="D66" s="1">
        <v>1</v>
      </c>
      <c r="E66" s="1">
        <v>0</v>
      </c>
      <c r="F66" s="1">
        <v>15</v>
      </c>
      <c r="G66" s="1">
        <v>6</v>
      </c>
      <c r="H66" s="1">
        <v>3</v>
      </c>
      <c r="I66" s="1">
        <v>2</v>
      </c>
      <c r="J66" s="1">
        <v>5</v>
      </c>
      <c r="K66">
        <v>3.5817391304347843E-2</v>
      </c>
      <c r="L66">
        <v>3.837826086956523E-2</v>
      </c>
      <c r="M66">
        <v>4.9633333333333335E-2</v>
      </c>
      <c r="N66">
        <v>4.2104166666666686E-2</v>
      </c>
      <c r="O66">
        <v>4.7954545454545465E-2</v>
      </c>
      <c r="P66">
        <v>4.7386363636363636E-2</v>
      </c>
      <c r="Q66">
        <v>4.5559090909090931E-2</v>
      </c>
      <c r="R66">
        <v>3.6787500000000008E-2</v>
      </c>
      <c r="S66">
        <f t="shared" si="0"/>
        <v>4.5751041666666679E-2</v>
      </c>
      <c r="T66">
        <f t="shared" si="1"/>
        <v>8.9635416666666717E-3</v>
      </c>
      <c r="U66">
        <v>4.0237500000000002E-2</v>
      </c>
      <c r="V66">
        <v>4.3761904761904787E-2</v>
      </c>
      <c r="W66">
        <v>0.65761503928170617</v>
      </c>
      <c r="X66">
        <v>0.25607142857142851</v>
      </c>
      <c r="Y66">
        <v>0.32394973544973532</v>
      </c>
      <c r="Z66">
        <v>0.76809523809523783</v>
      </c>
      <c r="AA66">
        <v>0.44834518518518524</v>
      </c>
      <c r="AB66">
        <v>0.3090928819444444</v>
      </c>
      <c r="AC66">
        <v>0.20394867308253128</v>
      </c>
      <c r="AD66">
        <v>0.27802515723270449</v>
      </c>
      <c r="AE66">
        <v>0.25642460317460308</v>
      </c>
      <c r="AF66">
        <v>0.14268378226711556</v>
      </c>
      <c r="AG66">
        <v>0.24924168694241708</v>
      </c>
      <c r="AH66">
        <v>0.19519059205190589</v>
      </c>
      <c r="AI66">
        <v>0.18223303595566362</v>
      </c>
      <c r="AJ66">
        <v>0.26336728395061737</v>
      </c>
      <c r="AK66">
        <v>0.27402076318742991</v>
      </c>
      <c r="AL66">
        <v>0.4429040404040403</v>
      </c>
      <c r="AM66">
        <v>0.28629461279461277</v>
      </c>
      <c r="AN66">
        <v>0.36584145549057828</v>
      </c>
      <c r="AO66">
        <v>0.46496362433862432</v>
      </c>
      <c r="AP66">
        <v>0.33976053639846732</v>
      </c>
      <c r="AQ66">
        <v>0.19550559862187777</v>
      </c>
      <c r="AR66">
        <v>0.38520000000000004</v>
      </c>
      <c r="AS66">
        <v>0.12770697167755984</v>
      </c>
      <c r="AT66">
        <v>0.32652391975308637</v>
      </c>
      <c r="AU66">
        <v>0.29427854938271614</v>
      </c>
      <c r="AV66">
        <v>0.37272762345679</v>
      </c>
    </row>
    <row r="67" spans="1:48">
      <c r="A67" s="1">
        <v>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2</v>
      </c>
      <c r="J67" s="1">
        <v>0</v>
      </c>
      <c r="K67">
        <v>3.2843478260869557E-2</v>
      </c>
      <c r="L67">
        <v>4.0347826086956536E-2</v>
      </c>
      <c r="M67">
        <v>4.7885714285714295E-2</v>
      </c>
      <c r="N67">
        <v>4.2887499999999988E-2</v>
      </c>
      <c r="O67">
        <v>4.7518181818181834E-2</v>
      </c>
      <c r="P67">
        <v>5.0177272727272723E-2</v>
      </c>
      <c r="Q67">
        <v>5.3490909090909075E-2</v>
      </c>
      <c r="R67">
        <v>4.1895833333333334E-2</v>
      </c>
      <c r="S67">
        <f t="shared" ref="S67:S109" si="2">AVERAGE(N67:Q67)</f>
        <v>4.851846590909091E-2</v>
      </c>
      <c r="T67">
        <f t="shared" ref="T67:T109" si="3">S67-R67</f>
        <v>6.6226325757575769E-3</v>
      </c>
      <c r="U67">
        <v>3.8504166666666673E-2</v>
      </c>
      <c r="V67">
        <v>4.0385714285714268E-2</v>
      </c>
      <c r="W67">
        <v>0.54629629629629628</v>
      </c>
      <c r="X67">
        <v>0.48071428571428576</v>
      </c>
      <c r="Y67">
        <v>0.38026984126984126</v>
      </c>
      <c r="Z67">
        <v>0.5257142857142858</v>
      </c>
      <c r="AA67">
        <v>0.39295111111111103</v>
      </c>
      <c r="AB67">
        <v>0.27955729166666671</v>
      </c>
      <c r="AC67">
        <v>0.21235345581802278</v>
      </c>
      <c r="AD67">
        <v>0.23222641509433961</v>
      </c>
      <c r="AE67">
        <v>0.20097619047619059</v>
      </c>
      <c r="AF67">
        <v>0.14019360269360268</v>
      </c>
      <c r="AG67">
        <v>0.23982968369829691</v>
      </c>
      <c r="AH67">
        <v>0.22253041362530415</v>
      </c>
      <c r="AI67">
        <v>0.18916463909164635</v>
      </c>
      <c r="AJ67">
        <v>0.15487037037037049</v>
      </c>
      <c r="AK67">
        <v>0.31382154882154883</v>
      </c>
      <c r="AL67">
        <v>0.33106060606060606</v>
      </c>
      <c r="AM67">
        <v>0.25576767676767675</v>
      </c>
      <c r="AN67">
        <v>0.34627680311890841</v>
      </c>
      <c r="AO67">
        <v>0.42638888888888887</v>
      </c>
      <c r="AP67">
        <v>0.25942528735632192</v>
      </c>
      <c r="AQ67">
        <v>0.25787080103359167</v>
      </c>
      <c r="AR67">
        <v>0.28480000000000005</v>
      </c>
      <c r="AS67">
        <v>0.13800653594771234</v>
      </c>
      <c r="AT67">
        <v>0.29039351851851858</v>
      </c>
      <c r="AU67">
        <v>0.30400462962962976</v>
      </c>
      <c r="AV67">
        <v>0.48261574074074076</v>
      </c>
    </row>
    <row r="68" spans="1:48">
      <c r="A68" s="1">
        <v>67</v>
      </c>
      <c r="B68" s="1">
        <v>1</v>
      </c>
      <c r="C68" s="1">
        <v>1</v>
      </c>
      <c r="D68" s="1">
        <v>1</v>
      </c>
      <c r="E68" s="1">
        <v>0</v>
      </c>
      <c r="F68" s="1">
        <v>18</v>
      </c>
      <c r="G68" s="1">
        <v>6</v>
      </c>
      <c r="H68" s="1">
        <v>3</v>
      </c>
      <c r="I68" s="1">
        <v>2</v>
      </c>
      <c r="J68" s="1">
        <v>5</v>
      </c>
      <c r="K68">
        <v>4.2304347826086969E-2</v>
      </c>
      <c r="L68">
        <v>4.4730434782608693E-2</v>
      </c>
      <c r="M68">
        <v>4.9623809523809501E-2</v>
      </c>
      <c r="N68">
        <v>4.3370833333333324E-2</v>
      </c>
      <c r="O68">
        <v>4.6954545454545429E-2</v>
      </c>
      <c r="P68">
        <v>5.1422727272727273E-2</v>
      </c>
      <c r="Q68">
        <v>5.641363636363636E-2</v>
      </c>
      <c r="R68">
        <v>4.8062500000000008E-2</v>
      </c>
      <c r="S68">
        <f t="shared" si="2"/>
        <v>4.9540435606060591E-2</v>
      </c>
      <c r="T68">
        <f t="shared" si="3"/>
        <v>1.4779356060605833E-3</v>
      </c>
      <c r="U68">
        <v>3.3258333333333355E-2</v>
      </c>
      <c r="V68">
        <v>5.5214285714285716E-2</v>
      </c>
      <c r="W68">
        <v>0.81497755331088684</v>
      </c>
      <c r="X68">
        <v>0.50821428571428562</v>
      </c>
      <c r="Y68">
        <v>0.38944708994709004</v>
      </c>
      <c r="Z68">
        <v>0.82190476190476169</v>
      </c>
      <c r="AA68">
        <v>0.50235703703703705</v>
      </c>
      <c r="AB68">
        <v>0.26017795138888894</v>
      </c>
      <c r="AC68">
        <v>0.26878973461650629</v>
      </c>
      <c r="AD68">
        <v>0.42642767295597489</v>
      </c>
      <c r="AE68">
        <v>0.27624206349206343</v>
      </c>
      <c r="AF68">
        <v>0.14906705948372628</v>
      </c>
      <c r="AG68">
        <v>0.30851987023519867</v>
      </c>
      <c r="AH68">
        <v>0.25497972424979726</v>
      </c>
      <c r="AI68">
        <v>0.28222762908894306</v>
      </c>
      <c r="AJ68">
        <v>0.27237345679012359</v>
      </c>
      <c r="AK68">
        <v>0.30998597081930418</v>
      </c>
      <c r="AL68">
        <v>0.53830808080808101</v>
      </c>
      <c r="AM68">
        <v>0.3334225589225589</v>
      </c>
      <c r="AN68">
        <v>0.52671215074723843</v>
      </c>
      <c r="AO68">
        <v>0.56906415343915351</v>
      </c>
      <c r="AP68">
        <v>0.29202107279693496</v>
      </c>
      <c r="AQ68">
        <v>0.31744530577088714</v>
      </c>
      <c r="AR68">
        <v>0.39939999999999998</v>
      </c>
      <c r="AS68">
        <v>0.17281590413943354</v>
      </c>
      <c r="AT68">
        <v>0.40738811728395052</v>
      </c>
      <c r="AU68">
        <v>0.31685570987654327</v>
      </c>
      <c r="AV68">
        <v>0.54667052469135802</v>
      </c>
    </row>
    <row r="69" spans="1:48">
      <c r="A69" s="1">
        <v>68</v>
      </c>
      <c r="B69" s="1">
        <v>1</v>
      </c>
      <c r="C69" s="1">
        <v>1</v>
      </c>
      <c r="D69" s="1">
        <v>0</v>
      </c>
      <c r="E69" s="1">
        <v>0</v>
      </c>
      <c r="F69" s="1">
        <v>8</v>
      </c>
      <c r="G69" s="1">
        <v>6</v>
      </c>
      <c r="H69" s="1">
        <v>2</v>
      </c>
      <c r="I69" s="1">
        <v>2</v>
      </c>
      <c r="J69" s="1">
        <v>3</v>
      </c>
      <c r="K69">
        <v>4.0686956521739107E-2</v>
      </c>
      <c r="L69">
        <v>4.9217391304347831E-2</v>
      </c>
      <c r="M69">
        <v>4.541904761904763E-2</v>
      </c>
      <c r="N69">
        <v>4.4841666666666669E-2</v>
      </c>
      <c r="O69">
        <v>5.3300000000000007E-2</v>
      </c>
      <c r="P69">
        <v>4.5249999999999992E-2</v>
      </c>
      <c r="Q69">
        <v>5.3540909090909077E-2</v>
      </c>
      <c r="R69">
        <v>4.8116666666666676E-2</v>
      </c>
      <c r="S69">
        <f t="shared" si="2"/>
        <v>4.9233143939393938E-2</v>
      </c>
      <c r="T69">
        <f t="shared" si="3"/>
        <v>1.116477272727262E-3</v>
      </c>
      <c r="U69">
        <v>4.2179166666666677E-2</v>
      </c>
      <c r="V69">
        <v>6.144761904761905E-2</v>
      </c>
      <c r="W69">
        <v>0.58547699214365878</v>
      </c>
      <c r="X69">
        <v>0.3785714285714285</v>
      </c>
      <c r="Y69">
        <v>0.48005291005291034</v>
      </c>
      <c r="Z69">
        <v>0.55666666666666664</v>
      </c>
      <c r="AA69">
        <v>0.3909629629629629</v>
      </c>
      <c r="AB69">
        <v>0.35329861111111116</v>
      </c>
      <c r="AC69">
        <v>0.22995042286380876</v>
      </c>
      <c r="AD69">
        <v>0.27421383647798736</v>
      </c>
      <c r="AE69">
        <v>0.24865079365079371</v>
      </c>
      <c r="AF69">
        <v>0.13142536475869818</v>
      </c>
      <c r="AG69">
        <v>0.2173560421735605</v>
      </c>
      <c r="AH69">
        <v>0.18596918085969191</v>
      </c>
      <c r="AI69">
        <v>0.17967018113003513</v>
      </c>
      <c r="AJ69">
        <v>0.20787654320987664</v>
      </c>
      <c r="AK69">
        <v>0.2616049382716048</v>
      </c>
      <c r="AL69">
        <v>0.43737373737373741</v>
      </c>
      <c r="AM69">
        <v>0.28925925925925938</v>
      </c>
      <c r="AN69">
        <v>0.45363872644574388</v>
      </c>
      <c r="AO69">
        <v>0.49388227513227512</v>
      </c>
      <c r="AP69">
        <v>0.25047892720306525</v>
      </c>
      <c r="AQ69">
        <v>0.23655469422911257</v>
      </c>
      <c r="AR69">
        <v>0.29199999999999998</v>
      </c>
      <c r="AS69">
        <v>0.15174291938997816</v>
      </c>
      <c r="AT69">
        <v>0.32959104938271599</v>
      </c>
      <c r="AU69">
        <v>0.24324845679012341</v>
      </c>
      <c r="AV69">
        <v>0.27114197530864192</v>
      </c>
    </row>
    <row r="70" spans="1:48">
      <c r="A70" s="1">
        <v>69</v>
      </c>
      <c r="B70" s="1">
        <v>0</v>
      </c>
      <c r="C70" s="1">
        <v>1</v>
      </c>
      <c r="D70" s="1">
        <v>0</v>
      </c>
      <c r="E70" s="1">
        <v>0</v>
      </c>
      <c r="F70" s="1">
        <v>4</v>
      </c>
      <c r="G70" s="1">
        <v>6</v>
      </c>
      <c r="H70" s="1">
        <v>1</v>
      </c>
      <c r="I70" s="1">
        <v>2</v>
      </c>
      <c r="J70" s="1">
        <v>2</v>
      </c>
      <c r="K70">
        <v>3.5447826086956527E-2</v>
      </c>
      <c r="L70">
        <v>4.6282608695652164E-2</v>
      </c>
      <c r="M70">
        <v>5.2342857142857128E-2</v>
      </c>
      <c r="N70">
        <v>3.4137500000000008E-2</v>
      </c>
      <c r="O70">
        <v>4.5131818181818169E-2</v>
      </c>
      <c r="P70">
        <v>4.5877272727272732E-2</v>
      </c>
      <c r="Q70">
        <v>3.6640909090909106E-2</v>
      </c>
      <c r="R70">
        <v>4.7774999999999991E-2</v>
      </c>
      <c r="S70">
        <f t="shared" si="2"/>
        <v>4.0446875000000007E-2</v>
      </c>
      <c r="T70">
        <f t="shared" si="3"/>
        <v>-7.328124999999984E-3</v>
      </c>
      <c r="U70">
        <v>2.9341666666666655E-2</v>
      </c>
      <c r="V70">
        <v>4.1414285714285709E-2</v>
      </c>
      <c r="W70">
        <v>0.71779461279461254</v>
      </c>
      <c r="X70">
        <v>0.44750000000000001</v>
      </c>
      <c r="Y70">
        <v>0.31780158730158731</v>
      </c>
      <c r="Z70">
        <v>0.41571428571428576</v>
      </c>
      <c r="AA70">
        <v>0.39716888888888879</v>
      </c>
      <c r="AB70">
        <v>0.25579427083333339</v>
      </c>
      <c r="AC70">
        <v>0.20213473315835523</v>
      </c>
      <c r="AD70">
        <v>0.17030188679245289</v>
      </c>
      <c r="AE70">
        <v>0.2774880952380952</v>
      </c>
      <c r="AF70">
        <v>0.12514730639730645</v>
      </c>
      <c r="AG70">
        <v>0.20210462287104636</v>
      </c>
      <c r="AH70">
        <v>0.16148418491484184</v>
      </c>
      <c r="AI70">
        <v>0.10193025141930254</v>
      </c>
      <c r="AJ70">
        <v>0.20937962962962969</v>
      </c>
      <c r="AK70">
        <v>0.35413299663299663</v>
      </c>
      <c r="AL70">
        <v>0.25734848484848483</v>
      </c>
      <c r="AM70">
        <v>0.21236868686868693</v>
      </c>
      <c r="AN70">
        <v>0.3621442495126706</v>
      </c>
      <c r="AO70">
        <v>0.41245039682539675</v>
      </c>
      <c r="AP70">
        <v>0.23824712643678161</v>
      </c>
      <c r="AQ70">
        <v>0.24403617571059424</v>
      </c>
      <c r="AR70">
        <v>0.30759999999999987</v>
      </c>
      <c r="AS70">
        <v>0.15321895424836607</v>
      </c>
      <c r="AT70">
        <v>0.30908564814814821</v>
      </c>
      <c r="AU70">
        <v>0.21026620370370366</v>
      </c>
      <c r="AV70">
        <v>0.24457175925925928</v>
      </c>
    </row>
    <row r="71" spans="1:48">
      <c r="A71" s="1">
        <v>70</v>
      </c>
      <c r="B71" s="1">
        <v>1</v>
      </c>
      <c r="C71" s="1">
        <v>1</v>
      </c>
      <c r="D71" s="1">
        <v>1</v>
      </c>
      <c r="E71" s="1">
        <v>0</v>
      </c>
      <c r="F71" s="1">
        <v>21</v>
      </c>
      <c r="G71" s="1">
        <v>18</v>
      </c>
      <c r="H71" s="1">
        <v>3</v>
      </c>
      <c r="I71" s="1">
        <v>2</v>
      </c>
      <c r="J71" s="1">
        <v>6</v>
      </c>
      <c r="K71">
        <v>4.0617391304347834E-2</v>
      </c>
      <c r="L71">
        <v>4.1595652173913027E-2</v>
      </c>
      <c r="M71">
        <v>5.2295238095238089E-2</v>
      </c>
      <c r="N71">
        <v>3.832083333333336E-2</v>
      </c>
      <c r="O71">
        <v>5.1245454545454532E-2</v>
      </c>
      <c r="P71">
        <v>5.2045454545454548E-2</v>
      </c>
      <c r="Q71">
        <v>5.4545454545454557E-2</v>
      </c>
      <c r="R71">
        <v>4.6283333333333343E-2</v>
      </c>
      <c r="S71">
        <f t="shared" si="2"/>
        <v>4.9039299242424256E-2</v>
      </c>
      <c r="T71">
        <f t="shared" si="3"/>
        <v>2.7559659090909128E-3</v>
      </c>
      <c r="U71">
        <v>4.0287499999999997E-2</v>
      </c>
      <c r="V71">
        <v>5.5228571428571439E-2</v>
      </c>
      <c r="W71">
        <v>0.48465768799102127</v>
      </c>
      <c r="X71">
        <v>0.50642857142857134</v>
      </c>
      <c r="Y71">
        <v>0.50983597883597909</v>
      </c>
      <c r="Z71">
        <v>0.58476190476190471</v>
      </c>
      <c r="AA71">
        <v>0.57377481481481485</v>
      </c>
      <c r="AB71">
        <v>0.42782118055555546</v>
      </c>
      <c r="AC71">
        <v>0.33731116943715378</v>
      </c>
      <c r="AD71">
        <v>0.47469182389937126</v>
      </c>
      <c r="AE71">
        <v>0.36775396825396822</v>
      </c>
      <c r="AF71">
        <v>0.19462682379349044</v>
      </c>
      <c r="AG71">
        <v>0.2905028386050284</v>
      </c>
      <c r="AH71">
        <v>0.24356853203568532</v>
      </c>
      <c r="AI71">
        <v>0.2606866720735333</v>
      </c>
      <c r="AJ71">
        <v>0.12888271604938276</v>
      </c>
      <c r="AK71">
        <v>0.28211560044893369</v>
      </c>
      <c r="AL71">
        <v>0.42914141414141421</v>
      </c>
      <c r="AM71">
        <v>0.32911447811447814</v>
      </c>
      <c r="AN71">
        <v>0.5083690708252111</v>
      </c>
      <c r="AO71">
        <v>0.64530423280423288</v>
      </c>
      <c r="AP71">
        <v>0.3415325670498085</v>
      </c>
      <c r="AQ71">
        <v>0.32500602928509909</v>
      </c>
      <c r="AR71">
        <v>0.45520000000000016</v>
      </c>
      <c r="AS71">
        <v>0.19685185185185189</v>
      </c>
      <c r="AT71">
        <v>0.53545524691358026</v>
      </c>
      <c r="AU71">
        <v>0.33353395061728403</v>
      </c>
      <c r="AV71">
        <v>0.51591820987654324</v>
      </c>
    </row>
    <row r="72" spans="1:48">
      <c r="A72" s="1">
        <v>71</v>
      </c>
      <c r="B72" s="1">
        <v>1</v>
      </c>
      <c r="C72" s="1">
        <v>0</v>
      </c>
      <c r="D72" s="1">
        <v>0</v>
      </c>
      <c r="E72" s="1">
        <v>0</v>
      </c>
      <c r="F72" s="1">
        <v>2</v>
      </c>
      <c r="G72" s="1">
        <v>6</v>
      </c>
      <c r="H72" s="1">
        <v>1</v>
      </c>
      <c r="I72" s="1">
        <v>2</v>
      </c>
      <c r="J72" s="1">
        <v>1</v>
      </c>
      <c r="K72">
        <v>3.7069565217391298E-2</v>
      </c>
      <c r="L72">
        <v>4.0999999999999981E-2</v>
      </c>
      <c r="M72">
        <v>6.2480952380952401E-2</v>
      </c>
      <c r="N72">
        <v>4.3399999999999973E-2</v>
      </c>
      <c r="O72">
        <v>5.1245454545454552E-2</v>
      </c>
      <c r="P72">
        <v>5.2477272727272734E-2</v>
      </c>
      <c r="Q72">
        <v>4.8918181818181798E-2</v>
      </c>
      <c r="R72">
        <v>3.8887499999999998E-2</v>
      </c>
      <c r="S72">
        <f t="shared" si="2"/>
        <v>4.9010227272727268E-2</v>
      </c>
      <c r="T72">
        <f t="shared" si="3"/>
        <v>1.0122727272727269E-2</v>
      </c>
      <c r="U72">
        <v>3.1720833333333344E-2</v>
      </c>
      <c r="V72">
        <v>5.0233333333333352E-2</v>
      </c>
      <c r="W72">
        <v>0.63515712682379355</v>
      </c>
      <c r="X72">
        <v>0.28964285714285715</v>
      </c>
      <c r="Y72">
        <v>0.49758465608465613</v>
      </c>
      <c r="Z72">
        <v>0.8180952380952381</v>
      </c>
      <c r="AA72">
        <v>0.60798074074074071</v>
      </c>
      <c r="AB72">
        <v>0.29516059027777775</v>
      </c>
      <c r="AC72">
        <v>0.21973170020414112</v>
      </c>
      <c r="AD72">
        <v>0.35493081761006284</v>
      </c>
      <c r="AE72">
        <v>0.23230555555555554</v>
      </c>
      <c r="AF72">
        <v>9.8954826038159485E-2</v>
      </c>
      <c r="AG72">
        <v>0.24167477696674783</v>
      </c>
      <c r="AH72">
        <v>0.21178426601784267</v>
      </c>
      <c r="AI72">
        <v>0.14572046499053806</v>
      </c>
      <c r="AJ72">
        <v>0.18038580246913583</v>
      </c>
      <c r="AK72">
        <v>0.21646184062850729</v>
      </c>
      <c r="AL72">
        <v>0.49911616161616157</v>
      </c>
      <c r="AM72">
        <v>0.37495117845117854</v>
      </c>
      <c r="AN72">
        <v>0.46599740090968128</v>
      </c>
      <c r="AO72">
        <v>0.62726521164021165</v>
      </c>
      <c r="AP72">
        <v>0.32154214559386973</v>
      </c>
      <c r="AQ72">
        <v>0.27574332472006885</v>
      </c>
      <c r="AR72">
        <v>0.31379999999999997</v>
      </c>
      <c r="AS72">
        <v>0.1247984749455338</v>
      </c>
      <c r="AT72">
        <v>0.40765817901234569</v>
      </c>
      <c r="AU72">
        <v>0.27346836419753079</v>
      </c>
      <c r="AV72">
        <v>0.37059799382716069</v>
      </c>
    </row>
    <row r="73" spans="1:48">
      <c r="A73" s="1">
        <v>72</v>
      </c>
      <c r="B73" s="1">
        <v>1</v>
      </c>
      <c r="C73" s="1">
        <v>1</v>
      </c>
      <c r="D73" s="1">
        <v>1</v>
      </c>
      <c r="E73" s="1">
        <v>0</v>
      </c>
      <c r="F73" s="1">
        <v>24</v>
      </c>
      <c r="G73" s="1">
        <v>18</v>
      </c>
      <c r="H73" s="1">
        <v>3</v>
      </c>
      <c r="I73" s="1">
        <v>2</v>
      </c>
      <c r="J73" s="1">
        <v>6</v>
      </c>
      <c r="K73">
        <v>3.8543478260869575E-2</v>
      </c>
      <c r="L73">
        <v>4.6013043478260851E-2</v>
      </c>
      <c r="M73">
        <v>4.8466666666666679E-2</v>
      </c>
      <c r="N73">
        <v>4.1362500000000024E-2</v>
      </c>
      <c r="O73">
        <v>5.5672727272727235E-2</v>
      </c>
      <c r="P73">
        <v>4.7327272727272725E-2</v>
      </c>
      <c r="Q73">
        <v>4.898636363636364E-2</v>
      </c>
      <c r="R73">
        <v>4.5791666666666675E-2</v>
      </c>
      <c r="S73">
        <f t="shared" si="2"/>
        <v>4.8337215909090903E-2</v>
      </c>
      <c r="T73">
        <f t="shared" si="3"/>
        <v>2.5455492424242276E-3</v>
      </c>
      <c r="U73">
        <v>3.3345833333333331E-2</v>
      </c>
      <c r="V73">
        <v>4.6771428571428561E-2</v>
      </c>
      <c r="W73">
        <v>0.57292929292929273</v>
      </c>
      <c r="X73">
        <v>0.36857142857142883</v>
      </c>
      <c r="Y73">
        <v>0.41104761904761894</v>
      </c>
      <c r="Z73">
        <v>0.87428571428571422</v>
      </c>
      <c r="AA73">
        <v>0.6349866666666667</v>
      </c>
      <c r="AB73">
        <v>0.27187499999999998</v>
      </c>
      <c r="AC73">
        <v>0.3328608923884514</v>
      </c>
      <c r="AD73">
        <v>0.50460377358490582</v>
      </c>
      <c r="AE73">
        <v>0.28399999999999992</v>
      </c>
      <c r="AF73">
        <v>0.18888888888888888</v>
      </c>
      <c r="AG73">
        <v>0.26656934306569341</v>
      </c>
      <c r="AH73">
        <v>0.26613138686131382</v>
      </c>
      <c r="AI73">
        <v>0.21323600973236009</v>
      </c>
      <c r="AJ73">
        <v>0.23788888888888896</v>
      </c>
      <c r="AK73">
        <v>0.26808080808080814</v>
      </c>
      <c r="AL73">
        <v>0.50545454545454538</v>
      </c>
      <c r="AM73">
        <v>0.35715151515151516</v>
      </c>
      <c r="AN73">
        <v>0.58678362573099407</v>
      </c>
      <c r="AO73">
        <v>0.67619047619047612</v>
      </c>
      <c r="AP73">
        <v>0.46620689655172409</v>
      </c>
      <c r="AQ73">
        <v>0.37438759689922479</v>
      </c>
      <c r="AR73">
        <v>0.40440000000000004</v>
      </c>
      <c r="AS73">
        <v>0.37039215686274507</v>
      </c>
      <c r="AT73">
        <v>0.65798611111111116</v>
      </c>
      <c r="AU73">
        <v>0.42381944444444453</v>
      </c>
      <c r="AV73">
        <v>0.41486111111111112</v>
      </c>
    </row>
    <row r="74" spans="1:48">
      <c r="A74" s="1">
        <v>73</v>
      </c>
      <c r="B74" s="1">
        <v>1</v>
      </c>
      <c r="C74" s="1">
        <v>1</v>
      </c>
      <c r="D74" s="1">
        <v>1</v>
      </c>
      <c r="E74" s="1">
        <v>0</v>
      </c>
      <c r="F74" s="1">
        <v>14</v>
      </c>
      <c r="G74" s="1">
        <v>6</v>
      </c>
      <c r="H74" s="1">
        <v>3</v>
      </c>
      <c r="I74" s="1">
        <v>2</v>
      </c>
      <c r="J74" s="1">
        <v>5</v>
      </c>
      <c r="K74">
        <v>4.0969565217391299E-2</v>
      </c>
      <c r="L74">
        <v>4.3099999999999992E-2</v>
      </c>
      <c r="M74">
        <v>5.9100000000000014E-2</v>
      </c>
      <c r="N74">
        <v>5.0179166666666684E-2</v>
      </c>
      <c r="O74">
        <v>5.9218181818181795E-2</v>
      </c>
      <c r="P74">
        <v>5.8986363636363649E-2</v>
      </c>
      <c r="Q74">
        <v>5.4872727272727288E-2</v>
      </c>
      <c r="R74">
        <v>5.5316666666666681E-2</v>
      </c>
      <c r="S74">
        <f t="shared" si="2"/>
        <v>5.5814109848484852E-2</v>
      </c>
      <c r="T74">
        <f t="shared" si="3"/>
        <v>4.9744318181817182E-4</v>
      </c>
      <c r="U74">
        <v>4.9637500000000022E-2</v>
      </c>
      <c r="V74">
        <v>4.540000000000001E-2</v>
      </c>
      <c r="W74">
        <v>0.71070145903479187</v>
      </c>
      <c r="X74">
        <v>0.49321428571428577</v>
      </c>
      <c r="Y74">
        <v>0.62879629629629619</v>
      </c>
      <c r="Z74">
        <v>1.1504761904761902</v>
      </c>
      <c r="AA74">
        <v>0.82359259259259232</v>
      </c>
      <c r="AB74">
        <v>0.37515190972222223</v>
      </c>
      <c r="AC74">
        <v>0.31685622630504517</v>
      </c>
      <c r="AD74">
        <v>0.47767295597484272</v>
      </c>
      <c r="AE74">
        <v>0.38712301587301579</v>
      </c>
      <c r="AF74">
        <v>0.16215628507295182</v>
      </c>
      <c r="AG74">
        <v>0.39219383617193831</v>
      </c>
      <c r="AH74">
        <v>0.17814274128142746</v>
      </c>
      <c r="AI74">
        <v>0.13184644498513121</v>
      </c>
      <c r="AJ74">
        <v>0.20639197530864184</v>
      </c>
      <c r="AK74">
        <v>0.26969977553310898</v>
      </c>
      <c r="AL74">
        <v>0.59724747474747464</v>
      </c>
      <c r="AM74">
        <v>0.38844276094276092</v>
      </c>
      <c r="AN74">
        <v>0.82335932423651703</v>
      </c>
      <c r="AO74">
        <v>0.93047288359788349</v>
      </c>
      <c r="AP74">
        <v>0.4350095785440613</v>
      </c>
      <c r="AQ74">
        <v>0.35954349698535742</v>
      </c>
      <c r="AR74">
        <v>0.47099999999999992</v>
      </c>
      <c r="AS74">
        <v>0.16598583877995635</v>
      </c>
      <c r="AT74">
        <v>0.57914737654321002</v>
      </c>
      <c r="AU74">
        <v>0.289795524691358</v>
      </c>
      <c r="AV74">
        <v>0.3466242283950618</v>
      </c>
    </row>
    <row r="75" spans="1:48">
      <c r="A75" s="1">
        <v>74</v>
      </c>
      <c r="B75" s="1">
        <v>1</v>
      </c>
      <c r="C75" s="1">
        <v>1</v>
      </c>
      <c r="D75" s="1">
        <v>1</v>
      </c>
      <c r="E75" s="1">
        <v>0</v>
      </c>
      <c r="F75" s="1">
        <v>13</v>
      </c>
      <c r="G75" s="1">
        <v>6</v>
      </c>
      <c r="H75" s="1">
        <v>3</v>
      </c>
      <c r="I75" s="1">
        <v>2</v>
      </c>
      <c r="J75" s="1">
        <v>5</v>
      </c>
      <c r="K75">
        <v>3.2365217391304359E-2</v>
      </c>
      <c r="L75">
        <v>4.4178260869565229E-2</v>
      </c>
      <c r="M75">
        <v>4.6400000000000011E-2</v>
      </c>
      <c r="N75">
        <v>4.398333333333334E-2</v>
      </c>
      <c r="O75">
        <v>4.9318181818181796E-2</v>
      </c>
      <c r="P75">
        <v>5.0790909090909088E-2</v>
      </c>
      <c r="Q75">
        <v>5.5513636363636355E-2</v>
      </c>
      <c r="R75">
        <v>4.6416666666666662E-2</v>
      </c>
      <c r="S75">
        <f t="shared" si="2"/>
        <v>4.9901515151515141E-2</v>
      </c>
      <c r="T75">
        <f t="shared" si="3"/>
        <v>3.4848484848484795E-3</v>
      </c>
      <c r="U75">
        <v>3.9604166666666663E-2</v>
      </c>
      <c r="V75">
        <v>5.4452380952380953E-2</v>
      </c>
      <c r="W75">
        <v>0.48120089786756443</v>
      </c>
      <c r="X75">
        <v>0.38642857142857145</v>
      </c>
      <c r="Y75">
        <v>0.49940211640211629</v>
      </c>
      <c r="Z75">
        <v>0.58380952380952356</v>
      </c>
      <c r="AA75">
        <v>0.49619851851851854</v>
      </c>
      <c r="AB75">
        <v>0.40186631944444445</v>
      </c>
      <c r="AC75">
        <v>0.31423738699329246</v>
      </c>
      <c r="AD75">
        <v>0.28847798742138375</v>
      </c>
      <c r="AE75">
        <v>0.3581031746031747</v>
      </c>
      <c r="AF75">
        <v>0.27178731762065084</v>
      </c>
      <c r="AG75">
        <v>0.25066504460665057</v>
      </c>
      <c r="AH75">
        <v>0.23467964314679635</v>
      </c>
      <c r="AI75">
        <v>0.22344958096782913</v>
      </c>
      <c r="AJ75">
        <v>0.1578950617283951</v>
      </c>
      <c r="AK75">
        <v>0.27131874298540981</v>
      </c>
      <c r="AL75">
        <v>0.39267676767676768</v>
      </c>
      <c r="AM75">
        <v>0.30609764309764298</v>
      </c>
      <c r="AN75">
        <v>0.45028589993502272</v>
      </c>
      <c r="AO75">
        <v>0.55439814814814825</v>
      </c>
      <c r="AP75">
        <v>0.35036398467432939</v>
      </c>
      <c r="AQ75">
        <v>0.30935055986218785</v>
      </c>
      <c r="AR75">
        <v>0.42360000000000009</v>
      </c>
      <c r="AS75">
        <v>0.24687363834422657</v>
      </c>
      <c r="AT75">
        <v>0.39405864197530877</v>
      </c>
      <c r="AU75">
        <v>0.33285493827160489</v>
      </c>
      <c r="AV75">
        <v>0.40755401234567912</v>
      </c>
    </row>
    <row r="76" spans="1:48">
      <c r="A76" s="1">
        <v>75</v>
      </c>
      <c r="B76" s="1">
        <v>0</v>
      </c>
      <c r="C76" s="1">
        <v>1</v>
      </c>
      <c r="D76" s="1">
        <v>0</v>
      </c>
      <c r="E76" s="1">
        <v>1</v>
      </c>
      <c r="F76" s="1">
        <v>6</v>
      </c>
      <c r="G76" s="1">
        <v>6</v>
      </c>
      <c r="H76" s="1">
        <v>1</v>
      </c>
      <c r="I76" s="1">
        <v>2</v>
      </c>
      <c r="J76" s="1">
        <v>2</v>
      </c>
      <c r="K76">
        <v>3.8630434782608698E-2</v>
      </c>
      <c r="L76">
        <v>5.043043478260871E-2</v>
      </c>
      <c r="M76">
        <v>5.5209523809523819E-2</v>
      </c>
      <c r="N76">
        <v>4.8095833333333317E-2</v>
      </c>
      <c r="O76">
        <v>4.9386363636363638E-2</v>
      </c>
      <c r="P76">
        <v>4.9104545454545449E-2</v>
      </c>
      <c r="Q76">
        <v>4.9577272727272727E-2</v>
      </c>
      <c r="R76">
        <v>4.1841666666666666E-2</v>
      </c>
      <c r="S76">
        <f t="shared" si="2"/>
        <v>4.9041003787878783E-2</v>
      </c>
      <c r="T76">
        <f t="shared" si="3"/>
        <v>7.1993371212121168E-3</v>
      </c>
      <c r="U76">
        <v>3.1854166666666663E-2</v>
      </c>
      <c r="V76">
        <v>5.1661904761904749E-2</v>
      </c>
      <c r="W76">
        <v>0.43351851851851853</v>
      </c>
      <c r="X76">
        <v>0.38535714285714284</v>
      </c>
      <c r="Y76">
        <v>0.40715079365079354</v>
      </c>
      <c r="Z76">
        <v>0.42714285714285732</v>
      </c>
      <c r="AA76">
        <v>0.26505066666666671</v>
      </c>
      <c r="AB76">
        <v>0.30827256944444437</v>
      </c>
      <c r="AC76">
        <v>0.17008311461067357</v>
      </c>
      <c r="AD76">
        <v>0.19377777777777774</v>
      </c>
      <c r="AE76">
        <v>0.20569047619047615</v>
      </c>
      <c r="AF76">
        <v>0.11763888888888888</v>
      </c>
      <c r="AG76">
        <v>0.12639091646390918</v>
      </c>
      <c r="AH76">
        <v>0.12513381995133821</v>
      </c>
      <c r="AI76">
        <v>0.14083130575831307</v>
      </c>
      <c r="AJ76">
        <v>0.12639814814814815</v>
      </c>
      <c r="AK76">
        <v>0.22384680134680127</v>
      </c>
      <c r="AL76">
        <v>0.30537878787878792</v>
      </c>
      <c r="AM76">
        <v>0.24375252525252519</v>
      </c>
      <c r="AN76">
        <v>0.31903021442495128</v>
      </c>
      <c r="AO76">
        <v>0.36779960317460325</v>
      </c>
      <c r="AP76">
        <v>0.21191331417624515</v>
      </c>
      <c r="AQ76">
        <v>0.19621188630490957</v>
      </c>
      <c r="AR76">
        <v>0.23912222222222229</v>
      </c>
      <c r="AS76">
        <v>0.13189542483660133</v>
      </c>
      <c r="AT76">
        <v>0.21752314814814822</v>
      </c>
      <c r="AU76">
        <v>0.15519097222222222</v>
      </c>
      <c r="AV76">
        <v>0.20958912037037056</v>
      </c>
    </row>
    <row r="77" spans="1:48">
      <c r="A77" s="1">
        <v>76</v>
      </c>
      <c r="B77" s="1">
        <v>1</v>
      </c>
      <c r="C77" s="1">
        <v>0</v>
      </c>
      <c r="D77" s="1">
        <v>0</v>
      </c>
      <c r="E77" s="1">
        <v>0</v>
      </c>
      <c r="F77" s="1">
        <v>1</v>
      </c>
      <c r="G77" s="1">
        <v>6</v>
      </c>
      <c r="H77" s="1">
        <v>1</v>
      </c>
      <c r="I77" s="1">
        <v>2</v>
      </c>
      <c r="J77" s="1">
        <v>1</v>
      </c>
      <c r="K77">
        <v>3.5521739130434771E-2</v>
      </c>
      <c r="L77">
        <v>4.6778260869565227E-2</v>
      </c>
      <c r="M77">
        <v>4.9157142857142865E-2</v>
      </c>
      <c r="N77">
        <v>4.4845833333333328E-2</v>
      </c>
      <c r="O77">
        <v>5.2200000000000003E-2</v>
      </c>
      <c r="P77">
        <v>4.9413636363636361E-2</v>
      </c>
      <c r="Q77">
        <v>5.9227272727272726E-2</v>
      </c>
      <c r="R77">
        <v>4.5825000000000005E-2</v>
      </c>
      <c r="S77">
        <f t="shared" si="2"/>
        <v>5.1421685606060599E-2</v>
      </c>
      <c r="T77">
        <f t="shared" si="3"/>
        <v>5.5966856060605946E-3</v>
      </c>
      <c r="U77">
        <v>3.5987500000000006E-2</v>
      </c>
      <c r="V77">
        <v>5.350000000000002E-2</v>
      </c>
      <c r="W77">
        <v>0.63129068462401794</v>
      </c>
      <c r="X77">
        <v>0.45428571428571424</v>
      </c>
      <c r="Y77">
        <v>0.35489947089947116</v>
      </c>
      <c r="Z77">
        <v>0.57619047619047592</v>
      </c>
      <c r="AA77">
        <v>0.60061037037037024</v>
      </c>
      <c r="AB77">
        <v>0.32717013888888896</v>
      </c>
      <c r="AC77">
        <v>0.24443277923592879</v>
      </c>
      <c r="AD77">
        <v>0.40291823899371082</v>
      </c>
      <c r="AE77">
        <v>0.26649206349206345</v>
      </c>
      <c r="AF77">
        <v>0.12589786756453422</v>
      </c>
      <c r="AG77">
        <v>0.26395782643957821</v>
      </c>
      <c r="AH77">
        <v>0.25067315490673148</v>
      </c>
      <c r="AI77">
        <v>0.17234928359015952</v>
      </c>
      <c r="AJ77">
        <v>0.2339012345679011</v>
      </c>
      <c r="AK77">
        <v>0.30364758698092037</v>
      </c>
      <c r="AL77">
        <v>0.41717171717171747</v>
      </c>
      <c r="AM77">
        <v>0.29322558922558917</v>
      </c>
      <c r="AN77">
        <v>0.43659519168291094</v>
      </c>
      <c r="AO77">
        <v>0.62546296296296289</v>
      </c>
      <c r="AP77">
        <v>0.38796934865900379</v>
      </c>
      <c r="AQ77">
        <v>0.26012747631352284</v>
      </c>
      <c r="AR77">
        <v>0.35779999999999995</v>
      </c>
      <c r="AS77">
        <v>0.13119825708060992</v>
      </c>
      <c r="AT77">
        <v>0.40408950617283967</v>
      </c>
      <c r="AU77">
        <v>0.26480709876543218</v>
      </c>
      <c r="AV77">
        <v>0.3742052469135802</v>
      </c>
    </row>
    <row r="78" spans="1:48">
      <c r="A78" s="1">
        <v>77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2</v>
      </c>
      <c r="J78" s="1">
        <v>0</v>
      </c>
      <c r="K78">
        <v>4.3413043478260867E-2</v>
      </c>
      <c r="L78">
        <v>4.7808695652173896E-2</v>
      </c>
      <c r="M78">
        <v>5.2876190476190486E-2</v>
      </c>
      <c r="N78">
        <v>3.859583333333335E-2</v>
      </c>
      <c r="O78">
        <v>5.1595454545454549E-2</v>
      </c>
      <c r="P78">
        <v>4.5195454545454546E-2</v>
      </c>
      <c r="Q78">
        <v>4.2013636363636371E-2</v>
      </c>
      <c r="R78">
        <v>3.8212500000000003E-2</v>
      </c>
      <c r="S78">
        <f t="shared" si="2"/>
        <v>4.4350094696969704E-2</v>
      </c>
      <c r="T78">
        <f t="shared" si="3"/>
        <v>6.1375946969697004E-3</v>
      </c>
      <c r="U78">
        <v>2.4199999999999982E-2</v>
      </c>
      <c r="V78">
        <v>3.6033333333333306E-2</v>
      </c>
      <c r="W78">
        <v>0.59815375982042662</v>
      </c>
      <c r="X78">
        <v>0.47464285714285709</v>
      </c>
      <c r="Y78">
        <v>0.20979100529100517</v>
      </c>
      <c r="Z78">
        <v>0.4123809523809524</v>
      </c>
      <c r="AA78">
        <v>-0.16500088888888886</v>
      </c>
      <c r="AB78">
        <v>0.11002025462962962</v>
      </c>
      <c r="AC78">
        <v>0.21851997666958303</v>
      </c>
      <c r="AD78">
        <v>0.20007826694619149</v>
      </c>
      <c r="AE78">
        <v>9.9674603174603221E-2</v>
      </c>
      <c r="AF78">
        <v>3.7529461279461281E-2</v>
      </c>
      <c r="AG78">
        <v>5.5647472289808042E-2</v>
      </c>
      <c r="AH78">
        <v>5.4687753446877554E-2</v>
      </c>
      <c r="AI78">
        <v>0.13523790213571235</v>
      </c>
      <c r="AJ78">
        <v>0.23140432098765426</v>
      </c>
      <c r="AK78">
        <v>0.21617564534231207</v>
      </c>
      <c r="AL78">
        <v>0.43169191919191907</v>
      </c>
      <c r="AM78">
        <v>0.30906228956228948</v>
      </c>
      <c r="AN78">
        <v>0.30968973359324242</v>
      </c>
      <c r="AO78">
        <v>0.18812235449735448</v>
      </c>
      <c r="AP78">
        <v>0.16516203703703705</v>
      </c>
      <c r="AQ78">
        <v>0.21479242032730408</v>
      </c>
      <c r="AR78">
        <v>0.18911481481481482</v>
      </c>
      <c r="AS78">
        <v>7.152505446623092E-2</v>
      </c>
      <c r="AT78">
        <v>0.10973765432098762</v>
      </c>
      <c r="AU78">
        <v>5.9832175925925948E-2</v>
      </c>
      <c r="AV78">
        <v>0.22248649691358019</v>
      </c>
    </row>
    <row r="79" spans="1:48">
      <c r="A79" s="1">
        <v>78</v>
      </c>
      <c r="B79" s="1">
        <v>1</v>
      </c>
      <c r="C79" s="1">
        <v>0</v>
      </c>
      <c r="D79" s="1">
        <v>0</v>
      </c>
      <c r="E79" s="1">
        <v>1</v>
      </c>
      <c r="F79" s="1">
        <v>1</v>
      </c>
      <c r="G79" s="1">
        <v>6</v>
      </c>
      <c r="H79" s="1">
        <v>1</v>
      </c>
      <c r="I79" s="1">
        <v>2</v>
      </c>
      <c r="J79" s="1">
        <v>1</v>
      </c>
      <c r="K79">
        <v>4.849565217391303E-2</v>
      </c>
      <c r="L79">
        <v>5.4143478260869557E-2</v>
      </c>
      <c r="M79">
        <v>5.894761904761904E-2</v>
      </c>
      <c r="N79">
        <v>4.6199999999999998E-2</v>
      </c>
      <c r="O79">
        <v>5.3545454545454563E-2</v>
      </c>
      <c r="P79">
        <v>4.7277272727272716E-2</v>
      </c>
      <c r="Q79">
        <v>4.5881818181818197E-2</v>
      </c>
      <c r="R79">
        <v>4.5258333333333324E-2</v>
      </c>
      <c r="S79">
        <f t="shared" si="2"/>
        <v>4.8226136363636367E-2</v>
      </c>
      <c r="T79">
        <f t="shared" si="3"/>
        <v>2.9678030303030428E-3</v>
      </c>
      <c r="U79">
        <v>2.2300000000000025E-2</v>
      </c>
      <c r="V79">
        <v>4.7028571428571406E-2</v>
      </c>
      <c r="W79">
        <v>0.69047138047138068</v>
      </c>
      <c r="X79">
        <v>0.38071428571428562</v>
      </c>
      <c r="Y79">
        <v>0.48182539682539705</v>
      </c>
      <c r="Z79">
        <v>0.80285714285714249</v>
      </c>
      <c r="AA79">
        <v>-8.7626666666666603E-2</v>
      </c>
      <c r="AB79">
        <v>0.1511284722222222</v>
      </c>
      <c r="AC79">
        <v>0.23486439195100614</v>
      </c>
      <c r="AD79">
        <v>0.21417190775681344</v>
      </c>
      <c r="AE79">
        <v>0.1352380952380953</v>
      </c>
      <c r="AF79">
        <v>0.14406565656565656</v>
      </c>
      <c r="AG79">
        <v>0.1961881589618816</v>
      </c>
      <c r="AH79">
        <v>0.29245742092457422</v>
      </c>
      <c r="AI79">
        <v>0.28463098134630971</v>
      </c>
      <c r="AJ79">
        <v>0.21190740740740727</v>
      </c>
      <c r="AK79">
        <v>0.31234006734006736</v>
      </c>
      <c r="AL79">
        <v>0.5143939393939394</v>
      </c>
      <c r="AM79">
        <v>0.34035353535353541</v>
      </c>
      <c r="AN79">
        <v>0.4225633528265107</v>
      </c>
      <c r="AO79">
        <v>0.30051587301587307</v>
      </c>
      <c r="AP79">
        <v>0.24695881226053643</v>
      </c>
      <c r="AQ79">
        <v>0.22919896640826878</v>
      </c>
      <c r="AR79">
        <v>0.20911111111111125</v>
      </c>
      <c r="AS79">
        <v>0.14281045751633992</v>
      </c>
      <c r="AT79">
        <v>0.28032407407407417</v>
      </c>
      <c r="AU79">
        <v>0.32517361111111115</v>
      </c>
      <c r="AV79">
        <v>0.55549768518518527</v>
      </c>
    </row>
    <row r="80" spans="1:48">
      <c r="A80" s="1">
        <v>79</v>
      </c>
      <c r="B80" s="1">
        <v>1</v>
      </c>
      <c r="C80" s="1">
        <v>1</v>
      </c>
      <c r="D80" s="1">
        <v>1</v>
      </c>
      <c r="E80" s="1">
        <v>0</v>
      </c>
      <c r="F80" s="1">
        <v>16</v>
      </c>
      <c r="G80" s="1">
        <v>6</v>
      </c>
      <c r="H80" s="1">
        <v>3</v>
      </c>
      <c r="I80" s="1">
        <v>2</v>
      </c>
      <c r="J80" s="1">
        <v>5</v>
      </c>
      <c r="K80">
        <v>4.2665217391304348E-2</v>
      </c>
      <c r="L80">
        <v>4.8360869565217388E-2</v>
      </c>
      <c r="M80">
        <v>5.0433333333333351E-2</v>
      </c>
      <c r="N80">
        <v>4.9954166666666668E-2</v>
      </c>
      <c r="O80">
        <v>6.4900000000000013E-2</v>
      </c>
      <c r="P80">
        <v>5.2677272727272732E-2</v>
      </c>
      <c r="Q80">
        <v>4.8654545454545443E-2</v>
      </c>
      <c r="R80">
        <v>4.5066666666666665E-2</v>
      </c>
      <c r="S80">
        <f t="shared" si="2"/>
        <v>5.4046496212121216E-2</v>
      </c>
      <c r="T80">
        <f t="shared" si="3"/>
        <v>8.9798295454545513E-3</v>
      </c>
      <c r="U80">
        <v>3.2437500000000008E-2</v>
      </c>
      <c r="V80">
        <v>4.813333333333334E-2</v>
      </c>
      <c r="W80">
        <v>0.77369809203142514</v>
      </c>
      <c r="X80">
        <v>0.6410714285714284</v>
      </c>
      <c r="Y80">
        <v>0.84814550264550248</v>
      </c>
      <c r="Z80">
        <v>0.88333333333333341</v>
      </c>
      <c r="AA80">
        <v>0.71202814814814819</v>
      </c>
      <c r="AB80">
        <v>0.59481336805555562</v>
      </c>
      <c r="AC80">
        <v>0.40901720618256066</v>
      </c>
      <c r="AD80">
        <v>0.46325786163522015</v>
      </c>
      <c r="AE80">
        <v>0.33586111111111105</v>
      </c>
      <c r="AF80">
        <v>0.18963945005611674</v>
      </c>
      <c r="AG80">
        <v>0.29995539334955396</v>
      </c>
      <c r="AH80">
        <v>0.25896999188969999</v>
      </c>
      <c r="AI80">
        <v>0.19241416599080832</v>
      </c>
      <c r="AJ80">
        <v>0.14441049382716037</v>
      </c>
      <c r="AK80">
        <v>0.36123176206509539</v>
      </c>
      <c r="AL80">
        <v>0.664368686868687</v>
      </c>
      <c r="AM80">
        <v>0.47619023569023561</v>
      </c>
      <c r="AN80">
        <v>0.71737491877842763</v>
      </c>
      <c r="AO80">
        <v>0.83027447089947115</v>
      </c>
      <c r="AP80">
        <v>0.43230842911877398</v>
      </c>
      <c r="AQ80">
        <v>0.43326959517657193</v>
      </c>
      <c r="AR80">
        <v>0.4765999999999998</v>
      </c>
      <c r="AS80">
        <v>0.24444989106753809</v>
      </c>
      <c r="AT80">
        <v>0.5175733024691358</v>
      </c>
      <c r="AU80">
        <v>0.31169367283950628</v>
      </c>
      <c r="AV80">
        <v>0.43511959876543199</v>
      </c>
    </row>
    <row r="81" spans="1:48">
      <c r="A81" s="1">
        <v>80</v>
      </c>
      <c r="B81" s="1">
        <v>1</v>
      </c>
      <c r="C81" s="1">
        <v>1</v>
      </c>
      <c r="D81" s="1">
        <v>1</v>
      </c>
      <c r="E81" s="1">
        <v>1</v>
      </c>
      <c r="F81" s="1">
        <v>23</v>
      </c>
      <c r="G81" s="1">
        <v>18</v>
      </c>
      <c r="H81" s="1">
        <v>3</v>
      </c>
      <c r="I81" s="1">
        <v>2</v>
      </c>
      <c r="J81" s="1">
        <v>6</v>
      </c>
      <c r="K81">
        <v>5.1800000000000013E-2</v>
      </c>
      <c r="L81">
        <v>4.0052173913043471E-2</v>
      </c>
      <c r="M81">
        <v>4.883333333333334E-2</v>
      </c>
      <c r="N81">
        <v>3.6662499999999987E-2</v>
      </c>
      <c r="O81">
        <v>4.5468181818181803E-2</v>
      </c>
      <c r="P81">
        <v>4.7399999999999991E-2</v>
      </c>
      <c r="Q81">
        <v>4.4077272727272729E-2</v>
      </c>
      <c r="R81">
        <v>3.6695833333333351E-2</v>
      </c>
      <c r="S81">
        <f t="shared" si="2"/>
        <v>4.3401988636363631E-2</v>
      </c>
      <c r="T81">
        <f t="shared" si="3"/>
        <v>6.7061553030302798E-3</v>
      </c>
      <c r="U81">
        <v>2.3166666666666669E-2</v>
      </c>
      <c r="V81">
        <v>5.1199999999999989E-2</v>
      </c>
      <c r="W81">
        <v>0.57510662177328842</v>
      </c>
      <c r="X81">
        <v>0.43285714285714277</v>
      </c>
      <c r="Y81">
        <v>0.41589417989418009</v>
      </c>
      <c r="Z81">
        <v>0.64380952380952372</v>
      </c>
      <c r="AA81">
        <v>0.36232177777777785</v>
      </c>
      <c r="AB81">
        <v>0.26381365740740748</v>
      </c>
      <c r="AC81">
        <v>0.19117526975794696</v>
      </c>
      <c r="AD81">
        <v>0.25141579315164225</v>
      </c>
      <c r="AE81">
        <v>0.21922222222222221</v>
      </c>
      <c r="AF81">
        <v>0.2116835016835017</v>
      </c>
      <c r="AG81">
        <v>0.28675858340091914</v>
      </c>
      <c r="AH81">
        <v>0.30668288726682891</v>
      </c>
      <c r="AI81">
        <v>0.23743173830765077</v>
      </c>
      <c r="AJ81">
        <v>0.1559135802469136</v>
      </c>
      <c r="AK81">
        <v>0.34466891133557792</v>
      </c>
      <c r="AL81">
        <v>0.39343434343434341</v>
      </c>
      <c r="AM81">
        <v>0.27384511784511789</v>
      </c>
      <c r="AN81">
        <v>0.36936322287199475</v>
      </c>
      <c r="AO81">
        <v>0.50387433862433884</v>
      </c>
      <c r="AP81">
        <v>0.22951787994891443</v>
      </c>
      <c r="AQ81">
        <v>0.21987252368647728</v>
      </c>
      <c r="AR81">
        <v>0.26910370370370362</v>
      </c>
      <c r="AS81">
        <v>0.17949891067538115</v>
      </c>
      <c r="AT81">
        <v>0.42983024691358029</v>
      </c>
      <c r="AU81">
        <v>0.38293981481481498</v>
      </c>
      <c r="AV81">
        <v>0.46943672839506201</v>
      </c>
    </row>
    <row r="82" spans="1:48">
      <c r="A82" s="1">
        <v>81</v>
      </c>
      <c r="B82" s="1">
        <v>1</v>
      </c>
      <c r="C82" s="1">
        <v>1</v>
      </c>
      <c r="D82" s="1">
        <v>0</v>
      </c>
      <c r="E82" s="1">
        <v>0</v>
      </c>
      <c r="F82" s="1">
        <v>7</v>
      </c>
      <c r="G82" s="1">
        <v>6</v>
      </c>
      <c r="H82" s="1">
        <v>2</v>
      </c>
      <c r="I82" s="1">
        <v>2</v>
      </c>
      <c r="J82" s="1">
        <v>3</v>
      </c>
      <c r="K82">
        <v>4.3482608695652181E-2</v>
      </c>
      <c r="L82">
        <v>4.8799999999999996E-2</v>
      </c>
      <c r="M82">
        <v>5.0280952380952371E-2</v>
      </c>
      <c r="N82">
        <v>4.7995833333333314E-2</v>
      </c>
      <c r="O82">
        <v>5.2245454545454546E-2</v>
      </c>
      <c r="P82">
        <v>5.2427272727272725E-2</v>
      </c>
      <c r="Q82">
        <v>4.7540909090909113E-2</v>
      </c>
      <c r="R82">
        <v>4.5095833333333356E-2</v>
      </c>
      <c r="S82">
        <f t="shared" si="2"/>
        <v>5.0052367424242426E-2</v>
      </c>
      <c r="T82">
        <f t="shared" si="3"/>
        <v>4.9565340909090705E-3</v>
      </c>
      <c r="U82">
        <v>4.5066666666666665E-2</v>
      </c>
      <c r="V82">
        <v>4.8457142857142851E-2</v>
      </c>
      <c r="W82">
        <v>0.79106060606060591</v>
      </c>
      <c r="X82">
        <v>0.44464285714285701</v>
      </c>
      <c r="Y82">
        <v>0.57364285714285701</v>
      </c>
      <c r="Z82">
        <v>0.622857142857143</v>
      </c>
      <c r="AA82">
        <v>0.54043999999999992</v>
      </c>
      <c r="AB82">
        <v>0.45136718749999999</v>
      </c>
      <c r="AC82">
        <v>0.34</v>
      </c>
      <c r="AD82">
        <v>0.38373584905660379</v>
      </c>
      <c r="AE82">
        <v>0.32496428571428571</v>
      </c>
      <c r="AF82">
        <v>0.18465909090909099</v>
      </c>
      <c r="AG82">
        <v>0.30229927007299279</v>
      </c>
      <c r="AH82">
        <v>0.29394160583941614</v>
      </c>
      <c r="AI82">
        <v>0.27051094890510957</v>
      </c>
      <c r="AJ82">
        <v>0.3064166666666665</v>
      </c>
      <c r="AK82">
        <v>0.22174242424242427</v>
      </c>
      <c r="AL82">
        <v>0.47886363636363621</v>
      </c>
      <c r="AM82">
        <v>0.33150000000000013</v>
      </c>
      <c r="AN82">
        <v>0.53263157894736846</v>
      </c>
      <c r="AO82">
        <v>0.65312499999999996</v>
      </c>
      <c r="AP82">
        <v>0.38112068965517237</v>
      </c>
      <c r="AQ82">
        <v>0.318</v>
      </c>
      <c r="AR82">
        <v>0.40479999999999999</v>
      </c>
      <c r="AS82">
        <v>0.18465686274509793</v>
      </c>
      <c r="AT82">
        <v>0.44427083333333323</v>
      </c>
      <c r="AU82">
        <v>0.4321875</v>
      </c>
      <c r="AV82">
        <v>0.51739583333333339</v>
      </c>
    </row>
    <row r="83" spans="1:48">
      <c r="A83" s="1">
        <v>82</v>
      </c>
      <c r="B83" s="1">
        <v>1</v>
      </c>
      <c r="C83" s="1">
        <v>1</v>
      </c>
      <c r="D83" s="1">
        <v>1</v>
      </c>
      <c r="E83" s="1">
        <v>1</v>
      </c>
      <c r="F83" s="1">
        <v>21</v>
      </c>
      <c r="G83" s="1">
        <v>18</v>
      </c>
      <c r="H83" s="1">
        <v>3</v>
      </c>
      <c r="I83" s="1">
        <v>2</v>
      </c>
      <c r="J83" s="1">
        <v>6</v>
      </c>
      <c r="K83">
        <v>6.0417391304347833E-2</v>
      </c>
      <c r="L83">
        <v>4.9408695652173894E-2</v>
      </c>
      <c r="M83">
        <v>3.9809523809523822E-2</v>
      </c>
      <c r="N83">
        <v>4.3562499999999983E-2</v>
      </c>
      <c r="O83">
        <v>5.6672727272727291E-2</v>
      </c>
      <c r="P83">
        <v>4.5895454545454545E-2</v>
      </c>
      <c r="Q83">
        <v>3.7195454545454538E-2</v>
      </c>
      <c r="R83">
        <v>3.6641666666666649E-2</v>
      </c>
      <c r="S83">
        <f t="shared" si="2"/>
        <v>4.5831534090909086E-2</v>
      </c>
      <c r="T83">
        <f t="shared" si="3"/>
        <v>9.1898674242424372E-3</v>
      </c>
      <c r="U83">
        <v>2.4879166666666674E-2</v>
      </c>
      <c r="V83">
        <v>3.8533333333333322E-2</v>
      </c>
      <c r="W83">
        <v>0.84337822671155971</v>
      </c>
      <c r="X83">
        <v>0.44500000000000001</v>
      </c>
      <c r="Y83">
        <v>0.57424867724867723</v>
      </c>
      <c r="Z83">
        <v>0.65904761904761933</v>
      </c>
      <c r="AA83">
        <v>-0.16452977777777777</v>
      </c>
      <c r="AB83">
        <v>6.00925925925926E-2</v>
      </c>
      <c r="AC83">
        <v>0.22543890347039952</v>
      </c>
      <c r="AD83">
        <v>0.32790496156533894</v>
      </c>
      <c r="AE83">
        <v>0.25606349206349222</v>
      </c>
      <c r="AF83">
        <v>0.16566498316498315</v>
      </c>
      <c r="AG83">
        <v>0.21893484725601511</v>
      </c>
      <c r="AH83">
        <v>0.22820762368207628</v>
      </c>
      <c r="AI83">
        <v>0.17928359015950251</v>
      </c>
      <c r="AJ83">
        <v>0.11891975308641953</v>
      </c>
      <c r="AK83">
        <v>0.25427048260381596</v>
      </c>
      <c r="AL83">
        <v>0.55792929292929305</v>
      </c>
      <c r="AM83">
        <v>0.36279124579124572</v>
      </c>
      <c r="AN83">
        <v>0.24511046133853145</v>
      </c>
      <c r="AO83">
        <v>0.29205423280423287</v>
      </c>
      <c r="AP83">
        <v>0.16638729246487863</v>
      </c>
      <c r="AQ83">
        <v>0.24031352282515073</v>
      </c>
      <c r="AR83">
        <v>0.33809629629629645</v>
      </c>
      <c r="AS83">
        <v>0.12893246187363838</v>
      </c>
      <c r="AT83">
        <v>0.30954475308641982</v>
      </c>
      <c r="AU83">
        <v>0.26049768518518535</v>
      </c>
      <c r="AV83">
        <v>0.33233410493827148</v>
      </c>
    </row>
    <row r="84" spans="1:48">
      <c r="A84" s="1">
        <v>83</v>
      </c>
      <c r="B84" s="1">
        <v>1</v>
      </c>
      <c r="C84" s="1">
        <v>1</v>
      </c>
      <c r="D84" s="1">
        <v>1</v>
      </c>
      <c r="E84" s="1">
        <v>1</v>
      </c>
      <c r="F84" s="1">
        <v>18</v>
      </c>
      <c r="G84" s="1">
        <v>6</v>
      </c>
      <c r="H84" s="1">
        <v>3</v>
      </c>
      <c r="I84" s="1">
        <v>2</v>
      </c>
      <c r="J84" s="1">
        <v>5</v>
      </c>
      <c r="K84">
        <v>3.2595652173913033E-2</v>
      </c>
      <c r="L84">
        <v>4.313913043478259E-2</v>
      </c>
      <c r="M84">
        <v>4.4114285714285717E-2</v>
      </c>
      <c r="N84">
        <v>3.9795833333333329E-2</v>
      </c>
      <c r="O84">
        <v>5.0163636363636389E-2</v>
      </c>
      <c r="P84">
        <v>4.1504545454545454E-2</v>
      </c>
      <c r="Q84">
        <v>3.9868181818181817E-2</v>
      </c>
      <c r="R84">
        <v>4.0212500000000005E-2</v>
      </c>
      <c r="S84">
        <f t="shared" si="2"/>
        <v>4.2833049242424245E-2</v>
      </c>
      <c r="T84">
        <f t="shared" si="3"/>
        <v>2.6205492424242402E-3</v>
      </c>
      <c r="U84">
        <v>2.8833333333333339E-2</v>
      </c>
      <c r="V84">
        <v>4.2761904761904765E-2</v>
      </c>
      <c r="W84">
        <v>0.84478675645342316</v>
      </c>
      <c r="X84">
        <v>0.39821428571428591</v>
      </c>
      <c r="Y84">
        <v>0.44485449735449745</v>
      </c>
      <c r="Z84">
        <v>0.74238095238095236</v>
      </c>
      <c r="AA84">
        <v>7.6844444444444479E-2</v>
      </c>
      <c r="AB84">
        <v>0.13557581018518514</v>
      </c>
      <c r="AC84">
        <v>0.16698016914552347</v>
      </c>
      <c r="AD84">
        <v>0.30652690426275336</v>
      </c>
      <c r="AE84">
        <v>0.2087698412698413</v>
      </c>
      <c r="AF84">
        <v>0.14795875420875426</v>
      </c>
      <c r="AG84">
        <v>0.17918356312516903</v>
      </c>
      <c r="AH84">
        <v>0.13167072181670725</v>
      </c>
      <c r="AI84">
        <v>0.20239929710732635</v>
      </c>
      <c r="AJ84">
        <v>0.16042283950617281</v>
      </c>
      <c r="AK84">
        <v>0.39952581369248041</v>
      </c>
      <c r="AL84">
        <v>0.4569949494949494</v>
      </c>
      <c r="AM84">
        <v>0.34771885521885526</v>
      </c>
      <c r="AN84">
        <v>0.30272092267706302</v>
      </c>
      <c r="AO84">
        <v>0.28212632275132277</v>
      </c>
      <c r="AP84">
        <v>0.14904613665389524</v>
      </c>
      <c r="AQ84">
        <v>0.27704565030146422</v>
      </c>
      <c r="AR84">
        <v>0.2490925925925927</v>
      </c>
      <c r="AS84">
        <v>0.15413943355119816</v>
      </c>
      <c r="AT84">
        <v>0.27596450617283963</v>
      </c>
      <c r="AU84">
        <v>0.20500578703703709</v>
      </c>
      <c r="AV84">
        <v>0.34034529320987655</v>
      </c>
    </row>
    <row r="85" spans="1:48">
      <c r="A85" s="1">
        <v>84</v>
      </c>
      <c r="B85" s="1">
        <v>1</v>
      </c>
      <c r="C85" s="1">
        <v>1</v>
      </c>
      <c r="D85" s="1">
        <v>1</v>
      </c>
      <c r="E85" s="1">
        <v>1</v>
      </c>
      <c r="F85" s="1">
        <v>24</v>
      </c>
      <c r="G85" s="1">
        <v>18</v>
      </c>
      <c r="H85" s="1">
        <v>3</v>
      </c>
      <c r="I85" s="1">
        <v>2</v>
      </c>
      <c r="J85" s="1">
        <v>6</v>
      </c>
      <c r="K85">
        <v>3.7013043478260878E-2</v>
      </c>
      <c r="L85">
        <v>3.9130434782608713E-2</v>
      </c>
      <c r="M85">
        <v>4.4947619047619014E-2</v>
      </c>
      <c r="N85">
        <v>3.6029166666666688E-2</v>
      </c>
      <c r="O85">
        <v>4.4477272727272747E-2</v>
      </c>
      <c r="P85">
        <v>4.2168181818181806E-2</v>
      </c>
      <c r="Q85">
        <v>4.2700000000000023E-2</v>
      </c>
      <c r="R85">
        <v>4.3799999999999985E-2</v>
      </c>
      <c r="S85">
        <f t="shared" si="2"/>
        <v>4.1343655303030316E-2</v>
      </c>
      <c r="T85">
        <f t="shared" si="3"/>
        <v>-2.4563446969696687E-3</v>
      </c>
      <c r="U85">
        <v>3.3870833333333329E-2</v>
      </c>
      <c r="V85">
        <v>3.9500000000000014E-2</v>
      </c>
      <c r="W85">
        <v>0.57710437710437712</v>
      </c>
      <c r="X85">
        <v>0.74857142857142855</v>
      </c>
      <c r="Y85">
        <v>0.44403174603174617</v>
      </c>
      <c r="Z85">
        <v>0.56714285714285695</v>
      </c>
      <c r="AA85">
        <v>0.27821866666666667</v>
      </c>
      <c r="AB85">
        <v>0.2579340277777778</v>
      </c>
      <c r="AC85">
        <v>0.16600174978127738</v>
      </c>
      <c r="AD85">
        <v>0.21873375262054504</v>
      </c>
      <c r="AE85">
        <v>0.22004761904761905</v>
      </c>
      <c r="AF85">
        <v>0.1749494949494948</v>
      </c>
      <c r="AG85">
        <v>0.20001622060016233</v>
      </c>
      <c r="AH85">
        <v>0.18330900243309001</v>
      </c>
      <c r="AI85">
        <v>0.18390916463909168</v>
      </c>
      <c r="AJ85">
        <v>0.20392592592592598</v>
      </c>
      <c r="AK85">
        <v>0.37205387205387197</v>
      </c>
      <c r="AL85">
        <v>0.39242424242424251</v>
      </c>
      <c r="AM85">
        <v>0.29537373737373751</v>
      </c>
      <c r="AN85">
        <v>0.28401559454191033</v>
      </c>
      <c r="AO85">
        <v>0.41326984126984134</v>
      </c>
      <c r="AP85">
        <v>0.17825670498084292</v>
      </c>
      <c r="AQ85">
        <v>0.21796382428940575</v>
      </c>
      <c r="AR85">
        <v>0.2440888888888888</v>
      </c>
      <c r="AS85">
        <v>0.16954248366013069</v>
      </c>
      <c r="AT85">
        <v>0.29550925925925936</v>
      </c>
      <c r="AU85">
        <v>0.26409722222222232</v>
      </c>
      <c r="AV85">
        <v>0.29002314814814822</v>
      </c>
    </row>
    <row r="86" spans="1:48">
      <c r="A86" s="1">
        <v>85</v>
      </c>
      <c r="B86" s="1">
        <v>1</v>
      </c>
      <c r="C86" s="1">
        <v>1</v>
      </c>
      <c r="D86" s="1">
        <v>1</v>
      </c>
      <c r="E86" s="1">
        <v>1</v>
      </c>
      <c r="F86" s="1">
        <v>20</v>
      </c>
      <c r="G86" s="1">
        <v>18</v>
      </c>
      <c r="H86" s="1">
        <v>3</v>
      </c>
      <c r="I86" s="1">
        <v>2</v>
      </c>
      <c r="J86" s="1">
        <v>6</v>
      </c>
      <c r="K86">
        <v>3.940869565217392E-2</v>
      </c>
      <c r="L86">
        <v>4.3091304347826098E-2</v>
      </c>
      <c r="M86">
        <v>4.6699999999999985E-2</v>
      </c>
      <c r="N86">
        <v>3.9612499999999974E-2</v>
      </c>
      <c r="O86">
        <v>4.2145454545454548E-2</v>
      </c>
      <c r="P86">
        <v>4.237272727272727E-2</v>
      </c>
      <c r="Q86">
        <v>3.929545454545455E-2</v>
      </c>
      <c r="R86">
        <v>3.8945833333333346E-2</v>
      </c>
      <c r="S86">
        <f t="shared" si="2"/>
        <v>4.0856534090909086E-2</v>
      </c>
      <c r="T86">
        <f t="shared" si="3"/>
        <v>1.9107007575757395E-3</v>
      </c>
      <c r="U86">
        <v>3.4379166666666662E-2</v>
      </c>
      <c r="V86">
        <v>4.7490476190476194E-2</v>
      </c>
      <c r="W86">
        <v>0.57124017957351281</v>
      </c>
      <c r="X86">
        <v>0.45464285714285702</v>
      </c>
      <c r="Y86">
        <v>0.40035185185185185</v>
      </c>
      <c r="Z86">
        <v>0.74190476190476218</v>
      </c>
      <c r="AA86">
        <v>3.8792888888888939E-2</v>
      </c>
      <c r="AB86">
        <v>0.12638599537037037</v>
      </c>
      <c r="AC86">
        <v>0.22171624380285795</v>
      </c>
      <c r="AD86">
        <v>0.29697833682739344</v>
      </c>
      <c r="AE86">
        <v>0.22418253968253962</v>
      </c>
      <c r="AF86">
        <v>0.12239478114478107</v>
      </c>
      <c r="AG86">
        <v>0.23763719924303864</v>
      </c>
      <c r="AH86">
        <v>0.20064071370640715</v>
      </c>
      <c r="AI86">
        <v>0.22600297377669648</v>
      </c>
      <c r="AJ86">
        <v>0.23942901234567895</v>
      </c>
      <c r="AK86">
        <v>0.30185465768799086</v>
      </c>
      <c r="AL86">
        <v>0.47421717171717165</v>
      </c>
      <c r="AM86">
        <v>0.34211952861952871</v>
      </c>
      <c r="AN86">
        <v>0.39250324886289806</v>
      </c>
      <c r="AO86">
        <v>0.39530621693121692</v>
      </c>
      <c r="AP86">
        <v>0.17901899744572156</v>
      </c>
      <c r="AQ86">
        <v>0.25469595176571924</v>
      </c>
      <c r="AR86">
        <v>0.28508518518518511</v>
      </c>
      <c r="AS86">
        <v>0.1320043572984749</v>
      </c>
      <c r="AT86">
        <v>0.34838734567901231</v>
      </c>
      <c r="AU86">
        <v>0.27527199074074077</v>
      </c>
      <c r="AV86">
        <v>0.40011766975308655</v>
      </c>
    </row>
    <row r="87" spans="1:48">
      <c r="A87" s="1">
        <v>86</v>
      </c>
      <c r="B87" s="1">
        <v>1</v>
      </c>
      <c r="C87" s="1">
        <v>1</v>
      </c>
      <c r="D87" s="1">
        <v>1</v>
      </c>
      <c r="E87" s="1">
        <v>1</v>
      </c>
      <c r="F87" s="1">
        <v>17</v>
      </c>
      <c r="G87" s="1">
        <v>6</v>
      </c>
      <c r="H87" s="1">
        <v>3</v>
      </c>
      <c r="I87" s="1">
        <v>2</v>
      </c>
      <c r="J87" s="1">
        <v>5</v>
      </c>
      <c r="K87">
        <v>3.4726086956521726E-2</v>
      </c>
      <c r="L87">
        <v>4.0786956521739144E-2</v>
      </c>
      <c r="M87">
        <v>4.3295238095238088E-2</v>
      </c>
      <c r="N87">
        <v>3.6420833333333347E-2</v>
      </c>
      <c r="O87">
        <v>4.0659090909090922E-2</v>
      </c>
      <c r="P87">
        <v>4.2886363636363604E-2</v>
      </c>
      <c r="Q87">
        <v>4.3568181818181791E-2</v>
      </c>
      <c r="R87">
        <v>4.2600000000000006E-2</v>
      </c>
      <c r="S87">
        <f t="shared" si="2"/>
        <v>4.0883617424242416E-2</v>
      </c>
      <c r="T87">
        <f t="shared" si="3"/>
        <v>-1.7163825757575898E-3</v>
      </c>
      <c r="U87">
        <v>3.9324999999999999E-2</v>
      </c>
      <c r="V87">
        <v>3.5242857142857145E-2</v>
      </c>
      <c r="W87">
        <v>0.65264870931537611</v>
      </c>
      <c r="X87">
        <v>0.34928571428571448</v>
      </c>
      <c r="Y87">
        <v>0.38810052910052928</v>
      </c>
      <c r="Z87">
        <v>0.55238095238095219</v>
      </c>
      <c r="AA87">
        <v>0.47696711111111112</v>
      </c>
      <c r="AB87">
        <v>0.2237442129629629</v>
      </c>
      <c r="AC87">
        <v>0.16798191892680087</v>
      </c>
      <c r="AD87">
        <v>0.21824178895877003</v>
      </c>
      <c r="AE87">
        <v>0.1418888888888889</v>
      </c>
      <c r="AF87">
        <v>0.12665824915824916</v>
      </c>
      <c r="AG87">
        <v>0.13511219248445527</v>
      </c>
      <c r="AH87">
        <v>0.20045417680454172</v>
      </c>
      <c r="AI87">
        <v>0.2403595566369289</v>
      </c>
      <c r="AJ87">
        <v>0.13293209876543202</v>
      </c>
      <c r="AK87">
        <v>0.20892817059483731</v>
      </c>
      <c r="AL87">
        <v>0.37601010101010091</v>
      </c>
      <c r="AM87">
        <v>0.31341077441077447</v>
      </c>
      <c r="AN87">
        <v>0.3755523066926576</v>
      </c>
      <c r="AO87">
        <v>0.50502116402116404</v>
      </c>
      <c r="AP87">
        <v>0.17978128991060022</v>
      </c>
      <c r="AQ87">
        <v>0.22724203273040486</v>
      </c>
      <c r="AR87">
        <v>0.15808148148148149</v>
      </c>
      <c r="AS87">
        <v>0.12583877995642714</v>
      </c>
      <c r="AT87">
        <v>0.21584876543209888</v>
      </c>
      <c r="AU87">
        <v>0.23332175925925921</v>
      </c>
      <c r="AV87">
        <v>0.4050038580246913</v>
      </c>
    </row>
    <row r="88" spans="1:48">
      <c r="A88" s="1">
        <v>87</v>
      </c>
      <c r="B88" s="1">
        <v>0</v>
      </c>
      <c r="C88" s="1">
        <v>1</v>
      </c>
      <c r="D88" s="1">
        <v>1</v>
      </c>
      <c r="E88" s="1">
        <v>0</v>
      </c>
      <c r="F88" s="1">
        <v>12</v>
      </c>
      <c r="G88" s="1">
        <v>6</v>
      </c>
      <c r="H88" s="1">
        <v>2</v>
      </c>
      <c r="I88" s="1">
        <v>2</v>
      </c>
      <c r="J88" s="1">
        <v>4</v>
      </c>
      <c r="K88">
        <v>4.9495652173913059E-2</v>
      </c>
      <c r="L88">
        <v>5.6147826086956516E-2</v>
      </c>
      <c r="M88">
        <v>5.1257142857142855E-2</v>
      </c>
      <c r="N88">
        <v>4.285000000000002E-2</v>
      </c>
      <c r="O88">
        <v>5.0709090909090898E-2</v>
      </c>
      <c r="P88">
        <v>4.9845454545454547E-2</v>
      </c>
      <c r="Q88">
        <v>4.4804545454545437E-2</v>
      </c>
      <c r="R88">
        <v>4.0450000000000007E-2</v>
      </c>
      <c r="S88">
        <f t="shared" si="2"/>
        <v>4.7052272727272727E-2</v>
      </c>
      <c r="T88">
        <f t="shared" si="3"/>
        <v>6.6022727272727205E-3</v>
      </c>
      <c r="U88">
        <v>4.6341666666666649E-2</v>
      </c>
      <c r="V88">
        <v>4.9476190476190465E-2</v>
      </c>
      <c r="W88">
        <v>0.86132996632996628</v>
      </c>
      <c r="X88">
        <v>0.28678571428571431</v>
      </c>
      <c r="Y88">
        <v>0.34442063492063468</v>
      </c>
      <c r="Z88">
        <v>0.52571428571428558</v>
      </c>
      <c r="AA88">
        <v>0.39207555555555568</v>
      </c>
      <c r="AB88">
        <v>0.15696614583333329</v>
      </c>
      <c r="AC88">
        <v>0.15893263342082234</v>
      </c>
      <c r="AD88">
        <v>0.25460377358490571</v>
      </c>
      <c r="AE88">
        <v>0.12655952380952382</v>
      </c>
      <c r="AF88">
        <v>5.3051346801346821E-2</v>
      </c>
      <c r="AG88">
        <v>0.11590024330900249</v>
      </c>
      <c r="AH88">
        <v>0.10615571776155719</v>
      </c>
      <c r="AI88">
        <v>0.15443633414436334</v>
      </c>
      <c r="AJ88">
        <v>0.28243518518518512</v>
      </c>
      <c r="AK88">
        <v>0.29509259259259274</v>
      </c>
      <c r="AL88">
        <v>0.38507575757575763</v>
      </c>
      <c r="AM88">
        <v>0.20561111111111099</v>
      </c>
      <c r="AN88">
        <v>0.36787524366471736</v>
      </c>
      <c r="AO88">
        <v>0.43506944444444451</v>
      </c>
      <c r="AP88">
        <v>0.16204022988505742</v>
      </c>
      <c r="AQ88">
        <v>0.17219121447028435</v>
      </c>
      <c r="AR88">
        <v>0.16940000000000008</v>
      </c>
      <c r="AS88">
        <v>5.0375816993464058E-2</v>
      </c>
      <c r="AT88">
        <v>0.16811342592592604</v>
      </c>
      <c r="AU88">
        <v>0.1217939814814815</v>
      </c>
      <c r="AV88">
        <v>0.2590162037037036</v>
      </c>
    </row>
    <row r="89" spans="1:48">
      <c r="A89" s="1">
        <v>88</v>
      </c>
      <c r="B89" s="1">
        <v>1</v>
      </c>
      <c r="C89" s="1">
        <v>1</v>
      </c>
      <c r="D89" s="1">
        <v>1</v>
      </c>
      <c r="E89" s="1">
        <v>1</v>
      </c>
      <c r="F89" s="1">
        <v>15</v>
      </c>
      <c r="G89" s="1">
        <v>6</v>
      </c>
      <c r="H89" s="1">
        <v>3</v>
      </c>
      <c r="I89" s="1">
        <v>2</v>
      </c>
      <c r="J89" s="1">
        <v>5</v>
      </c>
      <c r="K89">
        <v>3.4191304347826065E-2</v>
      </c>
      <c r="L89">
        <v>4.7295652173913051E-2</v>
      </c>
      <c r="M89">
        <v>4.515714285714284E-2</v>
      </c>
      <c r="N89">
        <v>4.2941666666666677E-2</v>
      </c>
      <c r="O89">
        <v>5.6559090909090885E-2</v>
      </c>
      <c r="P89">
        <v>5.315000000000001E-2</v>
      </c>
      <c r="Q89">
        <v>5.5649999999999998E-2</v>
      </c>
      <c r="R89">
        <v>4.9566666666666648E-2</v>
      </c>
      <c r="S89">
        <f t="shared" si="2"/>
        <v>5.2075189393939396E-2</v>
      </c>
      <c r="T89">
        <f t="shared" si="3"/>
        <v>2.5085227272727481E-3</v>
      </c>
      <c r="U89">
        <v>3.6816666666666685E-2</v>
      </c>
      <c r="V89">
        <v>4.8290476190476189E-2</v>
      </c>
      <c r="W89">
        <v>0.78455667789001138</v>
      </c>
      <c r="X89">
        <v>0.60571428571428587</v>
      </c>
      <c r="Y89">
        <v>0.55216931216931209</v>
      </c>
      <c r="Z89">
        <v>0.72190476190476194</v>
      </c>
      <c r="AA89">
        <v>0.38691555555555568</v>
      </c>
      <c r="AB89">
        <v>0.39580439814814822</v>
      </c>
      <c r="AC89">
        <v>0.26917468649752108</v>
      </c>
      <c r="AD89">
        <v>0.25548567435359898</v>
      </c>
      <c r="AE89">
        <v>0.25230158730158736</v>
      </c>
      <c r="AF89">
        <v>0.15488215488215495</v>
      </c>
      <c r="AG89">
        <v>0.2096242227629089</v>
      </c>
      <c r="AH89">
        <v>0.19132197891321981</v>
      </c>
      <c r="AI89">
        <v>0.23330629899972979</v>
      </c>
      <c r="AJ89">
        <v>0.28593827160493834</v>
      </c>
      <c r="AK89">
        <v>0.41671156004489346</v>
      </c>
      <c r="AL89">
        <v>0.5141414141414139</v>
      </c>
      <c r="AM89">
        <v>0.42781144781144781</v>
      </c>
      <c r="AN89">
        <v>0.41094866796621193</v>
      </c>
      <c r="AO89">
        <v>0.47087962962962981</v>
      </c>
      <c r="AP89">
        <v>0.31147828863346111</v>
      </c>
      <c r="AQ89">
        <v>0.30814814814814828</v>
      </c>
      <c r="AR89">
        <v>0.32407407407407413</v>
      </c>
      <c r="AS89">
        <v>0.17331154684095845</v>
      </c>
      <c r="AT89">
        <v>0.31639660493827154</v>
      </c>
      <c r="AU89">
        <v>0.23900462962962971</v>
      </c>
      <c r="AV89">
        <v>0.38769290123456795</v>
      </c>
    </row>
    <row r="90" spans="1:48">
      <c r="A90" s="1">
        <v>89</v>
      </c>
      <c r="B90" s="1">
        <v>1</v>
      </c>
      <c r="C90" s="1">
        <v>0</v>
      </c>
      <c r="D90" s="1">
        <v>0</v>
      </c>
      <c r="E90" s="1">
        <v>0</v>
      </c>
      <c r="F90" s="1">
        <v>3</v>
      </c>
      <c r="G90" s="1">
        <v>6</v>
      </c>
      <c r="H90" s="1">
        <v>1</v>
      </c>
      <c r="I90" s="1">
        <v>2</v>
      </c>
      <c r="J90" s="1">
        <v>1</v>
      </c>
      <c r="K90">
        <v>3.3530434782608712E-2</v>
      </c>
      <c r="L90">
        <v>4.6456521739130445E-2</v>
      </c>
      <c r="M90">
        <v>4.0947619047619031E-2</v>
      </c>
      <c r="N90">
        <v>4.8212499999999991E-2</v>
      </c>
      <c r="O90">
        <v>5.9181818181818203E-2</v>
      </c>
      <c r="P90">
        <v>5.6986363636363627E-2</v>
      </c>
      <c r="Q90">
        <v>5.8727272727272718E-2</v>
      </c>
      <c r="R90">
        <v>5.0850000000000006E-2</v>
      </c>
      <c r="S90">
        <f t="shared" si="2"/>
        <v>5.5776988636363635E-2</v>
      </c>
      <c r="T90">
        <f t="shared" si="3"/>
        <v>4.9269886363636287E-3</v>
      </c>
      <c r="U90">
        <v>4.7649999999999991E-2</v>
      </c>
      <c r="V90">
        <v>5.5719047619047626E-2</v>
      </c>
      <c r="W90">
        <v>0.58232884399551077</v>
      </c>
      <c r="X90">
        <v>0.39321428571428602</v>
      </c>
      <c r="Y90">
        <v>0.48563227513227514</v>
      </c>
      <c r="Z90">
        <v>0.49666666666666665</v>
      </c>
      <c r="AA90">
        <v>0.34368740740740739</v>
      </c>
      <c r="AB90">
        <v>0.24086371527777775</v>
      </c>
      <c r="AC90">
        <v>0.18597841936424611</v>
      </c>
      <c r="AD90">
        <v>0.23394968553459122</v>
      </c>
      <c r="AE90">
        <v>0.22851984126984132</v>
      </c>
      <c r="AF90">
        <v>0.16852553310886639</v>
      </c>
      <c r="AG90">
        <v>0.2766382806163829</v>
      </c>
      <c r="AH90">
        <v>0.26083536090835374</v>
      </c>
      <c r="AI90">
        <v>0.25589078129224119</v>
      </c>
      <c r="AJ90">
        <v>0.1714413580246914</v>
      </c>
      <c r="AK90">
        <v>0.27014870931537605</v>
      </c>
      <c r="AL90">
        <v>0.37775252525252534</v>
      </c>
      <c r="AM90">
        <v>0.2991026936026937</v>
      </c>
      <c r="AN90">
        <v>0.37699155295646514</v>
      </c>
      <c r="AO90">
        <v>0.41863425925925929</v>
      </c>
      <c r="AP90">
        <v>0.18757662835249037</v>
      </c>
      <c r="AQ90">
        <v>0.24761929371231697</v>
      </c>
      <c r="AR90">
        <v>0.25860000000000005</v>
      </c>
      <c r="AS90">
        <v>0.15430827886710227</v>
      </c>
      <c r="AT90">
        <v>0.41564429012345677</v>
      </c>
      <c r="AU90">
        <v>0.3652044753086422</v>
      </c>
      <c r="AV90">
        <v>0.42254243827160476</v>
      </c>
    </row>
    <row r="91" spans="1:48">
      <c r="A91" s="1">
        <v>90</v>
      </c>
      <c r="B91" s="1">
        <v>1</v>
      </c>
      <c r="C91" s="1">
        <v>1</v>
      </c>
      <c r="D91" s="1">
        <v>1</v>
      </c>
      <c r="E91" s="1">
        <v>1</v>
      </c>
      <c r="F91" s="1">
        <v>16</v>
      </c>
      <c r="G91" s="1">
        <v>6</v>
      </c>
      <c r="H91" s="1">
        <v>3</v>
      </c>
      <c r="I91" s="1">
        <v>2</v>
      </c>
      <c r="J91" s="1">
        <v>5</v>
      </c>
      <c r="K91">
        <v>4.2057826086956525E-2</v>
      </c>
      <c r="L91">
        <v>4.3982608695652174E-2</v>
      </c>
      <c r="M91">
        <v>5.0404761904761904E-2</v>
      </c>
      <c r="N91">
        <v>3.7200000000000011E-2</v>
      </c>
      <c r="O91">
        <v>5.5686363636363631E-2</v>
      </c>
      <c r="P91">
        <v>5.3736363636363631E-2</v>
      </c>
      <c r="Q91">
        <v>4.3977272727272719E-2</v>
      </c>
      <c r="R91">
        <v>5.2137499999999982E-2</v>
      </c>
      <c r="S91">
        <f t="shared" si="2"/>
        <v>4.7649999999999998E-2</v>
      </c>
      <c r="T91">
        <f t="shared" si="3"/>
        <v>-4.4874999999999846E-3</v>
      </c>
      <c r="U91">
        <v>3.8208333333333344E-2</v>
      </c>
      <c r="V91">
        <v>4.5552380952380948E-2</v>
      </c>
      <c r="W91">
        <v>0.91646464646464665</v>
      </c>
      <c r="X91">
        <v>0.54785714285714271</v>
      </c>
      <c r="Y91">
        <v>0.52052380952380972</v>
      </c>
      <c r="Z91">
        <v>0.79428571428571415</v>
      </c>
      <c r="AA91">
        <v>0.18566399999999994</v>
      </c>
      <c r="AB91">
        <v>0.39520833333333338</v>
      </c>
      <c r="AC91">
        <v>0.25146981627296594</v>
      </c>
      <c r="AD91">
        <v>0.26857861635220132</v>
      </c>
      <c r="AE91">
        <v>0.16628571428571437</v>
      </c>
      <c r="AF91">
        <v>7.5530303030302962E-2</v>
      </c>
      <c r="AG91">
        <v>0.15785888077858892</v>
      </c>
      <c r="AH91">
        <v>0.13693430656934311</v>
      </c>
      <c r="AI91">
        <v>0.14450121654501216</v>
      </c>
      <c r="AJ91">
        <v>0.20294444444444437</v>
      </c>
      <c r="AK91">
        <v>0.37176767676767691</v>
      </c>
      <c r="AL91">
        <v>0.60681818181818192</v>
      </c>
      <c r="AM91">
        <v>0.36403030303030304</v>
      </c>
      <c r="AN91">
        <v>0.4331871345029239</v>
      </c>
      <c r="AO91">
        <v>0.44477380952380952</v>
      </c>
      <c r="AP91">
        <v>0.34576149425287367</v>
      </c>
      <c r="AQ91">
        <v>0.20207751937984506</v>
      </c>
      <c r="AR91">
        <v>0.20906666666666673</v>
      </c>
      <c r="AS91">
        <v>7.5686274509803864E-2</v>
      </c>
      <c r="AT91">
        <v>0.26902777777777798</v>
      </c>
      <c r="AU91">
        <v>0.18427083333333344</v>
      </c>
      <c r="AV91">
        <v>0.26829861111111114</v>
      </c>
    </row>
    <row r="92" spans="1:48">
      <c r="A92" s="1">
        <v>91</v>
      </c>
      <c r="B92" s="1">
        <v>1</v>
      </c>
      <c r="C92" s="1">
        <v>1</v>
      </c>
      <c r="D92" s="1">
        <v>1</v>
      </c>
      <c r="E92" s="1">
        <v>0</v>
      </c>
      <c r="F92" s="1">
        <v>22</v>
      </c>
      <c r="G92" s="1">
        <v>18</v>
      </c>
      <c r="H92" s="1">
        <v>3</v>
      </c>
      <c r="I92" s="1">
        <v>2</v>
      </c>
      <c r="J92" s="1">
        <v>6</v>
      </c>
      <c r="K92">
        <v>4.0508695652173923E-2</v>
      </c>
      <c r="L92">
        <v>4.4199999999999996E-2</v>
      </c>
      <c r="M92">
        <v>4.9890476190476207E-2</v>
      </c>
      <c r="N92">
        <v>4.2004166666666655E-2</v>
      </c>
      <c r="O92">
        <v>4.6463636363636374E-2</v>
      </c>
      <c r="P92">
        <v>5.2713636363636358E-2</v>
      </c>
      <c r="Q92">
        <v>5.4127272727272718E-2</v>
      </c>
      <c r="R92">
        <v>4.9166666666666671E-2</v>
      </c>
      <c r="S92">
        <f t="shared" si="2"/>
        <v>4.8827178030303023E-2</v>
      </c>
      <c r="T92">
        <f t="shared" si="3"/>
        <v>-3.3948863636364818E-4</v>
      </c>
      <c r="U92">
        <v>3.7991666666666681E-2</v>
      </c>
      <c r="V92">
        <v>5.2442857142857131E-2</v>
      </c>
      <c r="W92">
        <v>0.49241863075196429</v>
      </c>
      <c r="X92">
        <v>0.35821428571428587</v>
      </c>
      <c r="Y92">
        <v>0.45970105820105839</v>
      </c>
      <c r="Z92">
        <v>0.56333333333333346</v>
      </c>
      <c r="AA92">
        <v>0.40569925925925931</v>
      </c>
      <c r="AB92">
        <v>0.33101128472222219</v>
      </c>
      <c r="AC92">
        <v>0.31302420530766989</v>
      </c>
      <c r="AD92">
        <v>0.31744654088050311</v>
      </c>
      <c r="AE92">
        <v>0.2626230158730159</v>
      </c>
      <c r="AF92">
        <v>0.17036335578002246</v>
      </c>
      <c r="AG92">
        <v>0.24540551500405514</v>
      </c>
      <c r="AH92">
        <v>0.22062449310624482</v>
      </c>
      <c r="AI92">
        <v>0.21354960800216272</v>
      </c>
      <c r="AJ92">
        <v>0.18344753086419754</v>
      </c>
      <c r="AK92">
        <v>0.22793209876543222</v>
      </c>
      <c r="AL92">
        <v>0.36861111111111106</v>
      </c>
      <c r="AM92">
        <v>0.27895791245791257</v>
      </c>
      <c r="AN92">
        <v>0.40803768680961666</v>
      </c>
      <c r="AO92">
        <v>0.47362764550264552</v>
      </c>
      <c r="AP92">
        <v>0.33725095785440617</v>
      </c>
      <c r="AQ92">
        <v>0.31374504737295439</v>
      </c>
      <c r="AR92">
        <v>0.32880000000000004</v>
      </c>
      <c r="AS92">
        <v>0.17098583877995638</v>
      </c>
      <c r="AT92">
        <v>0.4027584876543211</v>
      </c>
      <c r="AU92">
        <v>0.2659066358024692</v>
      </c>
      <c r="AV92">
        <v>0.35690200617283951</v>
      </c>
    </row>
    <row r="93" spans="1:48">
      <c r="A93" s="1">
        <v>92</v>
      </c>
      <c r="B93" s="1">
        <v>1</v>
      </c>
      <c r="C93" s="1">
        <v>1</v>
      </c>
      <c r="D93" s="1">
        <v>0</v>
      </c>
      <c r="E93" s="1">
        <v>1</v>
      </c>
      <c r="F93" s="1">
        <v>7</v>
      </c>
      <c r="G93" s="1">
        <v>6</v>
      </c>
      <c r="H93" s="1">
        <v>2</v>
      </c>
      <c r="I93" s="1">
        <v>2</v>
      </c>
      <c r="J93" s="1">
        <v>3</v>
      </c>
      <c r="K93">
        <v>3.9286956521739129E-2</v>
      </c>
      <c r="L93">
        <v>4.6721739130434793E-2</v>
      </c>
      <c r="M93">
        <v>4.4947619047619035E-2</v>
      </c>
      <c r="N93">
        <v>5.6654166666666693E-2</v>
      </c>
      <c r="O93">
        <v>6.1149999999999975E-2</v>
      </c>
      <c r="P93">
        <v>4.7827272727272725E-2</v>
      </c>
      <c r="Q93">
        <v>4.2790909090909102E-2</v>
      </c>
      <c r="R93">
        <v>4.1279166666666679E-2</v>
      </c>
      <c r="S93">
        <f t="shared" si="2"/>
        <v>5.2105587121212125E-2</v>
      </c>
      <c r="T93">
        <f t="shared" si="3"/>
        <v>1.0826420454545446E-2</v>
      </c>
      <c r="U93">
        <v>4.092500000000001E-2</v>
      </c>
      <c r="V93">
        <v>4.7352380952380958E-2</v>
      </c>
      <c r="W93">
        <v>0.77564534231200899</v>
      </c>
      <c r="X93">
        <v>0.54857142857142882</v>
      </c>
      <c r="Y93">
        <v>0.63887830687830693</v>
      </c>
      <c r="Z93">
        <v>0.77380952380952395</v>
      </c>
      <c r="AA93">
        <v>-6.7587555555555595E-2</v>
      </c>
      <c r="AB93">
        <v>0.17429976851851853</v>
      </c>
      <c r="AC93">
        <v>0.20778069407990668</v>
      </c>
      <c r="AD93">
        <v>0.20544514325646404</v>
      </c>
      <c r="AE93">
        <v>0.16384126984126984</v>
      </c>
      <c r="AF93">
        <v>0.1363299663299663</v>
      </c>
      <c r="AG93">
        <v>0.23164098404974315</v>
      </c>
      <c r="AH93">
        <v>0.15626926196269258</v>
      </c>
      <c r="AI93">
        <v>0.19949175452825108</v>
      </c>
      <c r="AJ93">
        <v>0.25295061728395074</v>
      </c>
      <c r="AK93">
        <v>0.30046015712682378</v>
      </c>
      <c r="AL93">
        <v>0.56858585858585864</v>
      </c>
      <c r="AM93">
        <v>0.39661279461279475</v>
      </c>
      <c r="AN93">
        <v>0.29928525016244317</v>
      </c>
      <c r="AO93">
        <v>0.36063227513227519</v>
      </c>
      <c r="AP93">
        <v>0.21797573435504466</v>
      </c>
      <c r="AQ93">
        <v>0.21321619293712321</v>
      </c>
      <c r="AR93">
        <v>0.19905925925925921</v>
      </c>
      <c r="AS93">
        <v>0.18100217864923746</v>
      </c>
      <c r="AT93">
        <v>0.306033950617284</v>
      </c>
      <c r="AU93">
        <v>0.20557870370370371</v>
      </c>
      <c r="AV93">
        <v>0.30411265432098789</v>
      </c>
    </row>
    <row r="94" spans="1:48">
      <c r="A94" s="1">
        <v>93</v>
      </c>
      <c r="B94" s="1">
        <v>0</v>
      </c>
      <c r="C94" s="1">
        <v>1</v>
      </c>
      <c r="D94" s="1">
        <v>1</v>
      </c>
      <c r="E94" s="1">
        <v>1</v>
      </c>
      <c r="F94" s="1">
        <v>11</v>
      </c>
      <c r="G94" s="1">
        <v>6</v>
      </c>
      <c r="H94" s="1">
        <v>2</v>
      </c>
      <c r="I94" s="1">
        <v>2</v>
      </c>
      <c r="J94" s="1">
        <v>4</v>
      </c>
      <c r="K94">
        <v>4.1456521739130434E-2</v>
      </c>
      <c r="L94">
        <v>5.3665217391304358E-2</v>
      </c>
      <c r="M94">
        <v>5.2528571428571424E-2</v>
      </c>
      <c r="N94">
        <v>4.8479166666666663E-2</v>
      </c>
      <c r="O94">
        <v>5.3836363636363641E-2</v>
      </c>
      <c r="P94">
        <v>5.4731818181818159E-2</v>
      </c>
      <c r="Q94">
        <v>5.6850000000000026E-2</v>
      </c>
      <c r="R94">
        <v>4.4116666666666672E-2</v>
      </c>
      <c r="S94">
        <f t="shared" si="2"/>
        <v>5.347433712121212E-2</v>
      </c>
      <c r="T94">
        <f t="shared" si="3"/>
        <v>9.3576704545454484E-3</v>
      </c>
      <c r="U94">
        <v>3.606666666666667E-2</v>
      </c>
      <c r="V94">
        <v>4.127619047619048E-2</v>
      </c>
      <c r="W94">
        <v>0.70250841750841719</v>
      </c>
      <c r="X94">
        <v>0.43892857142857139</v>
      </c>
      <c r="Y94">
        <v>0.60805555555555557</v>
      </c>
      <c r="Z94">
        <v>0.69857142857142895</v>
      </c>
      <c r="AA94">
        <v>0.25618666666666678</v>
      </c>
      <c r="AB94">
        <v>0.41853298611111117</v>
      </c>
      <c r="AC94">
        <v>0.24066054243219606</v>
      </c>
      <c r="AD94">
        <v>0.23765199161425579</v>
      </c>
      <c r="AE94">
        <v>0.13797619047619047</v>
      </c>
      <c r="AF94">
        <v>6.3320707070707083E-2</v>
      </c>
      <c r="AG94">
        <v>9.991889699918903E-2</v>
      </c>
      <c r="AH94">
        <v>7.5790754257907531E-2</v>
      </c>
      <c r="AI94">
        <v>6.7133008921330284E-2</v>
      </c>
      <c r="AJ94">
        <v>0.10845370370370375</v>
      </c>
      <c r="AK94">
        <v>0.30571548821548816</v>
      </c>
      <c r="AL94">
        <v>0.55128787878787899</v>
      </c>
      <c r="AM94">
        <v>0.42244949494949502</v>
      </c>
      <c r="AN94">
        <v>0.36128167641325543</v>
      </c>
      <c r="AO94">
        <v>0.4221329365079366</v>
      </c>
      <c r="AP94">
        <v>0.29632423371647504</v>
      </c>
      <c r="AQ94">
        <v>0.21645994832041349</v>
      </c>
      <c r="AR94">
        <v>0.17705555555555552</v>
      </c>
      <c r="AS94">
        <v>8.366013071895409E-2</v>
      </c>
      <c r="AT94">
        <v>0.13287037037037042</v>
      </c>
      <c r="AU94">
        <v>0.12300347222222222</v>
      </c>
      <c r="AV94">
        <v>0.19129050925925947</v>
      </c>
    </row>
    <row r="95" spans="1:48">
      <c r="A95" s="1">
        <v>94</v>
      </c>
      <c r="B95" s="1">
        <v>1</v>
      </c>
      <c r="C95" s="1">
        <v>0</v>
      </c>
      <c r="D95" s="1">
        <v>0</v>
      </c>
      <c r="E95" s="1">
        <v>1</v>
      </c>
      <c r="F95" s="1">
        <v>3</v>
      </c>
      <c r="G95" s="1">
        <v>6</v>
      </c>
      <c r="H95" s="1">
        <v>1</v>
      </c>
      <c r="I95" s="1">
        <v>2</v>
      </c>
      <c r="J95" s="1">
        <v>1</v>
      </c>
      <c r="K95">
        <v>3.0752173913043478E-2</v>
      </c>
      <c r="L95">
        <v>4.3882608695652199E-2</v>
      </c>
      <c r="M95">
        <v>4.3457142857142875E-2</v>
      </c>
      <c r="N95">
        <v>4.2037499999999985E-2</v>
      </c>
      <c r="O95">
        <v>4.3849999999999986E-2</v>
      </c>
      <c r="P95">
        <v>4.3836363636363632E-2</v>
      </c>
      <c r="Q95">
        <v>3.7549999999999993E-2</v>
      </c>
      <c r="R95">
        <v>4.2408333333333346E-2</v>
      </c>
      <c r="S95">
        <f t="shared" si="2"/>
        <v>4.1818465909090906E-2</v>
      </c>
      <c r="T95">
        <f t="shared" si="3"/>
        <v>-5.8986742424244065E-4</v>
      </c>
      <c r="U95">
        <v>3.7966666666666683E-2</v>
      </c>
      <c r="V95">
        <v>4.9095238095238102E-2</v>
      </c>
      <c r="W95">
        <v>0.72937149270482626</v>
      </c>
      <c r="X95">
        <v>0.36499999999999999</v>
      </c>
      <c r="Y95">
        <v>0.18437566137566133</v>
      </c>
      <c r="Z95">
        <v>0.90761904761904744</v>
      </c>
      <c r="AA95">
        <v>-6.3239111111111079E-2</v>
      </c>
      <c r="AB95">
        <v>0.22292245370370367</v>
      </c>
      <c r="AC95">
        <v>0.24913094196558755</v>
      </c>
      <c r="AD95">
        <v>0.35363242487770785</v>
      </c>
      <c r="AE95">
        <v>0.24996825396825401</v>
      </c>
      <c r="AF95">
        <v>0.14409932659932667</v>
      </c>
      <c r="AG95">
        <v>0.13097053257637203</v>
      </c>
      <c r="AH95">
        <v>0.11721005677210058</v>
      </c>
      <c r="AI95">
        <v>8.4409299810759647E-2</v>
      </c>
      <c r="AJ95">
        <v>0.29295679012345682</v>
      </c>
      <c r="AK95">
        <v>0.36278900112233442</v>
      </c>
      <c r="AL95">
        <v>0.56489898989898968</v>
      </c>
      <c r="AM95">
        <v>0.20101346801346798</v>
      </c>
      <c r="AN95">
        <v>0.40924301494476922</v>
      </c>
      <c r="AO95">
        <v>0.42113359788359794</v>
      </c>
      <c r="AP95">
        <v>0.27898307790549171</v>
      </c>
      <c r="AQ95">
        <v>0.26249440137812247</v>
      </c>
      <c r="AR95">
        <v>0.31205185185185191</v>
      </c>
      <c r="AS95">
        <v>0.23337690631808292</v>
      </c>
      <c r="AT95">
        <v>0.26179012345679026</v>
      </c>
      <c r="AU95">
        <v>0.15813657407407405</v>
      </c>
      <c r="AV95">
        <v>0.21805169753086423</v>
      </c>
    </row>
    <row r="96" spans="1:48">
      <c r="A96" s="1">
        <v>95</v>
      </c>
      <c r="B96" s="1">
        <v>1</v>
      </c>
      <c r="C96" s="1">
        <v>1</v>
      </c>
      <c r="D96" s="1">
        <v>0</v>
      </c>
      <c r="E96" s="1">
        <v>1</v>
      </c>
      <c r="F96" s="1">
        <v>8</v>
      </c>
      <c r="G96" s="1">
        <v>6</v>
      </c>
      <c r="H96" s="1">
        <v>2</v>
      </c>
      <c r="I96" s="1">
        <v>2</v>
      </c>
      <c r="J96" s="1">
        <v>3</v>
      </c>
      <c r="K96">
        <v>3.5239130434782599E-2</v>
      </c>
      <c r="L96">
        <v>4.1030434782608684E-2</v>
      </c>
      <c r="M96">
        <v>4.3776190476190489E-2</v>
      </c>
      <c r="N96">
        <v>4.0541666666666663E-2</v>
      </c>
      <c r="O96">
        <v>5.6368181818181817E-2</v>
      </c>
      <c r="P96">
        <v>4.5013636363636381E-2</v>
      </c>
      <c r="Q96">
        <v>3.9454545454545471E-2</v>
      </c>
      <c r="R96">
        <v>3.9766666666666672E-2</v>
      </c>
      <c r="S96">
        <f t="shared" si="2"/>
        <v>4.5344507575757587E-2</v>
      </c>
      <c r="T96">
        <f t="shared" si="3"/>
        <v>5.5778409090909142E-3</v>
      </c>
      <c r="U96">
        <v>3.6554166666666686E-2</v>
      </c>
      <c r="V96">
        <v>4.4314285714285695E-2</v>
      </c>
      <c r="W96">
        <v>0.49805274971941621</v>
      </c>
      <c r="X96">
        <v>0.40107142857142886</v>
      </c>
      <c r="Y96">
        <v>0.46926719576719578</v>
      </c>
      <c r="Z96">
        <v>0.76380952380952383</v>
      </c>
      <c r="AA96">
        <v>-9.0648888888889088E-3</v>
      </c>
      <c r="AB96">
        <v>8.9030671296296299E-2</v>
      </c>
      <c r="AC96">
        <v>0.16468795567220762</v>
      </c>
      <c r="AD96">
        <v>0.23489587700908449</v>
      </c>
      <c r="AE96">
        <v>0.2183888888888888</v>
      </c>
      <c r="AF96">
        <v>0.18321127946127941</v>
      </c>
      <c r="AG96">
        <v>0.22114625574479585</v>
      </c>
      <c r="AH96">
        <v>0.19001622060016224</v>
      </c>
      <c r="AI96">
        <v>0.20095566369288997</v>
      </c>
      <c r="AJ96">
        <v>0.14645987654320969</v>
      </c>
      <c r="AK96">
        <v>0.38895342312008979</v>
      </c>
      <c r="AL96">
        <v>0.47578282828282831</v>
      </c>
      <c r="AM96">
        <v>0.32230471380471387</v>
      </c>
      <c r="AN96">
        <v>0.32562540610786223</v>
      </c>
      <c r="AO96">
        <v>0.24156283068783069</v>
      </c>
      <c r="AP96">
        <v>0.13146950830140483</v>
      </c>
      <c r="AQ96">
        <v>0.23318001722652887</v>
      </c>
      <c r="AR96">
        <v>0.27104814814814809</v>
      </c>
      <c r="AS96">
        <v>0.17427015250544656</v>
      </c>
      <c r="AT96">
        <v>0.36987654320987662</v>
      </c>
      <c r="AU96">
        <v>0.28076967592592589</v>
      </c>
      <c r="AV96">
        <v>0.2968962191358025</v>
      </c>
    </row>
    <row r="97" spans="1:48">
      <c r="A97" s="1">
        <v>96</v>
      </c>
      <c r="B97" s="1">
        <v>1</v>
      </c>
      <c r="C97" s="1">
        <v>1</v>
      </c>
      <c r="D97" s="1">
        <v>0</v>
      </c>
      <c r="E97" s="1">
        <v>1</v>
      </c>
      <c r="F97" s="1">
        <v>9</v>
      </c>
      <c r="G97" s="1">
        <v>6</v>
      </c>
      <c r="H97" s="1">
        <v>2</v>
      </c>
      <c r="I97" s="1">
        <v>2</v>
      </c>
      <c r="J97" s="1">
        <v>3</v>
      </c>
      <c r="K97">
        <v>4.3282608695652189E-2</v>
      </c>
      <c r="L97">
        <v>3.6578260869565192E-2</v>
      </c>
      <c r="M97">
        <v>4.7657142857142877E-2</v>
      </c>
      <c r="N97">
        <v>4.4749999999999991E-2</v>
      </c>
      <c r="O97">
        <v>4.915454545454543E-2</v>
      </c>
      <c r="P97">
        <v>5.1445454545454551E-2</v>
      </c>
      <c r="Q97">
        <v>5.0113636363636367E-2</v>
      </c>
      <c r="R97">
        <v>4.5704166666666657E-2</v>
      </c>
      <c r="S97">
        <f t="shared" si="2"/>
        <v>4.8865909090909085E-2</v>
      </c>
      <c r="T97">
        <f t="shared" si="3"/>
        <v>3.161742424242428E-3</v>
      </c>
      <c r="U97">
        <v>3.4312499999999989E-2</v>
      </c>
      <c r="V97">
        <v>4.9514285714285719E-2</v>
      </c>
      <c r="W97">
        <v>0.62855218855218842</v>
      </c>
      <c r="X97">
        <v>0.4985714285714285</v>
      </c>
      <c r="Y97">
        <v>0.59701587301587289</v>
      </c>
      <c r="Z97">
        <v>0.77857142857142847</v>
      </c>
      <c r="AA97">
        <v>-2.9290666666666673E-2</v>
      </c>
      <c r="AB97">
        <v>9.4982638888888887E-2</v>
      </c>
      <c r="AC97">
        <v>0.12355205599300087</v>
      </c>
      <c r="AD97">
        <v>0.22710272536687631</v>
      </c>
      <c r="AE97">
        <v>0.13538095238095232</v>
      </c>
      <c r="AF97">
        <v>0.17080808080808071</v>
      </c>
      <c r="AG97">
        <v>0.28212489862124895</v>
      </c>
      <c r="AH97">
        <v>0.23435523114355231</v>
      </c>
      <c r="AI97">
        <v>0.31458231954582327</v>
      </c>
      <c r="AJ97">
        <v>0.23096296296296276</v>
      </c>
      <c r="AK97">
        <v>0.28693602693602693</v>
      </c>
      <c r="AL97">
        <v>0.58212121212121204</v>
      </c>
      <c r="AM97">
        <v>0.39541414141414144</v>
      </c>
      <c r="AN97">
        <v>0.3542884990253411</v>
      </c>
      <c r="AO97">
        <v>0.25574206349206352</v>
      </c>
      <c r="AP97">
        <v>8.4818007662835232E-2</v>
      </c>
      <c r="AQ97">
        <v>0.20665633074935402</v>
      </c>
      <c r="AR97">
        <v>0.21704444444444437</v>
      </c>
      <c r="AS97">
        <v>0.16810457516339866</v>
      </c>
      <c r="AT97">
        <v>0.43733796296296296</v>
      </c>
      <c r="AU97">
        <v>0.30861111111111117</v>
      </c>
      <c r="AV97">
        <v>0.49240740740740752</v>
      </c>
    </row>
    <row r="98" spans="1:48">
      <c r="A98" s="1">
        <v>97</v>
      </c>
      <c r="B98" s="1">
        <v>1</v>
      </c>
      <c r="C98" s="1">
        <v>1</v>
      </c>
      <c r="D98" s="1">
        <v>1</v>
      </c>
      <c r="E98" s="1">
        <v>1</v>
      </c>
      <c r="F98" s="1">
        <v>19</v>
      </c>
      <c r="G98" s="1">
        <v>6</v>
      </c>
      <c r="H98" s="1">
        <v>3</v>
      </c>
      <c r="I98" s="1">
        <v>2</v>
      </c>
      <c r="J98" s="1">
        <v>5</v>
      </c>
      <c r="K98">
        <v>4.2099999999999985E-2</v>
      </c>
      <c r="L98">
        <v>4.1695652173913043E-2</v>
      </c>
      <c r="M98">
        <v>5.343333333333336E-2</v>
      </c>
      <c r="N98">
        <v>3.9920833333333329E-2</v>
      </c>
      <c r="O98">
        <v>4.4009090909090928E-2</v>
      </c>
      <c r="P98">
        <v>5.0945454545454544E-2</v>
      </c>
      <c r="Q98">
        <v>4.4072727272727263E-2</v>
      </c>
      <c r="R98">
        <v>3.757499999999999E-2</v>
      </c>
      <c r="S98">
        <f t="shared" si="2"/>
        <v>4.4737026515151518E-2</v>
      </c>
      <c r="T98">
        <f t="shared" si="3"/>
        <v>7.1620265151515275E-3</v>
      </c>
      <c r="U98">
        <v>3.4091666666666687E-2</v>
      </c>
      <c r="V98">
        <v>4.2114285714285708E-2</v>
      </c>
      <c r="W98">
        <v>0.54814253647586986</v>
      </c>
      <c r="X98">
        <v>0.50749999999999995</v>
      </c>
      <c r="Y98">
        <v>0.41619312169312167</v>
      </c>
      <c r="Z98">
        <v>0.64047619047619064</v>
      </c>
      <c r="AA98">
        <v>0.12488355555555558</v>
      </c>
      <c r="AB98">
        <v>0.29624710648148145</v>
      </c>
      <c r="AC98">
        <v>0.25406969962088072</v>
      </c>
      <c r="AD98">
        <v>0.27138504542278119</v>
      </c>
      <c r="AE98">
        <v>0.21451587301587299</v>
      </c>
      <c r="AF98">
        <v>0.12734427609427607</v>
      </c>
      <c r="AG98">
        <v>0.20441741011084083</v>
      </c>
      <c r="AH98">
        <v>0.2392781832927818</v>
      </c>
      <c r="AI98">
        <v>0.2829535009462017</v>
      </c>
      <c r="AJ98">
        <v>0.16646604938271584</v>
      </c>
      <c r="AK98">
        <v>0.32219135802469123</v>
      </c>
      <c r="AL98">
        <v>0.43027777777777776</v>
      </c>
      <c r="AM98">
        <v>0.36852356902356898</v>
      </c>
      <c r="AN98">
        <v>0.36365334632878493</v>
      </c>
      <c r="AO98">
        <v>0.35117129629629634</v>
      </c>
      <c r="AP98">
        <v>0.28644236909323123</v>
      </c>
      <c r="AQ98">
        <v>0.26106287683031881</v>
      </c>
      <c r="AR98">
        <v>0.26604074074074086</v>
      </c>
      <c r="AS98">
        <v>0.16488017429193907</v>
      </c>
      <c r="AT98">
        <v>0.33917438271604949</v>
      </c>
      <c r="AU98">
        <v>0.23020254629629608</v>
      </c>
      <c r="AV98">
        <v>0.42437692901234558</v>
      </c>
    </row>
    <row r="99" spans="1:48">
      <c r="A99" s="1">
        <v>98</v>
      </c>
      <c r="B99" s="1">
        <v>1</v>
      </c>
      <c r="C99" s="1">
        <v>1</v>
      </c>
      <c r="D99" s="1">
        <v>1</v>
      </c>
      <c r="E99" s="1">
        <v>1</v>
      </c>
      <c r="F99" s="1">
        <v>25</v>
      </c>
      <c r="G99" s="1">
        <v>18</v>
      </c>
      <c r="H99" s="1">
        <v>3</v>
      </c>
      <c r="I99" s="1">
        <v>2</v>
      </c>
      <c r="J99" s="1">
        <v>6</v>
      </c>
      <c r="K99">
        <v>4.3369565217391305E-2</v>
      </c>
      <c r="L99">
        <v>4.3465217391304357E-2</v>
      </c>
      <c r="M99">
        <v>5.2919047619047616E-2</v>
      </c>
      <c r="N99">
        <v>4.8991666666666656E-2</v>
      </c>
      <c r="O99">
        <v>5.3618181818181829E-2</v>
      </c>
      <c r="P99">
        <v>5.5486363636363632E-2</v>
      </c>
      <c r="Q99">
        <v>4.2799999999999991E-2</v>
      </c>
      <c r="R99">
        <v>3.314166666666666E-2</v>
      </c>
      <c r="S99">
        <f t="shared" si="2"/>
        <v>5.0224053030303029E-2</v>
      </c>
      <c r="T99">
        <f t="shared" si="3"/>
        <v>1.7082386363636369E-2</v>
      </c>
      <c r="U99">
        <v>3.4158333333333325E-2</v>
      </c>
      <c r="V99">
        <v>4.3057142857142849E-2</v>
      </c>
      <c r="W99">
        <v>0.70591470258136912</v>
      </c>
      <c r="X99">
        <v>0.45642857142857124</v>
      </c>
      <c r="Y99">
        <v>0.59108465608465621</v>
      </c>
      <c r="Z99">
        <v>0.61238095238095247</v>
      </c>
      <c r="AA99">
        <v>3.5057777777777799E-2</v>
      </c>
      <c r="AB99">
        <v>0.23579282407407401</v>
      </c>
      <c r="AC99">
        <v>0.24128025663458735</v>
      </c>
      <c r="AD99">
        <v>0.27189378057302566</v>
      </c>
      <c r="AE99">
        <v>0.18793650793650801</v>
      </c>
      <c r="AF99">
        <v>0.10736531986531997</v>
      </c>
      <c r="AG99">
        <v>0.19313327926466622</v>
      </c>
      <c r="AH99">
        <v>0.19164639091646385</v>
      </c>
      <c r="AI99">
        <v>0.2177480400108136</v>
      </c>
      <c r="AJ99">
        <v>0.14696913580246901</v>
      </c>
      <c r="AK99">
        <v>0.25653759820426475</v>
      </c>
      <c r="AL99">
        <v>0.51934343434343444</v>
      </c>
      <c r="AM99">
        <v>0.33890572390572388</v>
      </c>
      <c r="AN99">
        <v>0.34056205328135147</v>
      </c>
      <c r="AO99">
        <v>0.4251719576719577</v>
      </c>
      <c r="AP99">
        <v>0.2432391443167306</v>
      </c>
      <c r="AQ99">
        <v>0.27732988802756248</v>
      </c>
      <c r="AR99">
        <v>0.27003703703703702</v>
      </c>
      <c r="AS99">
        <v>0.12636165577342057</v>
      </c>
      <c r="AT99">
        <v>0.23476080246913583</v>
      </c>
      <c r="AU99">
        <v>0.22679398148148142</v>
      </c>
      <c r="AV99">
        <v>0.32822145061728408</v>
      </c>
    </row>
    <row r="100" spans="1:48">
      <c r="A100" s="1">
        <v>99</v>
      </c>
      <c r="B100" s="1">
        <v>1</v>
      </c>
      <c r="C100" s="1">
        <v>1</v>
      </c>
      <c r="D100" s="1">
        <v>1</v>
      </c>
      <c r="E100" s="1">
        <v>0</v>
      </c>
      <c r="F100" s="1">
        <v>26</v>
      </c>
      <c r="G100" s="1">
        <v>18</v>
      </c>
      <c r="H100" s="1">
        <v>3</v>
      </c>
      <c r="I100" s="1">
        <v>2</v>
      </c>
      <c r="J100" s="1">
        <v>6</v>
      </c>
      <c r="K100">
        <v>4.1308695652173891E-2</v>
      </c>
      <c r="L100">
        <v>4.332608695652173E-2</v>
      </c>
      <c r="M100">
        <v>4.7699999999999979E-2</v>
      </c>
      <c r="N100">
        <v>5.3291666666666661E-2</v>
      </c>
      <c r="O100">
        <v>5.438181818181817E-2</v>
      </c>
      <c r="P100">
        <v>5.0118181818181812E-2</v>
      </c>
      <c r="Q100">
        <v>5.7127272727272714E-2</v>
      </c>
      <c r="R100">
        <v>4.4158333333333334E-2</v>
      </c>
      <c r="S100">
        <f t="shared" si="2"/>
        <v>5.3729734848484839E-2</v>
      </c>
      <c r="T100">
        <f t="shared" si="3"/>
        <v>9.571401515151505E-3</v>
      </c>
      <c r="U100">
        <v>4.2729166666666631E-2</v>
      </c>
      <c r="V100">
        <v>4.261428571428573E-2</v>
      </c>
      <c r="W100">
        <v>0.64368686868686842</v>
      </c>
      <c r="X100">
        <v>0.44535714285714256</v>
      </c>
      <c r="Y100">
        <v>0.80026190476190506</v>
      </c>
      <c r="Z100">
        <v>0.81142857142857139</v>
      </c>
      <c r="AA100">
        <v>0.55614666666666668</v>
      </c>
      <c r="AB100">
        <v>0.51425781250000002</v>
      </c>
      <c r="AC100">
        <v>0.43301837270341215</v>
      </c>
      <c r="AD100">
        <v>0.41294339622641513</v>
      </c>
      <c r="AE100">
        <v>0.34546428571428578</v>
      </c>
      <c r="AF100">
        <v>0.20119949494949499</v>
      </c>
      <c r="AG100">
        <v>0.26791970802919712</v>
      </c>
      <c r="AH100">
        <v>0.23569343065693438</v>
      </c>
      <c r="AI100">
        <v>0.23907542579075433</v>
      </c>
      <c r="AJ100">
        <v>8.5472222222221991E-2</v>
      </c>
      <c r="AK100">
        <v>0.3172474747474745</v>
      </c>
      <c r="AL100">
        <v>0.58386363636363636</v>
      </c>
      <c r="AM100">
        <v>0.42746969696969717</v>
      </c>
      <c r="AN100">
        <v>0.63046783625731007</v>
      </c>
      <c r="AO100">
        <v>0.71056547619047616</v>
      </c>
      <c r="AP100">
        <v>0.43336206896551732</v>
      </c>
      <c r="AQ100">
        <v>0.40057364341085283</v>
      </c>
      <c r="AR100">
        <v>0.40860000000000002</v>
      </c>
      <c r="AS100">
        <v>0.19259803921568622</v>
      </c>
      <c r="AT100">
        <v>0.43975694444444435</v>
      </c>
      <c r="AU100">
        <v>0.34684027777777793</v>
      </c>
      <c r="AV100">
        <v>0.39538194444444452</v>
      </c>
    </row>
    <row r="101" spans="1:48">
      <c r="A101" s="1">
        <v>100</v>
      </c>
      <c r="B101" s="1">
        <v>1</v>
      </c>
      <c r="C101" s="1">
        <v>1</v>
      </c>
      <c r="D101" s="1">
        <v>1</v>
      </c>
      <c r="E101" s="1">
        <v>1</v>
      </c>
      <c r="F101" s="1">
        <v>22</v>
      </c>
      <c r="G101" s="1">
        <v>18</v>
      </c>
      <c r="H101" s="1">
        <v>3</v>
      </c>
      <c r="I101" s="1">
        <v>2</v>
      </c>
      <c r="J101" s="1">
        <v>6</v>
      </c>
      <c r="K101">
        <v>3.4469565217391314E-2</v>
      </c>
      <c r="L101">
        <v>4.2299999999999983E-2</v>
      </c>
      <c r="M101">
        <v>4.6404761904761879E-2</v>
      </c>
      <c r="N101">
        <v>3.9020833333333317E-2</v>
      </c>
      <c r="O101">
        <v>4.9459090909090925E-2</v>
      </c>
      <c r="P101">
        <v>4.6036363636363653E-2</v>
      </c>
      <c r="Q101">
        <v>4.3318181818181832E-2</v>
      </c>
      <c r="R101">
        <v>3.524583333333333E-2</v>
      </c>
      <c r="S101">
        <f t="shared" si="2"/>
        <v>4.4458617424242432E-2</v>
      </c>
      <c r="T101">
        <f t="shared" si="3"/>
        <v>9.2127840909091013E-3</v>
      </c>
      <c r="U101">
        <v>3.8208333333333344E-2</v>
      </c>
      <c r="V101">
        <v>5.9257142857142862E-2</v>
      </c>
      <c r="W101">
        <v>0.71236812570145891</v>
      </c>
      <c r="X101">
        <v>0.36714285714285733</v>
      </c>
      <c r="Y101">
        <v>0.54086772486772483</v>
      </c>
      <c r="Z101">
        <v>0.63190476190476186</v>
      </c>
      <c r="AA101">
        <v>6.2606222222222174E-2</v>
      </c>
      <c r="AB101">
        <v>0.9226967592592592</v>
      </c>
      <c r="AC101">
        <v>0.23538641003207939</v>
      </c>
      <c r="AD101">
        <v>0.23442068483577913</v>
      </c>
      <c r="AE101">
        <v>0.22049206349206349</v>
      </c>
      <c r="AF101">
        <v>0.12801346801346794</v>
      </c>
      <c r="AG101">
        <v>0.23114895917815639</v>
      </c>
      <c r="AH101">
        <v>0.21828061638280621</v>
      </c>
      <c r="AI101">
        <v>0.22237361449040288</v>
      </c>
      <c r="AJ101">
        <v>0.21697530864197531</v>
      </c>
      <c r="AK101">
        <v>0.23795735129068463</v>
      </c>
      <c r="AL101">
        <v>0.45292929292929301</v>
      </c>
      <c r="AM101">
        <v>0.31694276094276097</v>
      </c>
      <c r="AN101">
        <v>0.3031513970110461</v>
      </c>
      <c r="AO101">
        <v>0.33120899470899468</v>
      </c>
      <c r="AP101">
        <v>0.25252234993614309</v>
      </c>
      <c r="AQ101">
        <v>0.25498018949181733</v>
      </c>
      <c r="AR101">
        <v>0.25502962962962961</v>
      </c>
      <c r="AS101">
        <v>0.11403050108932464</v>
      </c>
      <c r="AT101">
        <v>0.29780864197530882</v>
      </c>
      <c r="AU101">
        <v>0.27518518518518525</v>
      </c>
      <c r="AV101">
        <v>0.34007716049382708</v>
      </c>
    </row>
    <row r="102" spans="1:48">
      <c r="A102" s="1">
        <v>101</v>
      </c>
      <c r="B102" s="1">
        <v>1</v>
      </c>
      <c r="C102" s="1">
        <v>1</v>
      </c>
      <c r="D102" s="1">
        <v>1</v>
      </c>
      <c r="E102" s="1">
        <v>1</v>
      </c>
      <c r="F102" s="1">
        <v>13</v>
      </c>
      <c r="G102" s="1">
        <v>6</v>
      </c>
      <c r="H102" s="1">
        <v>3</v>
      </c>
      <c r="I102" s="1">
        <v>2</v>
      </c>
      <c r="J102" s="1">
        <v>5</v>
      </c>
      <c r="K102">
        <v>3.9321739130434775E-2</v>
      </c>
      <c r="L102">
        <v>4.6204347826086956E-2</v>
      </c>
      <c r="M102">
        <v>4.6080952380952389E-2</v>
      </c>
      <c r="N102">
        <v>5.1541666666666687E-2</v>
      </c>
      <c r="O102">
        <v>4.6127272727272711E-2</v>
      </c>
      <c r="P102">
        <v>4.7927272727272735E-2</v>
      </c>
      <c r="Q102">
        <v>4.9295454545454559E-2</v>
      </c>
      <c r="R102">
        <v>4.4141666666666669E-2</v>
      </c>
      <c r="S102">
        <f t="shared" si="2"/>
        <v>4.8722916666666671E-2</v>
      </c>
      <c r="T102">
        <f t="shared" si="3"/>
        <v>4.581250000000002E-3</v>
      </c>
      <c r="U102">
        <v>3.7312500000000005E-2</v>
      </c>
      <c r="V102">
        <v>4.6566666666666687E-2</v>
      </c>
      <c r="W102">
        <v>0.66832210998877661</v>
      </c>
      <c r="X102">
        <v>0.48321428571428549</v>
      </c>
      <c r="Y102">
        <v>0.55433068783068795</v>
      </c>
      <c r="Z102">
        <v>0.70238095238095244</v>
      </c>
      <c r="AA102">
        <v>0.11518044444444442</v>
      </c>
      <c r="AB102">
        <v>0.23724247685185182</v>
      </c>
      <c r="AC102">
        <v>0.18165208515602219</v>
      </c>
      <c r="AD102">
        <v>0.23341998602375971</v>
      </c>
      <c r="AE102">
        <v>0.1567698412698412</v>
      </c>
      <c r="AF102">
        <v>0.14591329966329963</v>
      </c>
      <c r="AG102">
        <v>0.16439037577723714</v>
      </c>
      <c r="AH102">
        <v>0.16188969991889701</v>
      </c>
      <c r="AI102">
        <v>0.18782508786158428</v>
      </c>
      <c r="AJ102">
        <v>0.27247839506172833</v>
      </c>
      <c r="AK102">
        <v>0.34048540965207635</v>
      </c>
      <c r="AL102">
        <v>0.45744949494949494</v>
      </c>
      <c r="AM102">
        <v>0.34641582491582495</v>
      </c>
      <c r="AN102">
        <v>0.37216536712150733</v>
      </c>
      <c r="AO102">
        <v>0.43020965608465611</v>
      </c>
      <c r="AP102">
        <v>0.23000878033205624</v>
      </c>
      <c r="AQ102">
        <v>0.24706115417743341</v>
      </c>
      <c r="AR102">
        <v>0.24102592592592592</v>
      </c>
      <c r="AS102">
        <v>0.11570806100217869</v>
      </c>
      <c r="AT102">
        <v>0.24652006172839497</v>
      </c>
      <c r="AU102">
        <v>0.1759432870370371</v>
      </c>
      <c r="AV102">
        <v>0.29288001543209874</v>
      </c>
    </row>
    <row r="103" spans="1:48">
      <c r="A103" s="1">
        <v>102</v>
      </c>
      <c r="B103" s="1">
        <v>0</v>
      </c>
      <c r="C103" s="1">
        <v>1</v>
      </c>
      <c r="D103" s="1">
        <v>0</v>
      </c>
      <c r="E103" s="1">
        <v>1</v>
      </c>
      <c r="F103" s="1">
        <v>4</v>
      </c>
      <c r="G103" s="1">
        <v>6</v>
      </c>
      <c r="H103" s="1">
        <v>1</v>
      </c>
      <c r="I103" s="1">
        <v>2</v>
      </c>
      <c r="J103" s="1">
        <v>2</v>
      </c>
      <c r="K103">
        <v>4.3765217391304338E-2</v>
      </c>
      <c r="L103">
        <v>3.6113043478260873E-2</v>
      </c>
      <c r="M103">
        <v>4.3547619047619043E-2</v>
      </c>
      <c r="N103" s="1">
        <v>3.9985869972394748E-2</v>
      </c>
      <c r="O103">
        <v>5.629545454545453E-2</v>
      </c>
      <c r="P103">
        <v>5.2818181818181813E-2</v>
      </c>
      <c r="Q103">
        <v>5.2509090909090922E-2</v>
      </c>
      <c r="R103">
        <v>4.8550000000000003E-2</v>
      </c>
      <c r="S103">
        <f t="shared" si="2"/>
        <v>5.0402149311280502E-2</v>
      </c>
      <c r="T103">
        <f t="shared" si="3"/>
        <v>1.8521493112804988E-3</v>
      </c>
      <c r="U103">
        <v>4.980416666666667E-2</v>
      </c>
      <c r="V103">
        <v>6.2642857142857125E-2</v>
      </c>
      <c r="W103">
        <v>0.59154882154882127</v>
      </c>
      <c r="X103">
        <v>0.55928571428571427</v>
      </c>
      <c r="Y103">
        <v>0.59779365079365065</v>
      </c>
      <c r="Z103">
        <v>0.71571428571428564</v>
      </c>
      <c r="AA103">
        <v>0.39815466666666666</v>
      </c>
      <c r="AB103">
        <v>5.3350694444444444E-2</v>
      </c>
      <c r="AC103">
        <v>0.26413823272090992</v>
      </c>
      <c r="AD103">
        <v>0.30562683438155147</v>
      </c>
      <c r="AE103">
        <v>0.25590476190476191</v>
      </c>
      <c r="AF103">
        <v>0.13881313131313128</v>
      </c>
      <c r="AG103">
        <v>0.22317923763179229</v>
      </c>
      <c r="AH103">
        <v>0.1376155717761558</v>
      </c>
      <c r="AI103">
        <v>0.12699918896999185</v>
      </c>
      <c r="AJ103">
        <v>0.17698148148148132</v>
      </c>
      <c r="AK103">
        <v>0.32755892255892255</v>
      </c>
      <c r="AL103">
        <v>0.48196969696969688</v>
      </c>
      <c r="AM103">
        <v>0.39952525252525251</v>
      </c>
      <c r="AN103">
        <v>0.33591617933723195</v>
      </c>
      <c r="AO103">
        <v>0.4881388888888889</v>
      </c>
      <c r="AP103">
        <v>0.31180555555555561</v>
      </c>
      <c r="AQ103">
        <v>0.2651886304909562</v>
      </c>
      <c r="AR103">
        <v>0.27902222222222228</v>
      </c>
      <c r="AS103">
        <v>9.2875816993464186E-2</v>
      </c>
      <c r="AT103">
        <v>0.31502314814814802</v>
      </c>
      <c r="AU103">
        <v>0.20690972222222226</v>
      </c>
      <c r="AV103">
        <v>0.28422453703703704</v>
      </c>
    </row>
    <row r="104" spans="1:48">
      <c r="A104" s="1">
        <v>103</v>
      </c>
      <c r="B104" s="1">
        <v>0</v>
      </c>
      <c r="C104" s="1">
        <v>1</v>
      </c>
      <c r="D104" s="1">
        <v>1</v>
      </c>
      <c r="E104" s="1">
        <v>1</v>
      </c>
      <c r="F104" s="1">
        <v>10</v>
      </c>
      <c r="G104" s="1">
        <v>6</v>
      </c>
      <c r="H104" s="1">
        <v>2</v>
      </c>
      <c r="I104" s="1">
        <v>2</v>
      </c>
      <c r="J104" s="1">
        <v>4</v>
      </c>
      <c r="K104">
        <v>3.8626086956521734E-2</v>
      </c>
      <c r="L104">
        <v>3.9791304347826087E-2</v>
      </c>
      <c r="M104">
        <v>4.2142857142857156E-2</v>
      </c>
      <c r="N104">
        <v>4.9166666666666671E-2</v>
      </c>
      <c r="O104">
        <v>4.3104545454545458E-2</v>
      </c>
      <c r="P104">
        <v>3.8035909090909099E-2</v>
      </c>
      <c r="Q104">
        <v>3.3213636363636369E-2</v>
      </c>
      <c r="R104">
        <v>3.1441666666666666E-2</v>
      </c>
      <c r="S104">
        <f t="shared" si="2"/>
        <v>4.0880189393939399E-2</v>
      </c>
      <c r="T104">
        <f t="shared" si="3"/>
        <v>9.4385227272727329E-3</v>
      </c>
      <c r="U104">
        <v>2.6087500000000003E-2</v>
      </c>
      <c r="V104">
        <v>3.379047619047619E-2</v>
      </c>
      <c r="W104">
        <v>0.90204826038159358</v>
      </c>
      <c r="X104">
        <v>0.13107142857142876</v>
      </c>
      <c r="Y104">
        <v>0.22554232804232807</v>
      </c>
      <c r="Z104">
        <v>0.41190476190476188</v>
      </c>
      <c r="AA104">
        <v>-3.9671111111111115E-2</v>
      </c>
      <c r="AB104">
        <v>8.1958912037037035E-2</v>
      </c>
      <c r="AC104">
        <v>5.3710994459025968E-2</v>
      </c>
      <c r="AD104">
        <v>9.6324248777078986E-2</v>
      </c>
      <c r="AE104">
        <v>0.18646825396825392</v>
      </c>
      <c r="AF104">
        <v>0.16201599326599331</v>
      </c>
      <c r="AG104">
        <v>0.16371992430386592</v>
      </c>
      <c r="AH104">
        <v>0.16808596918085972</v>
      </c>
      <c r="AI104">
        <v>0.16544336307110025</v>
      </c>
      <c r="AJ104">
        <v>0.13548456790123459</v>
      </c>
      <c r="AK104">
        <v>0.18008698092031439</v>
      </c>
      <c r="AL104">
        <v>0.28921717171717171</v>
      </c>
      <c r="AM104">
        <v>0.20445286195286194</v>
      </c>
      <c r="AN104">
        <v>0.39089506172839505</v>
      </c>
      <c r="AO104">
        <v>4.1038359788359794E-3</v>
      </c>
      <c r="AP104">
        <v>3.9471583652618113E-3</v>
      </c>
      <c r="AQ104">
        <v>7.9595176571920764E-2</v>
      </c>
      <c r="AR104">
        <v>0.18401851851851844</v>
      </c>
      <c r="AS104">
        <v>0.16514161220043577</v>
      </c>
      <c r="AT104">
        <v>0.25331790123456788</v>
      </c>
      <c r="AU104">
        <v>0.22433449074074074</v>
      </c>
      <c r="AV104">
        <v>0.29536072530864194</v>
      </c>
    </row>
    <row r="105" spans="1:48">
      <c r="A105" s="1">
        <v>104</v>
      </c>
      <c r="B105" s="1">
        <v>0</v>
      </c>
      <c r="C105" s="1">
        <v>1</v>
      </c>
      <c r="D105" s="1">
        <v>1</v>
      </c>
      <c r="E105" s="1">
        <v>1</v>
      </c>
      <c r="F105" s="1">
        <v>12</v>
      </c>
      <c r="G105" s="1">
        <v>6</v>
      </c>
      <c r="H105" s="1">
        <v>2</v>
      </c>
      <c r="I105" s="1">
        <v>2</v>
      </c>
      <c r="J105" s="1">
        <v>4</v>
      </c>
      <c r="K105">
        <v>3.5395652173913036E-2</v>
      </c>
      <c r="L105">
        <v>4.0469565217391305E-2</v>
      </c>
      <c r="M105">
        <v>3.7361904761904749E-2</v>
      </c>
      <c r="N105">
        <v>3.7708333333333323E-2</v>
      </c>
      <c r="O105">
        <v>4.2290909090909073E-2</v>
      </c>
      <c r="P105">
        <v>3.6327272727272722E-2</v>
      </c>
      <c r="Q105">
        <v>3.8918181818181831E-2</v>
      </c>
      <c r="R105">
        <v>3.5641666666666662E-2</v>
      </c>
      <c r="S105">
        <f t="shared" si="2"/>
        <v>3.8811174242424237E-2</v>
      </c>
      <c r="T105">
        <f t="shared" si="3"/>
        <v>3.1695075757575755E-3</v>
      </c>
      <c r="U105">
        <v>3.0437499999999989E-2</v>
      </c>
      <c r="V105">
        <v>4.364761904761906E-2</v>
      </c>
      <c r="W105">
        <v>0.56527497194163867</v>
      </c>
      <c r="X105">
        <v>0.23428571428571413</v>
      </c>
      <c r="Y105">
        <v>0.28471957671957676</v>
      </c>
      <c r="Z105">
        <v>0.43095238095238086</v>
      </c>
      <c r="AA105">
        <v>4.9703111111111115E-2</v>
      </c>
      <c r="AB105">
        <v>1.19212962962963E-3</v>
      </c>
      <c r="AC105">
        <v>0.15430737824438612</v>
      </c>
      <c r="AD105">
        <v>0.42287071977638013</v>
      </c>
      <c r="AE105">
        <v>0.32774603174603184</v>
      </c>
      <c r="AF105">
        <v>0.26021885521885529</v>
      </c>
      <c r="AG105">
        <v>0.29696134090294662</v>
      </c>
      <c r="AH105">
        <v>0.28103811841038118</v>
      </c>
      <c r="AI105">
        <v>0.27177074885104091</v>
      </c>
      <c r="AJ105">
        <v>0.21098765432098751</v>
      </c>
      <c r="AK105">
        <v>0.28806958473625149</v>
      </c>
      <c r="AL105">
        <v>0.33373737373737372</v>
      </c>
      <c r="AM105">
        <v>0.24119865319865322</v>
      </c>
      <c r="AN105">
        <v>0.32306692657569852</v>
      </c>
      <c r="AO105">
        <v>0.11292592592592593</v>
      </c>
      <c r="AP105">
        <v>3.4019795657726677E-2</v>
      </c>
      <c r="AQ105">
        <v>0.34981567614125753</v>
      </c>
      <c r="AR105">
        <v>0.41101481481481494</v>
      </c>
      <c r="AS105">
        <v>0.21485838779956429</v>
      </c>
      <c r="AT105">
        <v>0.46765432098765419</v>
      </c>
      <c r="AU105">
        <v>0.42717592592592596</v>
      </c>
      <c r="AV105">
        <v>0.41795524691358021</v>
      </c>
    </row>
    <row r="106" spans="1:48">
      <c r="A106" s="1">
        <v>105</v>
      </c>
      <c r="B106" s="1">
        <v>1</v>
      </c>
      <c r="C106" s="1">
        <v>1</v>
      </c>
      <c r="D106" s="1">
        <v>1</v>
      </c>
      <c r="E106" s="1">
        <v>1</v>
      </c>
      <c r="F106" s="1">
        <v>14</v>
      </c>
      <c r="G106" s="1">
        <v>6</v>
      </c>
      <c r="H106" s="1">
        <v>3</v>
      </c>
      <c r="I106" s="1">
        <v>2</v>
      </c>
      <c r="J106" s="1">
        <v>5</v>
      </c>
      <c r="K106">
        <v>3.7239130434782608E-2</v>
      </c>
      <c r="L106">
        <v>4.1434782608695667E-2</v>
      </c>
      <c r="M106">
        <v>4.9152380952380954E-2</v>
      </c>
      <c r="N106">
        <v>4.684166666666667E-2</v>
      </c>
      <c r="O106">
        <v>4.6736363636363618E-2</v>
      </c>
      <c r="P106">
        <v>4.9759090909090913E-2</v>
      </c>
      <c r="Q106">
        <v>5.5104545454545455E-2</v>
      </c>
      <c r="R106">
        <v>3.9404166666666664E-2</v>
      </c>
      <c r="S106">
        <f t="shared" si="2"/>
        <v>4.9610416666666664E-2</v>
      </c>
      <c r="T106">
        <f t="shared" si="3"/>
        <v>1.020625E-2</v>
      </c>
      <c r="U106">
        <v>4.3733333333333346E-2</v>
      </c>
      <c r="V106">
        <v>4.4347619047619059E-2</v>
      </c>
      <c r="W106">
        <v>0.74486531986531967</v>
      </c>
      <c r="X106">
        <v>0.42035714285714282</v>
      </c>
      <c r="Y106">
        <v>0.47532539682539682</v>
      </c>
      <c r="Z106">
        <v>0.56428571428571417</v>
      </c>
      <c r="AA106">
        <v>0.40547733333333336</v>
      </c>
      <c r="AB106">
        <v>0.28058159722222209</v>
      </c>
      <c r="AC106">
        <v>0.15411636045494312</v>
      </c>
      <c r="AD106">
        <v>0.22413417190775689</v>
      </c>
      <c r="AE106">
        <v>0.22116666666666657</v>
      </c>
      <c r="AF106">
        <v>0.20463383838383845</v>
      </c>
      <c r="AG106">
        <v>0.23677210056772116</v>
      </c>
      <c r="AH106">
        <v>0.2428953771289539</v>
      </c>
      <c r="AI106">
        <v>0.2343025141930252</v>
      </c>
      <c r="AJ106">
        <v>0.28449074074074066</v>
      </c>
      <c r="AK106">
        <v>0.29423400673400679</v>
      </c>
      <c r="AL106">
        <v>0.3846212121212122</v>
      </c>
      <c r="AM106">
        <v>0.29612626262626257</v>
      </c>
      <c r="AN106">
        <v>0.36751949317738786</v>
      </c>
      <c r="AO106">
        <v>0.48514087301587305</v>
      </c>
      <c r="AP106">
        <v>0.14426484674329504</v>
      </c>
      <c r="AQ106">
        <v>0.23212919896640835</v>
      </c>
      <c r="AR106">
        <v>0.26101111111111097</v>
      </c>
      <c r="AS106">
        <v>0.20379084967320266</v>
      </c>
      <c r="AT106">
        <v>0.37053240740740756</v>
      </c>
      <c r="AU106">
        <v>0.32897569444444436</v>
      </c>
      <c r="AV106">
        <v>0.37179976851851843</v>
      </c>
    </row>
    <row r="107" spans="1:48">
      <c r="A107" s="1">
        <v>106</v>
      </c>
      <c r="B107" s="1">
        <v>1</v>
      </c>
      <c r="C107" s="1">
        <v>1</v>
      </c>
      <c r="D107" s="1">
        <v>1</v>
      </c>
      <c r="E107" s="1">
        <v>0</v>
      </c>
      <c r="F107" s="1">
        <v>19</v>
      </c>
      <c r="G107" s="1">
        <v>6</v>
      </c>
      <c r="H107" s="1">
        <v>3</v>
      </c>
      <c r="I107" s="1">
        <v>2</v>
      </c>
      <c r="J107" s="1">
        <v>5</v>
      </c>
      <c r="K107">
        <v>2.7404347826086941E-2</v>
      </c>
      <c r="L107">
        <v>4.04217391304348E-2</v>
      </c>
      <c r="M107">
        <v>4.7266666666666665E-2</v>
      </c>
      <c r="N107">
        <v>3.9933333333333321E-2</v>
      </c>
      <c r="O107">
        <v>5.1536363636363609E-2</v>
      </c>
      <c r="P107">
        <v>4.8000000000000022E-2</v>
      </c>
      <c r="Q107">
        <v>4.7072727272727259E-2</v>
      </c>
      <c r="R107">
        <v>4.5587500000000003E-2</v>
      </c>
      <c r="S107">
        <f t="shared" si="2"/>
        <v>4.6635606060606051E-2</v>
      </c>
      <c r="T107">
        <f t="shared" si="3"/>
        <v>1.048106060606048E-3</v>
      </c>
      <c r="U107">
        <v>4.4579166666666649E-2</v>
      </c>
      <c r="V107">
        <v>4.4933333333333332E-2</v>
      </c>
      <c r="W107">
        <v>0.59172839506172825</v>
      </c>
      <c r="X107">
        <v>0.40071428571428569</v>
      </c>
      <c r="Y107">
        <v>0.28164550264550253</v>
      </c>
      <c r="Z107">
        <v>0.51190476190476186</v>
      </c>
      <c r="AA107">
        <v>0.34918814814814814</v>
      </c>
      <c r="AB107">
        <v>0.21453993055555556</v>
      </c>
      <c r="AC107">
        <v>0.23200933216681247</v>
      </c>
      <c r="AD107">
        <v>0.32555974842767293</v>
      </c>
      <c r="AE107">
        <v>0.26946825396825413</v>
      </c>
      <c r="AF107">
        <v>0.17240460157126825</v>
      </c>
      <c r="AG107">
        <v>0.29546634225466351</v>
      </c>
      <c r="AH107">
        <v>0.25188969991889715</v>
      </c>
      <c r="AI107">
        <v>0.26277912949445797</v>
      </c>
      <c r="AJ107">
        <v>0.19099382716049379</v>
      </c>
      <c r="AK107">
        <v>0.36676206509539838</v>
      </c>
      <c r="AL107">
        <v>0.35732323232323221</v>
      </c>
      <c r="AM107">
        <v>0.24650841750841748</v>
      </c>
      <c r="AN107">
        <v>0.37158544509421704</v>
      </c>
      <c r="AO107">
        <v>0.44143518518518526</v>
      </c>
      <c r="AP107">
        <v>0.25549808429118781</v>
      </c>
      <c r="AQ107">
        <v>0.28922308354866505</v>
      </c>
      <c r="AR107">
        <v>0.33980000000000016</v>
      </c>
      <c r="AS107">
        <v>0.17744008714596948</v>
      </c>
      <c r="AT107">
        <v>0.3993441358024693</v>
      </c>
      <c r="AU107">
        <v>0.32846450617283957</v>
      </c>
      <c r="AV107">
        <v>0.38022376543209857</v>
      </c>
    </row>
    <row r="108" spans="1:48">
      <c r="A108" s="1">
        <v>107</v>
      </c>
      <c r="B108" s="1">
        <v>1</v>
      </c>
      <c r="C108" s="1">
        <v>1</v>
      </c>
      <c r="D108" s="1">
        <v>1</v>
      </c>
      <c r="E108" s="1">
        <v>1</v>
      </c>
      <c r="F108" s="1">
        <v>26</v>
      </c>
      <c r="G108" s="1">
        <v>18</v>
      </c>
      <c r="H108" s="1">
        <v>3</v>
      </c>
      <c r="I108" s="1">
        <v>2</v>
      </c>
      <c r="J108" s="1">
        <v>6</v>
      </c>
      <c r="K108">
        <v>3.8682608695652168E-2</v>
      </c>
      <c r="L108">
        <v>4.3543478260869566E-2</v>
      </c>
      <c r="M108">
        <v>4.8414285714285722E-2</v>
      </c>
      <c r="N108">
        <v>4.6379166666666673E-2</v>
      </c>
      <c r="O108">
        <v>5.2131818181818203E-2</v>
      </c>
      <c r="P108">
        <v>4.8945454545454521E-2</v>
      </c>
      <c r="Q108">
        <v>5.0949999999999988E-2</v>
      </c>
      <c r="R108">
        <v>4.3245833333333317E-2</v>
      </c>
      <c r="S108">
        <f t="shared" si="2"/>
        <v>4.960160984848485E-2</v>
      </c>
      <c r="T108">
        <f t="shared" si="3"/>
        <v>6.355776515151533E-3</v>
      </c>
      <c r="U108">
        <v>3.4783333333333333E-2</v>
      </c>
      <c r="V108">
        <v>4.0638095238095244E-2</v>
      </c>
      <c r="W108">
        <v>0.5513187429854095</v>
      </c>
      <c r="X108">
        <v>0.33392857142857146</v>
      </c>
      <c r="Y108">
        <v>0.41653703703703698</v>
      </c>
      <c r="Z108">
        <v>0.47523809523809529</v>
      </c>
      <c r="AA108">
        <v>0.26662577777777791</v>
      </c>
      <c r="AB108">
        <v>0.2893605324074075</v>
      </c>
      <c r="AC108">
        <v>0.21987605715952166</v>
      </c>
      <c r="AD108">
        <v>0.21835918937805734</v>
      </c>
      <c r="AE108">
        <v>0.16872222222222208</v>
      </c>
      <c r="AF108">
        <v>0.14422138047138047</v>
      </c>
      <c r="AG108">
        <v>0.20033522573668547</v>
      </c>
      <c r="AH108">
        <v>0.16806974858069748</v>
      </c>
      <c r="AI108">
        <v>0.22067991349013241</v>
      </c>
      <c r="AJ108">
        <v>0.16249691358024682</v>
      </c>
      <c r="AK108">
        <v>0.23383557800224478</v>
      </c>
      <c r="AL108">
        <v>0.31820707070707077</v>
      </c>
      <c r="AM108">
        <v>0.24870875420875416</v>
      </c>
      <c r="AN108">
        <v>0.32747725795971411</v>
      </c>
      <c r="AO108">
        <v>0.38939219576719597</v>
      </c>
      <c r="AP108">
        <v>0.25096184546615585</v>
      </c>
      <c r="AQ108">
        <v>0.25536089577950033</v>
      </c>
      <c r="AR108">
        <v>0.22300370370370368</v>
      </c>
      <c r="AS108">
        <v>0.1444008714596951</v>
      </c>
      <c r="AT108">
        <v>0.32941358024691336</v>
      </c>
      <c r="AU108">
        <v>0.21174189814814801</v>
      </c>
      <c r="AV108">
        <v>0.33990547839506169</v>
      </c>
    </row>
    <row r="109" spans="1:48">
      <c r="A109" s="1">
        <v>108</v>
      </c>
      <c r="B109" s="1">
        <v>1</v>
      </c>
      <c r="C109" s="1">
        <v>0</v>
      </c>
      <c r="D109" s="1">
        <v>0</v>
      </c>
      <c r="E109" s="1">
        <v>1</v>
      </c>
      <c r="F109" s="1">
        <v>2</v>
      </c>
      <c r="G109" s="1">
        <v>6</v>
      </c>
      <c r="H109" s="1">
        <v>1</v>
      </c>
      <c r="I109" s="1">
        <v>2</v>
      </c>
      <c r="J109" s="1">
        <v>1</v>
      </c>
      <c r="K109">
        <v>3.529565217391304E-2</v>
      </c>
      <c r="L109">
        <v>4.6113043478260868E-2</v>
      </c>
      <c r="M109">
        <v>5.3595238095238126E-2</v>
      </c>
      <c r="N109">
        <v>4.7591666666666678E-2</v>
      </c>
      <c r="O109">
        <v>4.9340909090909095E-2</v>
      </c>
      <c r="P109">
        <v>4.6868181818181795E-2</v>
      </c>
      <c r="Q109">
        <v>4.4086363636363618E-2</v>
      </c>
      <c r="R109">
        <v>4.7195833333333347E-2</v>
      </c>
      <c r="S109">
        <f t="shared" si="2"/>
        <v>4.6971780303030293E-2</v>
      </c>
      <c r="T109">
        <f t="shared" si="3"/>
        <v>-2.2405303030305357E-4</v>
      </c>
      <c r="U109">
        <v>3.9829166666666659E-2</v>
      </c>
      <c r="V109">
        <v>4.4347619047619059E-2</v>
      </c>
      <c r="W109">
        <v>0.64545454545454561</v>
      </c>
      <c r="X109">
        <v>0.39142857142857146</v>
      </c>
      <c r="Y109">
        <v>0.43142857142857138</v>
      </c>
      <c r="Z109">
        <v>0.74428571428571444</v>
      </c>
      <c r="AA109">
        <v>-6.4000000000000055E-3</v>
      </c>
      <c r="AB109">
        <v>0.27109375000000002</v>
      </c>
      <c r="AC109">
        <v>0.24094488188976376</v>
      </c>
      <c r="AD109">
        <v>0.30037735849056607</v>
      </c>
      <c r="AE109">
        <v>0.215</v>
      </c>
      <c r="AF109">
        <v>0.13333333333333333</v>
      </c>
      <c r="AG109">
        <v>0.22919708029197086</v>
      </c>
      <c r="AH109">
        <v>0.17153284671532845</v>
      </c>
      <c r="AI109">
        <v>0.14087591240875924</v>
      </c>
      <c r="AJ109">
        <v>0.31199999999999994</v>
      </c>
      <c r="AK109">
        <v>0.29727272727272724</v>
      </c>
      <c r="AL109">
        <v>0.53090909090909089</v>
      </c>
      <c r="AM109">
        <v>0.38</v>
      </c>
      <c r="AN109">
        <v>0.41228070175438597</v>
      </c>
      <c r="AO109">
        <v>0.39374999999999999</v>
      </c>
      <c r="AP109">
        <v>0.3</v>
      </c>
      <c r="AQ109">
        <v>0.18883720930232553</v>
      </c>
      <c r="AR109">
        <v>0.28399999999999997</v>
      </c>
      <c r="AS109">
        <v>0.1803921568627451</v>
      </c>
      <c r="AT109">
        <v>0.3166666666666666</v>
      </c>
      <c r="AU109">
        <v>0.25416666666666682</v>
      </c>
      <c r="AV109">
        <v>0.34583333333333338</v>
      </c>
    </row>
    <row r="110" spans="1:48">
      <c r="T110" s="1">
        <f>AVERAGE(T2:T109)</f>
        <v>4.6961109328766161E-3</v>
      </c>
    </row>
  </sheetData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05"/>
  <sheetViews>
    <sheetView workbookViewId="0">
      <selection activeCell="M3" sqref="M3"/>
    </sheetView>
  </sheetViews>
  <sheetFormatPr baseColWidth="10" defaultColWidth="5.6640625" defaultRowHeight="15" x14ac:dyDescent="0"/>
  <cols>
    <col min="1" max="1" width="4.1640625" style="1" customWidth="1"/>
    <col min="2" max="2" width="3.6640625" style="1" customWidth="1"/>
    <col min="3" max="3" width="3.83203125" style="1" customWidth="1"/>
    <col min="4" max="4" width="3.5" style="1" customWidth="1"/>
    <col min="5" max="5" width="4" style="1" customWidth="1"/>
    <col min="6" max="6" width="5.6640625" style="1" customWidth="1"/>
    <col min="7" max="7" width="4.33203125" style="1" customWidth="1"/>
    <col min="8" max="8" width="4" style="1" customWidth="1"/>
    <col min="9" max="9" width="4.1640625" style="1" customWidth="1"/>
    <col min="10" max="10" width="5.1640625" style="1" customWidth="1"/>
    <col min="11" max="11" width="8.5" style="1" customWidth="1"/>
    <col min="12" max="12" width="4.6640625" style="1" customWidth="1"/>
    <col min="13" max="13" width="5" style="1" customWidth="1"/>
    <col min="14" max="14" width="6.6640625" style="1" customWidth="1"/>
    <col min="15" max="15" width="12.5" style="1" customWidth="1"/>
    <col min="16" max="74" width="8.832031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6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141</v>
      </c>
      <c r="M1" s="1" t="s">
        <v>142</v>
      </c>
      <c r="N1" s="1" t="s">
        <v>143</v>
      </c>
      <c r="O1" s="1" t="s">
        <v>144</v>
      </c>
      <c r="P1" t="s">
        <v>242</v>
      </c>
      <c r="Q1" t="s">
        <v>243</v>
      </c>
      <c r="R1" t="s">
        <v>145</v>
      </c>
    </row>
    <row r="2" spans="1:18">
      <c r="A2" s="1">
        <v>1</v>
      </c>
      <c r="B2" s="1">
        <v>1</v>
      </c>
      <c r="C2" s="1">
        <v>1</v>
      </c>
      <c r="D2" s="1">
        <v>1</v>
      </c>
      <c r="E2" s="1">
        <v>0</v>
      </c>
      <c r="F2" s="1">
        <v>14</v>
      </c>
      <c r="G2" s="1">
        <v>6</v>
      </c>
      <c r="H2" s="1">
        <v>3</v>
      </c>
      <c r="I2" s="1">
        <v>1</v>
      </c>
      <c r="J2" s="1">
        <v>5</v>
      </c>
      <c r="K2" s="1">
        <v>5</v>
      </c>
      <c r="L2" s="1">
        <v>1</v>
      </c>
      <c r="M2" s="1">
        <v>0</v>
      </c>
      <c r="N2" s="1">
        <v>0</v>
      </c>
      <c r="O2" s="1">
        <v>7</v>
      </c>
      <c r="P2">
        <v>0.93656004489337807</v>
      </c>
      <c r="Q2">
        <v>0.2121697530864198</v>
      </c>
      <c r="R2">
        <v>4.7817391304347812E-2</v>
      </c>
    </row>
    <row r="3" spans="1:18">
      <c r="A3" s="1">
        <v>2</v>
      </c>
      <c r="B3" s="1">
        <v>1</v>
      </c>
      <c r="C3" s="1">
        <v>1</v>
      </c>
      <c r="D3" s="1">
        <v>1</v>
      </c>
      <c r="E3" s="1">
        <v>0</v>
      </c>
      <c r="F3" s="1">
        <v>15</v>
      </c>
      <c r="G3" s="1">
        <v>6</v>
      </c>
      <c r="H3" s="1">
        <v>3</v>
      </c>
      <c r="I3" s="1">
        <v>1</v>
      </c>
      <c r="J3" s="1">
        <v>5</v>
      </c>
      <c r="K3" s="1">
        <v>5</v>
      </c>
      <c r="L3" s="1">
        <v>1</v>
      </c>
      <c r="M3" s="1">
        <v>0</v>
      </c>
      <c r="N3" s="1">
        <v>0</v>
      </c>
      <c r="O3" s="1">
        <v>7</v>
      </c>
      <c r="P3">
        <v>0.81433221099887765</v>
      </c>
      <c r="Q3">
        <v>0.26667283950617282</v>
      </c>
      <c r="R3">
        <v>3.7169565217391315E-2</v>
      </c>
    </row>
    <row r="4" spans="1:18">
      <c r="A4" s="1">
        <v>3</v>
      </c>
      <c r="B4" s="1">
        <v>1</v>
      </c>
      <c r="C4" s="1">
        <v>1</v>
      </c>
      <c r="D4" s="1">
        <v>1</v>
      </c>
      <c r="E4" s="1">
        <v>0</v>
      </c>
      <c r="F4" s="1">
        <v>13</v>
      </c>
      <c r="G4" s="1">
        <v>6</v>
      </c>
      <c r="H4" s="1">
        <v>3</v>
      </c>
      <c r="I4" s="1">
        <v>1</v>
      </c>
      <c r="J4" s="1">
        <v>5</v>
      </c>
      <c r="K4" s="1">
        <v>5</v>
      </c>
      <c r="L4" s="1">
        <v>1</v>
      </c>
      <c r="M4" s="1">
        <v>0</v>
      </c>
      <c r="N4" s="1">
        <v>0</v>
      </c>
      <c r="O4" s="1">
        <v>7</v>
      </c>
      <c r="P4">
        <v>0.50664983164983146</v>
      </c>
      <c r="Q4">
        <v>0.12817592592592586</v>
      </c>
      <c r="R4">
        <v>4.3152173913043483E-2</v>
      </c>
    </row>
    <row r="5" spans="1:18">
      <c r="A5" s="1">
        <v>4</v>
      </c>
      <c r="B5" s="1">
        <v>1</v>
      </c>
      <c r="C5" s="1">
        <v>0</v>
      </c>
      <c r="D5" s="1">
        <v>0</v>
      </c>
      <c r="E5" s="1">
        <v>0</v>
      </c>
      <c r="F5" s="1">
        <v>1</v>
      </c>
      <c r="G5" s="1">
        <v>6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0</v>
      </c>
      <c r="N5" s="1">
        <v>0</v>
      </c>
      <c r="O5" s="1">
        <v>7</v>
      </c>
      <c r="P5">
        <v>0.77169472502805869</v>
      </c>
      <c r="Q5">
        <v>0.21567901234567904</v>
      </c>
      <c r="R5">
        <v>4.0717391304347809E-2</v>
      </c>
    </row>
    <row r="6" spans="1:18">
      <c r="A6" s="1">
        <v>5</v>
      </c>
      <c r="B6" s="1">
        <v>1</v>
      </c>
      <c r="C6" s="1">
        <v>1</v>
      </c>
      <c r="D6" s="1">
        <v>0</v>
      </c>
      <c r="E6" s="1">
        <v>0</v>
      </c>
      <c r="F6" s="1">
        <v>8</v>
      </c>
      <c r="G6" s="1">
        <v>6</v>
      </c>
      <c r="H6" s="1">
        <v>2</v>
      </c>
      <c r="I6" s="1">
        <v>1</v>
      </c>
      <c r="J6" s="1">
        <v>3</v>
      </c>
      <c r="K6" s="1">
        <v>3</v>
      </c>
      <c r="L6" s="1">
        <v>1</v>
      </c>
      <c r="M6" s="1">
        <v>0</v>
      </c>
      <c r="N6" s="1">
        <v>0</v>
      </c>
      <c r="O6" s="1">
        <v>7</v>
      </c>
      <c r="P6">
        <v>0.42037598204264853</v>
      </c>
      <c r="Q6">
        <v>8.0182098765432031E-2</v>
      </c>
      <c r="R6">
        <v>4.2713043478260874E-2</v>
      </c>
    </row>
    <row r="7" spans="1:18">
      <c r="A7" s="1">
        <v>6</v>
      </c>
      <c r="B7" s="1">
        <v>1</v>
      </c>
      <c r="C7" s="1">
        <v>0</v>
      </c>
      <c r="D7" s="1">
        <v>0</v>
      </c>
      <c r="E7" s="1">
        <v>0</v>
      </c>
      <c r="F7" s="1">
        <v>2</v>
      </c>
      <c r="G7" s="1">
        <v>6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0</v>
      </c>
      <c r="N7" s="1">
        <v>0</v>
      </c>
      <c r="O7" s="1">
        <v>7</v>
      </c>
      <c r="P7">
        <v>0.52542087542087534</v>
      </c>
      <c r="Q7">
        <v>0.16168518518518518</v>
      </c>
      <c r="R7">
        <v>3.8586956521739137E-2</v>
      </c>
    </row>
    <row r="8" spans="1:18">
      <c r="A8" s="1">
        <v>7</v>
      </c>
      <c r="B8" s="1">
        <v>1</v>
      </c>
      <c r="C8" s="1">
        <v>1</v>
      </c>
      <c r="D8" s="1">
        <v>1</v>
      </c>
      <c r="E8" s="1">
        <v>0</v>
      </c>
      <c r="F8" s="1">
        <v>24</v>
      </c>
      <c r="G8" s="1">
        <v>18</v>
      </c>
      <c r="H8" s="1">
        <v>3</v>
      </c>
      <c r="I8" s="1">
        <v>1</v>
      </c>
      <c r="J8" s="1">
        <v>6</v>
      </c>
      <c r="K8" s="1">
        <v>7</v>
      </c>
      <c r="L8" s="1">
        <v>1</v>
      </c>
      <c r="M8" s="1">
        <v>0</v>
      </c>
      <c r="N8" s="1">
        <v>0</v>
      </c>
      <c r="O8" s="1">
        <v>7</v>
      </c>
      <c r="P8">
        <v>0.5613748597081929</v>
      </c>
      <c r="Q8">
        <v>0.18018827160493825</v>
      </c>
      <c r="R8">
        <v>4.1208695652173909E-2</v>
      </c>
    </row>
    <row r="9" spans="1:18">
      <c r="A9" s="1">
        <v>8</v>
      </c>
      <c r="B9" s="1">
        <v>1</v>
      </c>
      <c r="C9" s="1">
        <v>1</v>
      </c>
      <c r="D9" s="1">
        <v>1</v>
      </c>
      <c r="E9" s="1">
        <v>0</v>
      </c>
      <c r="F9" s="1">
        <v>26</v>
      </c>
      <c r="G9" s="1">
        <v>18</v>
      </c>
      <c r="H9" s="1">
        <v>3</v>
      </c>
      <c r="I9" s="1">
        <v>1</v>
      </c>
      <c r="J9" s="1">
        <v>6</v>
      </c>
      <c r="K9" s="1">
        <v>7</v>
      </c>
      <c r="L9" s="1">
        <v>1</v>
      </c>
      <c r="M9" s="1">
        <v>0</v>
      </c>
      <c r="N9" s="1">
        <v>0</v>
      </c>
      <c r="O9" s="1">
        <v>7</v>
      </c>
      <c r="P9">
        <v>0.61005611672278348</v>
      </c>
      <c r="Q9">
        <v>0.19369135802469159</v>
      </c>
      <c r="R9">
        <v>3.6499999999999984E-2</v>
      </c>
    </row>
    <row r="10" spans="1:18">
      <c r="A10" s="1">
        <v>9</v>
      </c>
      <c r="B10" s="1">
        <v>1</v>
      </c>
      <c r="C10" s="1">
        <v>1</v>
      </c>
      <c r="D10" s="1">
        <v>1</v>
      </c>
      <c r="E10" s="1">
        <v>0</v>
      </c>
      <c r="F10" s="1">
        <v>21</v>
      </c>
      <c r="G10" s="1">
        <v>18</v>
      </c>
      <c r="H10" s="1">
        <v>3</v>
      </c>
      <c r="I10" s="1">
        <v>1</v>
      </c>
      <c r="J10" s="1">
        <v>6</v>
      </c>
      <c r="K10" s="1">
        <v>7</v>
      </c>
      <c r="L10" s="1">
        <v>1</v>
      </c>
      <c r="M10" s="1">
        <v>0</v>
      </c>
      <c r="N10" s="1">
        <v>0</v>
      </c>
      <c r="O10" s="1">
        <v>7</v>
      </c>
      <c r="P10">
        <v>0.92419191919191945</v>
      </c>
      <c r="Q10">
        <v>0.17219444444444462</v>
      </c>
      <c r="R10">
        <v>3.8247826086956531E-2</v>
      </c>
    </row>
    <row r="11" spans="1:18">
      <c r="A11" s="1">
        <v>10</v>
      </c>
      <c r="B11" s="1">
        <v>1</v>
      </c>
      <c r="C11" s="1">
        <v>1</v>
      </c>
      <c r="D11" s="1">
        <v>1</v>
      </c>
      <c r="E11" s="1">
        <v>0</v>
      </c>
      <c r="F11" s="1">
        <v>25</v>
      </c>
      <c r="G11" s="1">
        <v>18</v>
      </c>
      <c r="H11" s="1">
        <v>3</v>
      </c>
      <c r="I11" s="1">
        <v>1</v>
      </c>
      <c r="J11" s="1">
        <v>6</v>
      </c>
      <c r="K11" s="1">
        <v>7</v>
      </c>
      <c r="L11" s="1">
        <v>1</v>
      </c>
      <c r="M11" s="1">
        <v>0</v>
      </c>
      <c r="N11" s="1">
        <v>0</v>
      </c>
      <c r="O11" s="1">
        <v>7</v>
      </c>
      <c r="P11">
        <v>1.025600448933782</v>
      </c>
      <c r="Q11">
        <v>0.18269753086419732</v>
      </c>
      <c r="R11">
        <v>4.7978260869565213E-2</v>
      </c>
    </row>
    <row r="12" spans="1:18">
      <c r="A12" s="1">
        <v>11</v>
      </c>
      <c r="B12" s="1">
        <v>1</v>
      </c>
      <c r="C12" s="1">
        <v>1</v>
      </c>
      <c r="D12" s="1">
        <v>1</v>
      </c>
      <c r="E12" s="1">
        <v>0</v>
      </c>
      <c r="F12" s="1">
        <v>20</v>
      </c>
      <c r="G12" s="1">
        <v>18</v>
      </c>
      <c r="H12" s="1">
        <v>3</v>
      </c>
      <c r="I12" s="1">
        <v>1</v>
      </c>
      <c r="J12" s="1">
        <v>6</v>
      </c>
      <c r="K12" s="1">
        <v>7</v>
      </c>
      <c r="L12" s="1">
        <v>1</v>
      </c>
      <c r="M12" s="1">
        <v>0</v>
      </c>
      <c r="N12" s="1">
        <v>0</v>
      </c>
      <c r="O12" s="1">
        <v>7</v>
      </c>
      <c r="P12">
        <v>0.86519079685746381</v>
      </c>
      <c r="Q12">
        <v>0.23120061728395064</v>
      </c>
      <c r="R12">
        <v>3.8326086956521739E-2</v>
      </c>
    </row>
    <row r="13" spans="1:18">
      <c r="A13" s="1">
        <v>12</v>
      </c>
      <c r="B13" s="1">
        <v>1</v>
      </c>
      <c r="C13" s="1">
        <v>1</v>
      </c>
      <c r="D13" s="1">
        <v>1</v>
      </c>
      <c r="E13" s="1">
        <v>1</v>
      </c>
      <c r="F13" s="1">
        <v>18</v>
      </c>
      <c r="G13" s="1">
        <v>6</v>
      </c>
      <c r="H13" s="1">
        <v>3</v>
      </c>
      <c r="I13" s="1">
        <v>1</v>
      </c>
      <c r="J13" s="1">
        <v>5</v>
      </c>
      <c r="K13" s="1">
        <v>6</v>
      </c>
      <c r="L13" s="1">
        <v>1</v>
      </c>
      <c r="M13" s="1">
        <v>0</v>
      </c>
      <c r="N13" s="1">
        <v>0</v>
      </c>
      <c r="O13" s="1">
        <v>7</v>
      </c>
      <c r="P13">
        <v>0.87569023569023619</v>
      </c>
      <c r="Q13">
        <v>0.16670370370370408</v>
      </c>
      <c r="R13">
        <v>3.8165217391304351E-2</v>
      </c>
    </row>
    <row r="14" spans="1:18">
      <c r="A14" s="1">
        <v>13</v>
      </c>
      <c r="B14" s="1">
        <v>1</v>
      </c>
      <c r="C14" s="1">
        <v>1</v>
      </c>
      <c r="D14" s="1">
        <v>1</v>
      </c>
      <c r="E14" s="1">
        <v>1</v>
      </c>
      <c r="F14" s="1">
        <v>25</v>
      </c>
      <c r="G14" s="1">
        <v>18</v>
      </c>
      <c r="H14" s="1">
        <v>3</v>
      </c>
      <c r="I14" s="1">
        <v>1</v>
      </c>
      <c r="J14" s="1">
        <v>6</v>
      </c>
      <c r="K14" s="1">
        <v>7</v>
      </c>
      <c r="L14" s="1">
        <v>1</v>
      </c>
      <c r="M14" s="1">
        <v>0</v>
      </c>
      <c r="N14" s="1">
        <v>0</v>
      </c>
      <c r="O14" s="1">
        <v>7</v>
      </c>
      <c r="P14">
        <v>0.80800785634118943</v>
      </c>
      <c r="Q14">
        <v>0.17820679012345658</v>
      </c>
      <c r="R14">
        <v>4.1017391304347825E-2</v>
      </c>
    </row>
    <row r="15" spans="1:18">
      <c r="A15" s="1">
        <v>14</v>
      </c>
      <c r="B15" s="1">
        <v>1</v>
      </c>
      <c r="C15" s="1">
        <v>1</v>
      </c>
      <c r="D15" s="1">
        <v>1</v>
      </c>
      <c r="E15" s="1">
        <v>1</v>
      </c>
      <c r="F15" s="1">
        <v>14</v>
      </c>
      <c r="G15" s="1">
        <v>6</v>
      </c>
      <c r="H15" s="1">
        <v>3</v>
      </c>
      <c r="I15" s="1">
        <v>1</v>
      </c>
      <c r="J15" s="1">
        <v>5</v>
      </c>
      <c r="K15" s="1">
        <v>5</v>
      </c>
      <c r="L15" s="1">
        <v>1</v>
      </c>
      <c r="M15" s="1">
        <v>0</v>
      </c>
      <c r="N15" s="1">
        <v>0</v>
      </c>
      <c r="O15" s="1">
        <v>7</v>
      </c>
      <c r="P15">
        <v>0.81850729517396204</v>
      </c>
      <c r="Q15">
        <v>0.26470987654321015</v>
      </c>
      <c r="R15">
        <v>3.7227999999999997E-2</v>
      </c>
    </row>
    <row r="16" spans="1:18">
      <c r="A16" s="1">
        <v>15</v>
      </c>
      <c r="B16" s="1">
        <v>1</v>
      </c>
      <c r="C16" s="1">
        <v>1</v>
      </c>
      <c r="D16" s="1">
        <v>1</v>
      </c>
      <c r="E16" s="1">
        <v>0</v>
      </c>
      <c r="F16" s="1">
        <v>18</v>
      </c>
      <c r="G16" s="1">
        <v>6</v>
      </c>
      <c r="H16" s="1">
        <v>3</v>
      </c>
      <c r="I16" s="1">
        <v>1</v>
      </c>
      <c r="J16" s="1">
        <v>5</v>
      </c>
      <c r="K16" s="1">
        <v>6</v>
      </c>
      <c r="L16" s="1">
        <v>1</v>
      </c>
      <c r="M16" s="1">
        <v>0</v>
      </c>
      <c r="N16" s="1">
        <v>0</v>
      </c>
      <c r="O16" s="1">
        <v>7</v>
      </c>
      <c r="P16">
        <v>0.84537037037036999</v>
      </c>
      <c r="Q16">
        <v>0.21421296296296291</v>
      </c>
      <c r="R16">
        <v>3.5660869565217385E-2</v>
      </c>
    </row>
    <row r="17" spans="1:18">
      <c r="A17" s="1">
        <v>16</v>
      </c>
      <c r="B17" s="1">
        <v>1</v>
      </c>
      <c r="C17" s="1">
        <v>1</v>
      </c>
      <c r="D17" s="1">
        <v>1</v>
      </c>
      <c r="E17" s="1">
        <v>1</v>
      </c>
      <c r="F17" s="1">
        <v>21</v>
      </c>
      <c r="G17" s="1">
        <v>18</v>
      </c>
      <c r="H17" s="1">
        <v>3</v>
      </c>
      <c r="I17" s="1">
        <v>1</v>
      </c>
      <c r="J17" s="1">
        <v>6</v>
      </c>
      <c r="K17" s="1">
        <v>7</v>
      </c>
      <c r="L17" s="1">
        <v>1</v>
      </c>
      <c r="M17" s="1">
        <v>0</v>
      </c>
      <c r="N17" s="1">
        <v>0</v>
      </c>
      <c r="O17" s="1">
        <v>7</v>
      </c>
      <c r="P17">
        <v>0.81041526374859696</v>
      </c>
      <c r="Q17">
        <v>0.20471604938271587</v>
      </c>
      <c r="R17">
        <v>4.5799999999999993E-2</v>
      </c>
    </row>
    <row r="18" spans="1:18">
      <c r="A18" s="1">
        <v>17</v>
      </c>
      <c r="B18" s="1">
        <v>1</v>
      </c>
      <c r="C18" s="1">
        <v>0</v>
      </c>
      <c r="D18" s="1">
        <v>0</v>
      </c>
      <c r="E18" s="1">
        <v>1</v>
      </c>
      <c r="F18" s="1">
        <v>1</v>
      </c>
      <c r="G18" s="1">
        <v>6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7</v>
      </c>
      <c r="P18">
        <v>0.68455106621773287</v>
      </c>
      <c r="Q18">
        <v>3.6219135802469181E-2</v>
      </c>
      <c r="R18">
        <v>3.4599999999999992E-2</v>
      </c>
    </row>
    <row r="19" spans="1:18">
      <c r="A19" s="1">
        <v>18</v>
      </c>
      <c r="B19" s="1">
        <v>1</v>
      </c>
      <c r="C19" s="1">
        <v>1</v>
      </c>
      <c r="D19" s="1">
        <v>1</v>
      </c>
      <c r="E19" s="1">
        <v>0</v>
      </c>
      <c r="F19" s="1">
        <v>22</v>
      </c>
      <c r="G19" s="1">
        <v>18</v>
      </c>
      <c r="H19" s="1">
        <v>3</v>
      </c>
      <c r="I19" s="1">
        <v>1</v>
      </c>
      <c r="J19" s="1">
        <v>6</v>
      </c>
      <c r="K19" s="1">
        <v>7</v>
      </c>
      <c r="L19" s="1">
        <v>1</v>
      </c>
      <c r="M19" s="1">
        <v>0</v>
      </c>
      <c r="N19" s="1">
        <v>0</v>
      </c>
      <c r="O19" s="1">
        <v>7</v>
      </c>
      <c r="P19">
        <v>0.77505050505050543</v>
      </c>
      <c r="Q19">
        <v>0.11072222222222231</v>
      </c>
      <c r="R19">
        <v>4.8034782608695654E-2</v>
      </c>
    </row>
    <row r="20" spans="1:18">
      <c r="A20" s="1">
        <v>19</v>
      </c>
      <c r="B20" s="1">
        <v>1</v>
      </c>
      <c r="C20" s="1">
        <v>1</v>
      </c>
      <c r="D20" s="1">
        <v>1</v>
      </c>
      <c r="E20" s="1">
        <v>1</v>
      </c>
      <c r="F20" s="1">
        <v>26</v>
      </c>
      <c r="G20" s="1">
        <v>18</v>
      </c>
      <c r="H20" s="1">
        <v>3</v>
      </c>
      <c r="I20" s="1">
        <v>1</v>
      </c>
      <c r="J20" s="1">
        <v>6</v>
      </c>
      <c r="K20" s="1">
        <v>7</v>
      </c>
      <c r="L20" s="1">
        <v>1</v>
      </c>
      <c r="M20" s="1">
        <v>0</v>
      </c>
      <c r="N20" s="1">
        <v>0</v>
      </c>
      <c r="O20" s="1">
        <v>7</v>
      </c>
      <c r="P20">
        <v>0.53827721661054972</v>
      </c>
      <c r="Q20">
        <v>0.1532253086419752</v>
      </c>
      <c r="R20">
        <v>3.7391304347826101E-2</v>
      </c>
    </row>
    <row r="21" spans="1:18">
      <c r="A21" s="1">
        <v>20</v>
      </c>
      <c r="B21" s="1">
        <v>1</v>
      </c>
      <c r="C21" s="1">
        <v>1</v>
      </c>
      <c r="D21" s="1">
        <v>1</v>
      </c>
      <c r="E21" s="1">
        <v>0</v>
      </c>
      <c r="F21" s="1">
        <v>17</v>
      </c>
      <c r="G21" s="1">
        <v>6</v>
      </c>
      <c r="H21" s="1">
        <v>3</v>
      </c>
      <c r="I21" s="1">
        <v>1</v>
      </c>
      <c r="J21" s="1">
        <v>5</v>
      </c>
      <c r="K21" s="1">
        <v>6</v>
      </c>
      <c r="L21" s="1">
        <v>1</v>
      </c>
      <c r="M21" s="1">
        <v>0</v>
      </c>
      <c r="N21" s="1">
        <v>0</v>
      </c>
      <c r="O21" s="1">
        <v>7</v>
      </c>
      <c r="P21">
        <v>0.5742312008978675</v>
      </c>
      <c r="Q21">
        <v>0.14472839506172833</v>
      </c>
      <c r="R21">
        <v>3.3321739130434784E-2</v>
      </c>
    </row>
    <row r="22" spans="1:18">
      <c r="A22" s="1">
        <v>21</v>
      </c>
      <c r="B22" s="1">
        <v>1</v>
      </c>
      <c r="C22" s="1">
        <v>1</v>
      </c>
      <c r="D22" s="1">
        <v>1</v>
      </c>
      <c r="E22" s="1">
        <v>0</v>
      </c>
      <c r="F22" s="1">
        <v>19</v>
      </c>
      <c r="G22" s="1">
        <v>6</v>
      </c>
      <c r="H22" s="1">
        <v>3</v>
      </c>
      <c r="I22" s="1">
        <v>1</v>
      </c>
      <c r="J22" s="1">
        <v>5</v>
      </c>
      <c r="K22" s="1">
        <v>6</v>
      </c>
      <c r="L22" s="1">
        <v>1</v>
      </c>
      <c r="M22" s="1">
        <v>0</v>
      </c>
      <c r="N22" s="1">
        <v>0</v>
      </c>
      <c r="O22" s="1">
        <v>7</v>
      </c>
      <c r="P22">
        <v>0.67200336700336716</v>
      </c>
      <c r="Q22">
        <v>0.23523148148148162</v>
      </c>
      <c r="R22">
        <v>0.04</v>
      </c>
    </row>
    <row r="23" spans="1:18">
      <c r="A23" s="1">
        <v>22</v>
      </c>
      <c r="B23" s="1">
        <v>1</v>
      </c>
      <c r="C23" s="1">
        <v>0</v>
      </c>
      <c r="D23" s="1">
        <v>0</v>
      </c>
      <c r="E23" s="1">
        <v>0</v>
      </c>
      <c r="F23" s="1">
        <v>3</v>
      </c>
      <c r="G23" s="1">
        <v>6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7</v>
      </c>
      <c r="P23">
        <v>0.59704826038159386</v>
      </c>
      <c r="Q23">
        <v>0.23473456790123456</v>
      </c>
      <c r="R23">
        <v>4.0447826086956538E-2</v>
      </c>
    </row>
    <row r="24" spans="1:18">
      <c r="A24" s="1">
        <v>23</v>
      </c>
      <c r="B24" s="1">
        <v>1</v>
      </c>
      <c r="C24" s="1">
        <v>1</v>
      </c>
      <c r="D24" s="1">
        <v>1</v>
      </c>
      <c r="E24" s="1">
        <v>1</v>
      </c>
      <c r="F24" s="1">
        <v>24</v>
      </c>
      <c r="G24" s="1">
        <v>18</v>
      </c>
      <c r="H24" s="1">
        <v>3</v>
      </c>
      <c r="I24" s="1">
        <v>1</v>
      </c>
      <c r="J24" s="1">
        <v>6</v>
      </c>
      <c r="K24" s="1">
        <v>7</v>
      </c>
      <c r="L24" s="1">
        <v>1</v>
      </c>
      <c r="M24" s="1">
        <v>0</v>
      </c>
      <c r="N24" s="1">
        <v>0</v>
      </c>
      <c r="O24" s="1">
        <v>7</v>
      </c>
      <c r="P24">
        <v>0.67845679012345694</v>
      </c>
      <c r="Q24">
        <v>0.11423765432098758</v>
      </c>
      <c r="R24">
        <v>3.9608695652173898E-2</v>
      </c>
    </row>
    <row r="25" spans="1:18">
      <c r="A25" s="1">
        <v>24</v>
      </c>
      <c r="B25" s="1">
        <v>1</v>
      </c>
      <c r="C25" s="1">
        <v>1</v>
      </c>
      <c r="D25" s="1">
        <v>1</v>
      </c>
      <c r="E25" s="1">
        <v>0</v>
      </c>
      <c r="F25" s="1">
        <v>16</v>
      </c>
      <c r="G25" s="1">
        <v>6</v>
      </c>
      <c r="H25" s="1">
        <v>3</v>
      </c>
      <c r="I25" s="1">
        <v>1</v>
      </c>
      <c r="J25" s="1">
        <v>5</v>
      </c>
      <c r="K25" s="1">
        <v>6</v>
      </c>
      <c r="L25" s="1">
        <v>1</v>
      </c>
      <c r="M25" s="1">
        <v>0</v>
      </c>
      <c r="N25" s="1">
        <v>0</v>
      </c>
      <c r="O25" s="1">
        <v>7</v>
      </c>
      <c r="P25">
        <v>1.0544107744107747</v>
      </c>
      <c r="Q25">
        <v>0.26574074074074083</v>
      </c>
      <c r="R25">
        <v>4.9256521739130428E-2</v>
      </c>
    </row>
    <row r="26" spans="1:18">
      <c r="A26" s="1">
        <v>25</v>
      </c>
      <c r="B26" s="1">
        <v>0</v>
      </c>
      <c r="C26" s="1">
        <v>1</v>
      </c>
      <c r="D26" s="1">
        <v>1</v>
      </c>
      <c r="E26" s="1">
        <v>0</v>
      </c>
      <c r="F26" s="1">
        <v>10</v>
      </c>
      <c r="G26" s="1">
        <v>6</v>
      </c>
      <c r="H26" s="1">
        <v>2</v>
      </c>
      <c r="I26" s="1">
        <v>1</v>
      </c>
      <c r="J26" s="1">
        <v>4</v>
      </c>
      <c r="K26" s="1">
        <v>4</v>
      </c>
      <c r="L26" s="1">
        <v>1</v>
      </c>
      <c r="M26" s="1">
        <v>0</v>
      </c>
      <c r="N26" s="1">
        <v>0</v>
      </c>
      <c r="O26" s="1">
        <v>7</v>
      </c>
      <c r="P26">
        <v>0.69218294051627405</v>
      </c>
      <c r="Q26">
        <v>0.25724382716049377</v>
      </c>
      <c r="R26">
        <v>4.2565217391304352E-2</v>
      </c>
    </row>
    <row r="27" spans="1:18">
      <c r="A27" s="1">
        <v>26</v>
      </c>
      <c r="B27" s="1">
        <v>0</v>
      </c>
      <c r="C27" s="1">
        <v>1</v>
      </c>
      <c r="D27" s="1">
        <v>0</v>
      </c>
      <c r="E27" s="1">
        <v>0</v>
      </c>
      <c r="F27" s="1">
        <v>6</v>
      </c>
      <c r="G27" s="1">
        <v>6</v>
      </c>
      <c r="H27" s="1">
        <v>1</v>
      </c>
      <c r="I27" s="1">
        <v>1</v>
      </c>
      <c r="J27" s="1">
        <v>2</v>
      </c>
      <c r="K27" s="1">
        <v>2</v>
      </c>
      <c r="L27" s="1">
        <v>1</v>
      </c>
      <c r="M27" s="1">
        <v>0</v>
      </c>
      <c r="N27" s="1">
        <v>0</v>
      </c>
      <c r="O27" s="1">
        <v>7</v>
      </c>
      <c r="P27">
        <v>0.74086419753086408</v>
      </c>
      <c r="Q27">
        <v>0.19974691358024685</v>
      </c>
      <c r="R27">
        <v>3.8456521739130438E-2</v>
      </c>
    </row>
    <row r="28" spans="1:18">
      <c r="A28" s="1">
        <v>27</v>
      </c>
      <c r="B28" s="1">
        <v>1</v>
      </c>
      <c r="C28" s="1">
        <v>1</v>
      </c>
      <c r="D28" s="1">
        <v>0</v>
      </c>
      <c r="E28" s="1">
        <v>0</v>
      </c>
      <c r="F28" s="1">
        <v>9</v>
      </c>
      <c r="G28" s="1">
        <v>6</v>
      </c>
      <c r="H28" s="1">
        <v>2</v>
      </c>
      <c r="I28" s="1">
        <v>1</v>
      </c>
      <c r="J28" s="1">
        <v>3</v>
      </c>
      <c r="K28" s="1">
        <v>3</v>
      </c>
      <c r="L28" s="1">
        <v>1</v>
      </c>
      <c r="M28" s="1">
        <v>0</v>
      </c>
      <c r="N28" s="1">
        <v>0</v>
      </c>
      <c r="O28" s="1">
        <v>7</v>
      </c>
      <c r="P28">
        <v>0.5095454545454543</v>
      </c>
      <c r="Q28">
        <v>0.15724999999999981</v>
      </c>
      <c r="R28">
        <v>3.4773913043478252E-2</v>
      </c>
    </row>
    <row r="29" spans="1:18">
      <c r="A29" s="1">
        <v>28</v>
      </c>
      <c r="B29" s="1">
        <v>1</v>
      </c>
      <c r="C29" s="1">
        <v>1</v>
      </c>
      <c r="D29" s="1">
        <v>0</v>
      </c>
      <c r="E29" s="1">
        <v>0</v>
      </c>
      <c r="F29" s="1">
        <v>7</v>
      </c>
      <c r="G29" s="1">
        <v>6</v>
      </c>
      <c r="H29" s="1">
        <v>2</v>
      </c>
      <c r="I29" s="1">
        <v>1</v>
      </c>
      <c r="J29" s="1">
        <v>3</v>
      </c>
      <c r="K29" s="1">
        <v>3</v>
      </c>
      <c r="L29" s="1">
        <v>1</v>
      </c>
      <c r="M29" s="1">
        <v>0</v>
      </c>
      <c r="N29" s="1">
        <v>0</v>
      </c>
      <c r="O29" s="1">
        <v>7</v>
      </c>
      <c r="P29">
        <v>0.9782267115600447</v>
      </c>
      <c r="Q29">
        <v>0.32575308641975304</v>
      </c>
      <c r="R29">
        <v>4.0678260869565233E-2</v>
      </c>
    </row>
    <row r="30" spans="1:18">
      <c r="A30" s="1">
        <v>29</v>
      </c>
      <c r="B30" s="1">
        <v>1</v>
      </c>
      <c r="C30" s="1">
        <v>1</v>
      </c>
      <c r="D30" s="1">
        <v>1</v>
      </c>
      <c r="E30" s="1">
        <v>0</v>
      </c>
      <c r="F30" s="1">
        <v>23</v>
      </c>
      <c r="G30" s="1">
        <v>18</v>
      </c>
      <c r="H30" s="1">
        <v>3</v>
      </c>
      <c r="I30" s="1">
        <v>1</v>
      </c>
      <c r="J30" s="1">
        <v>6</v>
      </c>
      <c r="K30" s="1">
        <v>7</v>
      </c>
      <c r="L30" s="1">
        <v>1</v>
      </c>
      <c r="M30" s="1">
        <v>0</v>
      </c>
      <c r="N30" s="1">
        <v>0</v>
      </c>
      <c r="O30" s="1">
        <v>7</v>
      </c>
      <c r="P30">
        <v>0.70145342312008974</v>
      </c>
      <c r="Q30">
        <v>0.22125617283950608</v>
      </c>
      <c r="R30">
        <v>4.4504347826086962E-2</v>
      </c>
    </row>
    <row r="31" spans="1:18">
      <c r="A31" s="1">
        <v>30</v>
      </c>
      <c r="B31" s="1">
        <v>0</v>
      </c>
      <c r="C31" s="1">
        <v>1</v>
      </c>
      <c r="D31" s="1">
        <v>0</v>
      </c>
      <c r="E31" s="1">
        <v>0</v>
      </c>
      <c r="F31" s="1">
        <v>4</v>
      </c>
      <c r="G31" s="1">
        <v>6</v>
      </c>
      <c r="H31" s="1">
        <v>1</v>
      </c>
      <c r="I31" s="1">
        <v>1</v>
      </c>
      <c r="J31" s="1">
        <v>2</v>
      </c>
      <c r="K31" s="1">
        <v>2</v>
      </c>
      <c r="L31" s="1">
        <v>1</v>
      </c>
      <c r="M31" s="1">
        <v>0</v>
      </c>
      <c r="N31" s="1">
        <v>0</v>
      </c>
      <c r="O31" s="1">
        <v>7</v>
      </c>
      <c r="P31">
        <v>0.7574074074074072</v>
      </c>
      <c r="Q31">
        <v>0.25975925925925908</v>
      </c>
      <c r="R31">
        <v>5.4447826086956523E-2</v>
      </c>
    </row>
    <row r="32" spans="1:18">
      <c r="A32" s="1">
        <v>31</v>
      </c>
      <c r="B32" s="1">
        <v>1</v>
      </c>
      <c r="C32" s="1">
        <v>0</v>
      </c>
      <c r="D32" s="1">
        <v>0</v>
      </c>
      <c r="E32" s="1">
        <v>1</v>
      </c>
      <c r="F32" s="1">
        <v>3</v>
      </c>
      <c r="G32" s="1">
        <v>6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7</v>
      </c>
      <c r="P32">
        <v>0.67699775533108852</v>
      </c>
      <c r="Q32">
        <v>0.23426234567901219</v>
      </c>
      <c r="R32">
        <v>4.3317391304347835E-2</v>
      </c>
    </row>
    <row r="33" spans="1:18">
      <c r="A33" s="1">
        <v>32</v>
      </c>
      <c r="B33" s="1">
        <v>1</v>
      </c>
      <c r="C33" s="1">
        <v>1</v>
      </c>
      <c r="D33" s="1">
        <v>1</v>
      </c>
      <c r="E33" s="1">
        <v>1</v>
      </c>
      <c r="F33" s="1">
        <v>13</v>
      </c>
      <c r="G33" s="1">
        <v>6</v>
      </c>
      <c r="H33" s="1">
        <v>3</v>
      </c>
      <c r="I33" s="1">
        <v>1</v>
      </c>
      <c r="J33" s="1">
        <v>5</v>
      </c>
      <c r="K33" s="1">
        <v>5</v>
      </c>
      <c r="L33" s="1">
        <v>1</v>
      </c>
      <c r="M33" s="1">
        <v>0</v>
      </c>
      <c r="N33" s="1">
        <v>0</v>
      </c>
      <c r="O33" s="1">
        <v>7</v>
      </c>
      <c r="P33">
        <v>0.32749719416386081</v>
      </c>
      <c r="Q33">
        <v>7.3765432098765335E-2</v>
      </c>
      <c r="R33">
        <v>3.9482608695652177E-2</v>
      </c>
    </row>
    <row r="34" spans="1:18">
      <c r="A34" s="1">
        <v>33</v>
      </c>
      <c r="B34" s="1">
        <v>0</v>
      </c>
      <c r="C34" s="1">
        <v>1</v>
      </c>
      <c r="D34" s="1">
        <v>1</v>
      </c>
      <c r="E34" s="1">
        <v>0</v>
      </c>
      <c r="F34" s="1">
        <v>12</v>
      </c>
      <c r="G34" s="1">
        <v>6</v>
      </c>
      <c r="H34" s="1">
        <v>2</v>
      </c>
      <c r="I34" s="1">
        <v>1</v>
      </c>
      <c r="J34" s="1">
        <v>4</v>
      </c>
      <c r="K34" s="1">
        <v>4</v>
      </c>
      <c r="L34" s="1">
        <v>1</v>
      </c>
      <c r="M34" s="1">
        <v>0</v>
      </c>
      <c r="N34" s="1">
        <v>0</v>
      </c>
      <c r="O34" s="1">
        <v>7</v>
      </c>
      <c r="P34">
        <v>0.54163299663299658</v>
      </c>
      <c r="Q34">
        <v>0.14426851851851855</v>
      </c>
      <c r="R34">
        <v>4.5430434782608706E-2</v>
      </c>
    </row>
    <row r="35" spans="1:18">
      <c r="A35" s="1">
        <v>34</v>
      </c>
      <c r="B35" s="1">
        <v>0</v>
      </c>
      <c r="C35" s="1">
        <v>1</v>
      </c>
      <c r="D35" s="1">
        <v>1</v>
      </c>
      <c r="E35" s="1">
        <v>1</v>
      </c>
      <c r="F35" s="1">
        <v>10</v>
      </c>
      <c r="G35" s="1">
        <v>6</v>
      </c>
      <c r="H35" s="1">
        <v>2</v>
      </c>
      <c r="I35" s="1">
        <v>1</v>
      </c>
      <c r="J35" s="1">
        <v>4</v>
      </c>
      <c r="K35" s="1">
        <v>4</v>
      </c>
      <c r="L35" s="1">
        <v>1</v>
      </c>
      <c r="M35" s="1">
        <v>0</v>
      </c>
      <c r="N35" s="1">
        <v>0</v>
      </c>
      <c r="O35" s="1">
        <v>7</v>
      </c>
      <c r="P35">
        <v>0.82667789001122283</v>
      </c>
      <c r="Q35">
        <v>0.23177160493827137</v>
      </c>
      <c r="R35">
        <v>3.8321739130434775E-2</v>
      </c>
    </row>
    <row r="36" spans="1:18">
      <c r="A36" s="1">
        <v>35</v>
      </c>
      <c r="B36" s="1">
        <v>1</v>
      </c>
      <c r="C36" s="1">
        <v>1</v>
      </c>
      <c r="D36" s="1">
        <v>0</v>
      </c>
      <c r="E36" s="1">
        <v>1</v>
      </c>
      <c r="F36" s="1">
        <v>8</v>
      </c>
      <c r="G36" s="1">
        <v>6</v>
      </c>
      <c r="H36" s="1">
        <v>2</v>
      </c>
      <c r="I36" s="1">
        <v>1</v>
      </c>
      <c r="J36" s="1">
        <v>3</v>
      </c>
      <c r="K36" s="1">
        <v>3</v>
      </c>
      <c r="L36" s="1">
        <v>1</v>
      </c>
      <c r="M36" s="1">
        <v>0</v>
      </c>
      <c r="N36" s="1">
        <v>0</v>
      </c>
      <c r="O36" s="1">
        <v>7</v>
      </c>
      <c r="P36">
        <v>0.59535914702581361</v>
      </c>
      <c r="Q36">
        <v>0.13427469135802461</v>
      </c>
      <c r="R36">
        <v>3.8204347826086948E-2</v>
      </c>
    </row>
    <row r="37" spans="1:18">
      <c r="A37" s="1">
        <v>36</v>
      </c>
      <c r="B37" s="1">
        <v>1</v>
      </c>
      <c r="C37" s="1">
        <v>1</v>
      </c>
      <c r="D37" s="1">
        <v>1</v>
      </c>
      <c r="E37" s="1">
        <v>1</v>
      </c>
      <c r="F37" s="1">
        <v>20</v>
      </c>
      <c r="G37" s="1">
        <v>18</v>
      </c>
      <c r="H37" s="1">
        <v>3</v>
      </c>
      <c r="I37" s="1">
        <v>1</v>
      </c>
      <c r="J37" s="1">
        <v>6</v>
      </c>
      <c r="K37" s="1">
        <v>7</v>
      </c>
      <c r="L37" s="1">
        <v>1</v>
      </c>
      <c r="M37" s="1">
        <v>0</v>
      </c>
      <c r="N37" s="1">
        <v>0</v>
      </c>
      <c r="O37" s="1">
        <v>7</v>
      </c>
      <c r="P37">
        <v>0.68404040404040412</v>
      </c>
      <c r="Q37">
        <v>5.17777777777777E-2</v>
      </c>
      <c r="R37">
        <v>3.546521739130435E-2</v>
      </c>
    </row>
    <row r="38" spans="1:18">
      <c r="A38" s="1">
        <v>37</v>
      </c>
      <c r="B38" s="1">
        <v>1</v>
      </c>
      <c r="C38" s="1">
        <v>1</v>
      </c>
      <c r="D38" s="1">
        <v>1</v>
      </c>
      <c r="E38" s="1">
        <v>1</v>
      </c>
      <c r="F38" s="1">
        <v>23</v>
      </c>
      <c r="G38" s="1">
        <v>18</v>
      </c>
      <c r="H38" s="1">
        <v>3</v>
      </c>
      <c r="I38" s="1">
        <v>1</v>
      </c>
      <c r="J38" s="1">
        <v>6</v>
      </c>
      <c r="K38" s="1">
        <v>7</v>
      </c>
      <c r="L38" s="1">
        <v>1</v>
      </c>
      <c r="M38" s="1">
        <v>0</v>
      </c>
      <c r="N38" s="1">
        <v>0</v>
      </c>
      <c r="O38" s="1">
        <v>7</v>
      </c>
      <c r="P38">
        <v>0.66181257014590367</v>
      </c>
      <c r="Q38">
        <v>0.14628086419753092</v>
      </c>
      <c r="R38">
        <v>3.6056521739130432E-2</v>
      </c>
    </row>
    <row r="39" spans="1:18">
      <c r="A39" s="1">
        <v>38</v>
      </c>
      <c r="B39" s="1">
        <v>0</v>
      </c>
      <c r="C39" s="1">
        <v>1</v>
      </c>
      <c r="D39" s="1">
        <v>0</v>
      </c>
      <c r="E39" s="1">
        <v>1</v>
      </c>
      <c r="F39" s="1">
        <v>4</v>
      </c>
      <c r="G39" s="1">
        <v>6</v>
      </c>
      <c r="H39" s="1">
        <v>1</v>
      </c>
      <c r="I39" s="1">
        <v>1</v>
      </c>
      <c r="J39" s="1">
        <v>2</v>
      </c>
      <c r="K39" s="1">
        <v>2</v>
      </c>
      <c r="L39" s="1">
        <v>1</v>
      </c>
      <c r="M39" s="1">
        <v>0</v>
      </c>
      <c r="N39" s="1">
        <v>0</v>
      </c>
      <c r="O39" s="1">
        <v>7</v>
      </c>
      <c r="P39">
        <v>0.57413019079685768</v>
      </c>
      <c r="Q39">
        <v>0.16478395061728399</v>
      </c>
      <c r="R39">
        <v>4.5973913043478254E-2</v>
      </c>
    </row>
    <row r="40" spans="1:18">
      <c r="A40" s="1">
        <v>39</v>
      </c>
      <c r="B40" s="1">
        <v>1</v>
      </c>
      <c r="C40" s="1">
        <v>1</v>
      </c>
      <c r="D40" s="1">
        <v>1</v>
      </c>
      <c r="E40" s="1">
        <v>1</v>
      </c>
      <c r="F40" s="1">
        <v>22</v>
      </c>
      <c r="G40" s="1">
        <v>18</v>
      </c>
      <c r="H40" s="1">
        <v>3</v>
      </c>
      <c r="I40" s="1">
        <v>1</v>
      </c>
      <c r="J40" s="1">
        <v>6</v>
      </c>
      <c r="K40" s="1">
        <v>7</v>
      </c>
      <c r="L40" s="1">
        <v>1</v>
      </c>
      <c r="M40" s="1">
        <v>0</v>
      </c>
      <c r="N40" s="1">
        <v>0</v>
      </c>
      <c r="O40" s="1">
        <v>7</v>
      </c>
      <c r="P40">
        <v>0.56099326599326593</v>
      </c>
      <c r="Q40">
        <v>0.14728703703703711</v>
      </c>
      <c r="R40">
        <v>4.2478260869565208E-2</v>
      </c>
    </row>
    <row r="41" spans="1:18">
      <c r="A41" s="1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7</v>
      </c>
      <c r="P41">
        <v>0.41512906846240161</v>
      </c>
      <c r="Q41">
        <v>0.1197901234567901</v>
      </c>
      <c r="R41">
        <v>4.1073913043478266E-2</v>
      </c>
    </row>
    <row r="42" spans="1:18">
      <c r="A42" s="1">
        <v>41</v>
      </c>
      <c r="B42" s="1">
        <v>1</v>
      </c>
      <c r="C42" s="1">
        <v>1</v>
      </c>
      <c r="D42" s="1">
        <v>0</v>
      </c>
      <c r="E42" s="1">
        <v>1</v>
      </c>
      <c r="F42" s="1">
        <v>9</v>
      </c>
      <c r="G42" s="1">
        <v>6</v>
      </c>
      <c r="H42" s="1">
        <v>2</v>
      </c>
      <c r="I42" s="1">
        <v>1</v>
      </c>
      <c r="J42" s="1">
        <v>3</v>
      </c>
      <c r="K42" s="1">
        <v>3</v>
      </c>
      <c r="L42" s="1">
        <v>1</v>
      </c>
      <c r="M42" s="1">
        <v>0</v>
      </c>
      <c r="N42" s="1">
        <v>0</v>
      </c>
      <c r="O42" s="1">
        <v>7</v>
      </c>
      <c r="P42">
        <v>0.72926487093153725</v>
      </c>
      <c r="Q42">
        <v>0.17429320987654293</v>
      </c>
      <c r="R42">
        <v>4.0630434782608693E-2</v>
      </c>
    </row>
    <row r="43" spans="1:18">
      <c r="A43" s="1">
        <v>42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7</v>
      </c>
      <c r="P43">
        <v>0.71976430976430938</v>
      </c>
      <c r="Q43">
        <v>0.13379629629629619</v>
      </c>
      <c r="R43">
        <v>4.5173913043478245E-2</v>
      </c>
    </row>
    <row r="44" spans="1:18">
      <c r="A44" s="1">
        <v>43</v>
      </c>
      <c r="B44" s="1">
        <v>1</v>
      </c>
      <c r="C44" s="1">
        <v>1</v>
      </c>
      <c r="D44" s="1">
        <v>0</v>
      </c>
      <c r="E44" s="1">
        <v>1</v>
      </c>
      <c r="F44" s="1">
        <v>7</v>
      </c>
      <c r="G44" s="1">
        <v>6</v>
      </c>
      <c r="H44" s="1">
        <v>2</v>
      </c>
      <c r="I44" s="1">
        <v>1</v>
      </c>
      <c r="J44" s="1">
        <v>3</v>
      </c>
      <c r="K44" s="1">
        <v>3</v>
      </c>
      <c r="L44" s="1">
        <v>1</v>
      </c>
      <c r="M44" s="1">
        <v>0</v>
      </c>
      <c r="N44" s="1">
        <v>0</v>
      </c>
      <c r="O44" s="1">
        <v>7</v>
      </c>
      <c r="P44">
        <v>0.72480920314253627</v>
      </c>
      <c r="Q44">
        <v>0.26329938271604919</v>
      </c>
      <c r="R44">
        <v>3.9704347826086964E-2</v>
      </c>
    </row>
    <row r="45" spans="1:18">
      <c r="A45" s="1">
        <v>44</v>
      </c>
      <c r="B45" s="1">
        <v>0</v>
      </c>
      <c r="C45" s="1">
        <v>1</v>
      </c>
      <c r="D45" s="1">
        <v>0</v>
      </c>
      <c r="E45" s="1">
        <v>0</v>
      </c>
      <c r="F45" s="1">
        <v>5</v>
      </c>
      <c r="G45" s="1">
        <v>6</v>
      </c>
      <c r="H45" s="1">
        <v>1</v>
      </c>
      <c r="I45" s="1">
        <v>1</v>
      </c>
      <c r="J45" s="1">
        <v>2</v>
      </c>
      <c r="K45" s="1">
        <v>2</v>
      </c>
      <c r="L45" s="1">
        <v>1</v>
      </c>
      <c r="M45" s="1">
        <v>0</v>
      </c>
      <c r="N45" s="1">
        <v>0</v>
      </c>
      <c r="O45" s="1">
        <v>7</v>
      </c>
      <c r="P45">
        <v>0.54985409652076289</v>
      </c>
      <c r="Q45">
        <v>-3.2197530864197431E-2</v>
      </c>
      <c r="R45">
        <v>4.7347826086956521E-2</v>
      </c>
    </row>
    <row r="46" spans="1:18">
      <c r="A46" s="1">
        <v>45</v>
      </c>
      <c r="B46" s="1">
        <v>0</v>
      </c>
      <c r="C46" s="1">
        <v>1</v>
      </c>
      <c r="D46" s="1">
        <v>0</v>
      </c>
      <c r="E46" s="1">
        <v>1</v>
      </c>
      <c r="F46" s="1">
        <v>5</v>
      </c>
      <c r="G46" s="1">
        <v>6</v>
      </c>
      <c r="H46" s="1">
        <v>1</v>
      </c>
      <c r="I46" s="1">
        <v>1</v>
      </c>
      <c r="J46" s="1">
        <v>2</v>
      </c>
      <c r="K46" s="1">
        <v>2</v>
      </c>
      <c r="L46" s="1">
        <v>1</v>
      </c>
      <c r="M46" s="1">
        <v>0</v>
      </c>
      <c r="N46" s="1">
        <v>0</v>
      </c>
      <c r="O46" s="1">
        <v>7</v>
      </c>
      <c r="P46">
        <v>0.69671717171717162</v>
      </c>
      <c r="Q46">
        <v>0.26930555555555563</v>
      </c>
      <c r="R46">
        <v>4.8817391304347833E-2</v>
      </c>
    </row>
    <row r="47" spans="1:18">
      <c r="A47" s="1">
        <v>46</v>
      </c>
      <c r="B47" s="1">
        <v>0</v>
      </c>
      <c r="C47" s="1">
        <v>1</v>
      </c>
      <c r="D47" s="1">
        <v>0</v>
      </c>
      <c r="E47" s="1">
        <v>1</v>
      </c>
      <c r="F47" s="1">
        <v>6</v>
      </c>
      <c r="G47" s="1">
        <v>6</v>
      </c>
      <c r="H47" s="1">
        <v>1</v>
      </c>
      <c r="I47" s="1">
        <v>1</v>
      </c>
      <c r="J47" s="1">
        <v>2</v>
      </c>
      <c r="K47" s="1">
        <v>2</v>
      </c>
      <c r="L47" s="1">
        <v>1</v>
      </c>
      <c r="M47" s="1">
        <v>0</v>
      </c>
      <c r="N47" s="1">
        <v>0</v>
      </c>
      <c r="O47" s="1">
        <v>7</v>
      </c>
      <c r="P47">
        <v>0.6508529741863075</v>
      </c>
      <c r="Q47">
        <v>0.19480864197530856</v>
      </c>
      <c r="R47">
        <v>4.0404347826086956E-2</v>
      </c>
    </row>
    <row r="48" spans="1:18">
      <c r="A48" s="1">
        <v>47</v>
      </c>
      <c r="B48" s="1">
        <v>1</v>
      </c>
      <c r="C48" s="1">
        <v>1</v>
      </c>
      <c r="D48" s="1">
        <v>1</v>
      </c>
      <c r="E48" s="1">
        <v>1</v>
      </c>
      <c r="F48" s="1">
        <v>16</v>
      </c>
      <c r="G48" s="1">
        <v>6</v>
      </c>
      <c r="H48" s="1">
        <v>3</v>
      </c>
      <c r="I48" s="1">
        <v>1</v>
      </c>
      <c r="J48" s="1">
        <v>5</v>
      </c>
      <c r="K48" s="1">
        <v>6</v>
      </c>
      <c r="L48" s="1">
        <v>1</v>
      </c>
      <c r="M48" s="1">
        <v>0</v>
      </c>
      <c r="N48" s="1">
        <v>0</v>
      </c>
      <c r="O48" s="1">
        <v>7</v>
      </c>
      <c r="P48">
        <v>0.90498877665544342</v>
      </c>
      <c r="Q48">
        <v>0.21731172839506172</v>
      </c>
      <c r="R48">
        <v>4.1208695652173909E-2</v>
      </c>
    </row>
    <row r="49" spans="1:18">
      <c r="A49" s="1">
        <v>48</v>
      </c>
      <c r="B49" s="1">
        <v>0</v>
      </c>
      <c r="C49" s="1">
        <v>1</v>
      </c>
      <c r="D49" s="1">
        <v>1</v>
      </c>
      <c r="E49" s="1">
        <v>1</v>
      </c>
      <c r="F49" s="1">
        <v>12</v>
      </c>
      <c r="G49" s="1">
        <v>6</v>
      </c>
      <c r="H49" s="1">
        <v>2</v>
      </c>
      <c r="I49" s="1">
        <v>1</v>
      </c>
      <c r="J49" s="1">
        <v>4</v>
      </c>
      <c r="K49" s="1">
        <v>4</v>
      </c>
      <c r="L49" s="1">
        <v>1</v>
      </c>
      <c r="M49" s="1">
        <v>0</v>
      </c>
      <c r="N49" s="1">
        <v>0</v>
      </c>
      <c r="O49" s="1">
        <v>7</v>
      </c>
      <c r="P49">
        <v>0.43548821548821531</v>
      </c>
      <c r="Q49">
        <v>0.14581481481481476</v>
      </c>
      <c r="R49">
        <v>3.8347826086956527E-2</v>
      </c>
    </row>
    <row r="50" spans="1:18">
      <c r="A50" s="1">
        <v>49</v>
      </c>
      <c r="B50" s="1">
        <v>1</v>
      </c>
      <c r="C50" s="1">
        <v>0</v>
      </c>
      <c r="D50" s="1">
        <v>0</v>
      </c>
      <c r="E50" s="1">
        <v>1</v>
      </c>
      <c r="F50" s="1">
        <v>2</v>
      </c>
      <c r="G50" s="1">
        <v>6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0</v>
      </c>
      <c r="N50" s="1">
        <v>0</v>
      </c>
      <c r="O50" s="1">
        <v>7</v>
      </c>
      <c r="P50">
        <v>0.63871492704826016</v>
      </c>
      <c r="Q50">
        <v>0.20531790123456783</v>
      </c>
      <c r="R50">
        <v>4.4643478260869555E-2</v>
      </c>
    </row>
    <row r="51" spans="1:18">
      <c r="A51" s="1">
        <v>50</v>
      </c>
      <c r="B51" s="1">
        <v>1</v>
      </c>
      <c r="C51" s="1">
        <v>1</v>
      </c>
      <c r="D51" s="1">
        <v>1</v>
      </c>
      <c r="E51" s="1">
        <v>1</v>
      </c>
      <c r="F51" s="1">
        <v>17</v>
      </c>
      <c r="G51" s="1">
        <v>6</v>
      </c>
      <c r="H51" s="1">
        <v>3</v>
      </c>
      <c r="I51" s="1">
        <v>1</v>
      </c>
      <c r="J51" s="1">
        <v>5</v>
      </c>
      <c r="K51" s="1">
        <v>6</v>
      </c>
      <c r="L51" s="1">
        <v>1</v>
      </c>
      <c r="M51" s="1">
        <v>0</v>
      </c>
      <c r="N51" s="1">
        <v>0</v>
      </c>
      <c r="O51" s="1">
        <v>7</v>
      </c>
      <c r="P51">
        <v>0.38194163860830521</v>
      </c>
      <c r="Q51">
        <v>9.8820987654320902E-2</v>
      </c>
      <c r="R51">
        <v>3.6334782608695659E-2</v>
      </c>
    </row>
    <row r="52" spans="1:18">
      <c r="A52" s="1">
        <v>51</v>
      </c>
      <c r="B52" s="1">
        <v>0</v>
      </c>
      <c r="C52" s="1">
        <v>1</v>
      </c>
      <c r="D52" s="1">
        <v>1</v>
      </c>
      <c r="E52" s="1">
        <v>0</v>
      </c>
      <c r="F52" s="1">
        <v>11</v>
      </c>
      <c r="G52" s="1">
        <v>6</v>
      </c>
      <c r="H52" s="1">
        <v>2</v>
      </c>
      <c r="I52" s="1">
        <v>1</v>
      </c>
      <c r="J52" s="1">
        <v>4</v>
      </c>
      <c r="K52" s="1">
        <v>4</v>
      </c>
      <c r="L52" s="1">
        <v>1</v>
      </c>
      <c r="M52" s="1">
        <v>0</v>
      </c>
      <c r="N52" s="1">
        <v>0</v>
      </c>
      <c r="O52" s="1">
        <v>7</v>
      </c>
      <c r="P52">
        <v>0.6033501683501683</v>
      </c>
      <c r="Q52">
        <v>0.17232407407407405</v>
      </c>
      <c r="R52">
        <v>4.5360869565217406E-2</v>
      </c>
    </row>
    <row r="53" spans="1:18">
      <c r="A53" s="1">
        <v>52</v>
      </c>
      <c r="B53" s="1">
        <v>0</v>
      </c>
      <c r="C53" s="1">
        <v>1</v>
      </c>
      <c r="D53" s="1">
        <v>1</v>
      </c>
      <c r="E53" s="1">
        <v>1</v>
      </c>
      <c r="F53" s="1">
        <v>11</v>
      </c>
      <c r="G53" s="1">
        <v>6</v>
      </c>
      <c r="H53" s="1">
        <v>2</v>
      </c>
      <c r="I53" s="1">
        <v>1</v>
      </c>
      <c r="J53" s="1">
        <v>4</v>
      </c>
      <c r="K53" s="1">
        <v>4</v>
      </c>
      <c r="L53" s="1">
        <v>1</v>
      </c>
      <c r="M53" s="1">
        <v>0</v>
      </c>
      <c r="N53" s="1">
        <v>0</v>
      </c>
      <c r="O53" s="1">
        <v>7</v>
      </c>
      <c r="P53">
        <v>0.72657687991021291</v>
      </c>
      <c r="Q53">
        <v>0.15182716049382705</v>
      </c>
      <c r="R53">
        <v>5.1926086956521768E-2</v>
      </c>
    </row>
    <row r="54" spans="1:18">
      <c r="A54" s="1">
        <v>53</v>
      </c>
      <c r="B54" s="1">
        <v>1</v>
      </c>
      <c r="C54" s="1">
        <v>1</v>
      </c>
      <c r="D54" s="1">
        <v>1</v>
      </c>
      <c r="E54" s="1">
        <v>1</v>
      </c>
      <c r="F54" s="1">
        <v>15</v>
      </c>
      <c r="G54" s="1">
        <v>6</v>
      </c>
      <c r="H54" s="1">
        <v>3</v>
      </c>
      <c r="I54" s="1">
        <v>1</v>
      </c>
      <c r="J54" s="1">
        <v>5</v>
      </c>
      <c r="K54" s="1">
        <v>5</v>
      </c>
      <c r="L54" s="1">
        <v>1</v>
      </c>
      <c r="M54" s="1">
        <v>0</v>
      </c>
      <c r="N54" s="1">
        <v>0</v>
      </c>
      <c r="O54" s="1">
        <v>7</v>
      </c>
      <c r="P54">
        <v>0.71707631874298561</v>
      </c>
      <c r="Q54">
        <v>0.22533024691358036</v>
      </c>
      <c r="R54">
        <v>3.9660869565217409E-2</v>
      </c>
    </row>
    <row r="55" spans="1:18">
      <c r="A55" s="1">
        <v>54</v>
      </c>
      <c r="B55" s="1">
        <v>1</v>
      </c>
      <c r="C55" s="1">
        <v>1</v>
      </c>
      <c r="D55" s="1">
        <v>1</v>
      </c>
      <c r="E55" s="1">
        <v>1</v>
      </c>
      <c r="F55" s="1">
        <v>19</v>
      </c>
      <c r="G55" s="1">
        <v>6</v>
      </c>
      <c r="H55" s="1">
        <v>3</v>
      </c>
      <c r="I55" s="1">
        <v>1</v>
      </c>
      <c r="J55" s="1">
        <v>5</v>
      </c>
      <c r="K55" s="1">
        <v>6</v>
      </c>
      <c r="L55" s="1">
        <v>1</v>
      </c>
      <c r="M55" s="1">
        <v>0</v>
      </c>
      <c r="N55" s="1">
        <v>0</v>
      </c>
      <c r="O55" s="1">
        <v>7</v>
      </c>
      <c r="P55">
        <v>0.60575757575757583</v>
      </c>
      <c r="Q55">
        <v>0.10083333333333329</v>
      </c>
      <c r="R55">
        <v>4.8313043478260875E-2</v>
      </c>
    </row>
    <row r="56" spans="1:18">
      <c r="A56" s="1">
        <v>55</v>
      </c>
      <c r="B56" s="1">
        <v>0</v>
      </c>
      <c r="C56" s="1">
        <v>1</v>
      </c>
      <c r="D56" s="1">
        <v>1</v>
      </c>
      <c r="E56" s="1">
        <v>0</v>
      </c>
      <c r="F56" s="1">
        <v>11</v>
      </c>
      <c r="G56" s="1">
        <v>6</v>
      </c>
      <c r="H56" s="1">
        <v>2</v>
      </c>
      <c r="I56" s="1">
        <v>2</v>
      </c>
      <c r="J56" s="1">
        <v>4</v>
      </c>
      <c r="K56" s="1">
        <v>4</v>
      </c>
      <c r="L56" s="1">
        <v>1</v>
      </c>
      <c r="M56" s="1">
        <v>0</v>
      </c>
      <c r="N56" s="1">
        <v>0</v>
      </c>
      <c r="O56" s="1">
        <v>7</v>
      </c>
      <c r="P56">
        <v>0.88716610549943875</v>
      </c>
      <c r="Q56">
        <v>0.29333641975308639</v>
      </c>
      <c r="R56">
        <v>5.4226086956521737E-2</v>
      </c>
    </row>
    <row r="57" spans="1:18">
      <c r="A57" s="1">
        <v>56</v>
      </c>
      <c r="B57" s="1">
        <v>0</v>
      </c>
      <c r="C57" s="1">
        <v>1</v>
      </c>
      <c r="D57" s="1">
        <v>1</v>
      </c>
      <c r="E57" s="1">
        <v>0</v>
      </c>
      <c r="F57" s="1">
        <v>10</v>
      </c>
      <c r="G57" s="1">
        <v>6</v>
      </c>
      <c r="H57" s="1">
        <v>2</v>
      </c>
      <c r="I57" s="1">
        <v>2</v>
      </c>
      <c r="J57" s="1">
        <v>4</v>
      </c>
      <c r="K57" s="1">
        <v>4</v>
      </c>
      <c r="L57" s="1">
        <v>1</v>
      </c>
      <c r="M57" s="1">
        <v>0</v>
      </c>
      <c r="N57" s="1">
        <v>0</v>
      </c>
      <c r="O57" s="1">
        <v>7</v>
      </c>
      <c r="P57">
        <v>0.73039281705948411</v>
      </c>
      <c r="Q57">
        <v>0.20683950617283955</v>
      </c>
      <c r="R57">
        <v>4.0704347826086971E-2</v>
      </c>
    </row>
    <row r="58" spans="1:18">
      <c r="A58" s="1">
        <v>57</v>
      </c>
      <c r="B58" s="1">
        <v>1</v>
      </c>
      <c r="C58" s="1">
        <v>1</v>
      </c>
      <c r="D58" s="1">
        <v>1</v>
      </c>
      <c r="E58" s="1">
        <v>0</v>
      </c>
      <c r="F58" s="1">
        <v>20</v>
      </c>
      <c r="G58" s="1">
        <v>18</v>
      </c>
      <c r="H58" s="1">
        <v>3</v>
      </c>
      <c r="I58" s="1">
        <v>2</v>
      </c>
      <c r="J58" s="1">
        <v>6</v>
      </c>
      <c r="K58" s="1">
        <v>7</v>
      </c>
      <c r="L58" s="1">
        <v>1</v>
      </c>
      <c r="M58" s="1">
        <v>0</v>
      </c>
      <c r="N58" s="1">
        <v>0</v>
      </c>
      <c r="O58" s="1">
        <v>7</v>
      </c>
      <c r="P58">
        <v>0.84998316498316517</v>
      </c>
      <c r="Q58">
        <v>0.15334259259259292</v>
      </c>
      <c r="R58">
        <v>3.896521739130436E-2</v>
      </c>
    </row>
    <row r="59" spans="1:18">
      <c r="A59" s="1">
        <v>58</v>
      </c>
      <c r="B59" s="1">
        <v>1</v>
      </c>
      <c r="C59" s="1">
        <v>1</v>
      </c>
      <c r="D59" s="1">
        <v>1</v>
      </c>
      <c r="E59" s="1">
        <v>0</v>
      </c>
      <c r="F59" s="1">
        <v>25</v>
      </c>
      <c r="G59" s="1">
        <v>18</v>
      </c>
      <c r="H59" s="1">
        <v>3</v>
      </c>
      <c r="I59" s="1">
        <v>2</v>
      </c>
      <c r="J59" s="1">
        <v>6</v>
      </c>
      <c r="K59" s="1">
        <v>7</v>
      </c>
      <c r="L59" s="1">
        <v>1</v>
      </c>
      <c r="M59" s="1">
        <v>0</v>
      </c>
      <c r="N59" s="1">
        <v>0</v>
      </c>
      <c r="O59" s="1">
        <v>7</v>
      </c>
      <c r="P59">
        <v>0.84230078563411936</v>
      </c>
      <c r="Q59">
        <v>0.24484567901234583</v>
      </c>
      <c r="R59">
        <v>4.5756521739130432E-2</v>
      </c>
    </row>
    <row r="60" spans="1:18">
      <c r="A60" s="1">
        <v>59</v>
      </c>
      <c r="B60" s="1">
        <v>1</v>
      </c>
      <c r="C60" s="1">
        <v>1</v>
      </c>
      <c r="D60" s="1">
        <v>1</v>
      </c>
      <c r="E60" s="1">
        <v>0</v>
      </c>
      <c r="F60" s="1">
        <v>17</v>
      </c>
      <c r="G60" s="1">
        <v>6</v>
      </c>
      <c r="H60" s="1">
        <v>3</v>
      </c>
      <c r="I60" s="1">
        <v>2</v>
      </c>
      <c r="J60" s="1">
        <v>5</v>
      </c>
      <c r="K60" s="1">
        <v>6</v>
      </c>
      <c r="L60" s="1">
        <v>1</v>
      </c>
      <c r="M60" s="1">
        <v>0</v>
      </c>
      <c r="N60" s="1">
        <v>0</v>
      </c>
      <c r="O60" s="1">
        <v>7</v>
      </c>
      <c r="P60">
        <v>0.57825476992143665</v>
      </c>
      <c r="Q60">
        <v>0.13634876543209895</v>
      </c>
      <c r="R60">
        <v>3.371304347826088E-2</v>
      </c>
    </row>
    <row r="61" spans="1:18">
      <c r="A61" s="1">
        <v>60</v>
      </c>
      <c r="B61" s="1">
        <v>1</v>
      </c>
      <c r="C61" s="1">
        <v>1</v>
      </c>
      <c r="D61" s="1">
        <v>1</v>
      </c>
      <c r="E61" s="1">
        <v>0</v>
      </c>
      <c r="F61" s="1">
        <v>23</v>
      </c>
      <c r="G61" s="1">
        <v>18</v>
      </c>
      <c r="H61" s="1">
        <v>3</v>
      </c>
      <c r="I61" s="1">
        <v>2</v>
      </c>
      <c r="J61" s="1">
        <v>6</v>
      </c>
      <c r="K61" s="1">
        <v>7</v>
      </c>
      <c r="L61" s="1">
        <v>1</v>
      </c>
      <c r="M61" s="1">
        <v>0</v>
      </c>
      <c r="N61" s="1">
        <v>0</v>
      </c>
      <c r="O61" s="1">
        <v>7</v>
      </c>
      <c r="P61">
        <v>0.65057239057239069</v>
      </c>
      <c r="Q61">
        <v>0.18785185185185185</v>
      </c>
      <c r="R61">
        <v>3.7973913043478268E-2</v>
      </c>
    </row>
    <row r="62" spans="1:18">
      <c r="A62" s="1">
        <v>61</v>
      </c>
      <c r="B62" s="1">
        <v>0</v>
      </c>
      <c r="C62" s="1">
        <v>1</v>
      </c>
      <c r="D62" s="1">
        <v>0</v>
      </c>
      <c r="E62" s="1">
        <v>0</v>
      </c>
      <c r="F62" s="1">
        <v>6</v>
      </c>
      <c r="G62" s="1">
        <v>6</v>
      </c>
      <c r="H62" s="1">
        <v>1</v>
      </c>
      <c r="I62" s="1">
        <v>2</v>
      </c>
      <c r="J62" s="1">
        <v>2</v>
      </c>
      <c r="K62" s="1">
        <v>2</v>
      </c>
      <c r="L62" s="1">
        <v>1</v>
      </c>
      <c r="M62" s="1">
        <v>0</v>
      </c>
      <c r="N62" s="1">
        <v>0</v>
      </c>
      <c r="O62" s="1">
        <v>7</v>
      </c>
      <c r="P62">
        <v>0.48470819304152646</v>
      </c>
      <c r="Q62">
        <v>0.135354938271605</v>
      </c>
      <c r="R62">
        <v>3.884782608695652E-2</v>
      </c>
    </row>
    <row r="63" spans="1:18">
      <c r="A63" s="1">
        <v>62</v>
      </c>
      <c r="B63" s="1">
        <v>0</v>
      </c>
      <c r="C63" s="1">
        <v>1</v>
      </c>
      <c r="D63" s="1">
        <v>0</v>
      </c>
      <c r="E63" s="1">
        <v>0</v>
      </c>
      <c r="F63" s="1">
        <v>5</v>
      </c>
      <c r="G63" s="1">
        <v>6</v>
      </c>
      <c r="H63" s="1">
        <v>1</v>
      </c>
      <c r="I63" s="1">
        <v>2</v>
      </c>
      <c r="J63" s="1">
        <v>2</v>
      </c>
      <c r="K63" s="1">
        <v>2</v>
      </c>
      <c r="L63" s="1">
        <v>1</v>
      </c>
      <c r="M63" s="1">
        <v>0</v>
      </c>
      <c r="N63" s="1">
        <v>0</v>
      </c>
      <c r="O63" s="1">
        <v>7</v>
      </c>
      <c r="P63">
        <v>0.68611672278338953</v>
      </c>
      <c r="Q63">
        <v>0.24185802469135814</v>
      </c>
      <c r="R63">
        <v>4.5773913043478262E-2</v>
      </c>
    </row>
    <row r="64" spans="1:18">
      <c r="A64" s="1">
        <v>63</v>
      </c>
      <c r="B64" s="1">
        <v>0</v>
      </c>
      <c r="C64" s="1">
        <v>1</v>
      </c>
      <c r="D64" s="1">
        <v>0</v>
      </c>
      <c r="E64" s="1">
        <v>1</v>
      </c>
      <c r="F64" s="1">
        <v>5</v>
      </c>
      <c r="G64" s="1">
        <v>6</v>
      </c>
      <c r="H64" s="1">
        <v>1</v>
      </c>
      <c r="I64" s="1">
        <v>2</v>
      </c>
      <c r="J64" s="1">
        <v>2</v>
      </c>
      <c r="K64" s="1">
        <v>2</v>
      </c>
      <c r="L64" s="1">
        <v>1</v>
      </c>
      <c r="M64" s="1">
        <v>0</v>
      </c>
      <c r="N64" s="1">
        <v>0</v>
      </c>
      <c r="O64" s="1">
        <v>7</v>
      </c>
      <c r="P64">
        <v>0.69116161616161653</v>
      </c>
      <c r="Q64">
        <v>0.17136111111111135</v>
      </c>
      <c r="R64">
        <v>4.0152173913043487E-2</v>
      </c>
    </row>
    <row r="65" spans="1:18">
      <c r="A65" s="1">
        <v>64</v>
      </c>
      <c r="B65" s="1">
        <v>1</v>
      </c>
      <c r="C65" s="1">
        <v>1</v>
      </c>
      <c r="D65" s="1">
        <v>0</v>
      </c>
      <c r="E65" s="1">
        <v>0</v>
      </c>
      <c r="F65" s="1">
        <v>9</v>
      </c>
      <c r="G65" s="1">
        <v>6</v>
      </c>
      <c r="H65" s="1">
        <v>2</v>
      </c>
      <c r="I65" s="1">
        <v>2</v>
      </c>
      <c r="J65" s="1">
        <v>3</v>
      </c>
      <c r="K65" s="1">
        <v>3</v>
      </c>
      <c r="L65" s="1">
        <v>1</v>
      </c>
      <c r="M65" s="1">
        <v>0</v>
      </c>
      <c r="N65" s="1">
        <v>0</v>
      </c>
      <c r="O65" s="1">
        <v>7</v>
      </c>
      <c r="P65">
        <v>0.68893378226711566</v>
      </c>
      <c r="Q65">
        <v>3.2864197530864205E-2</v>
      </c>
      <c r="R65">
        <v>4.0630434782608707E-2</v>
      </c>
    </row>
    <row r="66" spans="1:18">
      <c r="A66" s="1">
        <v>65</v>
      </c>
      <c r="B66" s="1">
        <v>1</v>
      </c>
      <c r="C66" s="1">
        <v>1</v>
      </c>
      <c r="D66" s="1">
        <v>1</v>
      </c>
      <c r="E66" s="1">
        <v>0</v>
      </c>
      <c r="F66" s="1">
        <v>15</v>
      </c>
      <c r="G66" s="1">
        <v>6</v>
      </c>
      <c r="H66" s="1">
        <v>3</v>
      </c>
      <c r="I66" s="1">
        <v>2</v>
      </c>
      <c r="J66" s="1">
        <v>5</v>
      </c>
      <c r="K66" s="1">
        <v>5</v>
      </c>
      <c r="L66" s="1">
        <v>1</v>
      </c>
      <c r="M66" s="1">
        <v>0</v>
      </c>
      <c r="N66" s="1">
        <v>0</v>
      </c>
      <c r="O66" s="1">
        <v>7</v>
      </c>
      <c r="P66">
        <v>0.65761503928170617</v>
      </c>
      <c r="Q66">
        <v>0.26336728395061737</v>
      </c>
      <c r="R66">
        <v>3.5817391304347843E-2</v>
      </c>
    </row>
    <row r="67" spans="1:18">
      <c r="A67" s="1">
        <v>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2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7</v>
      </c>
      <c r="P67">
        <v>0.54629629629629628</v>
      </c>
      <c r="Q67">
        <v>0.15487037037037049</v>
      </c>
      <c r="R67">
        <v>3.2843478260869557E-2</v>
      </c>
    </row>
    <row r="68" spans="1:18">
      <c r="A68" s="1">
        <v>67</v>
      </c>
      <c r="B68" s="1">
        <v>1</v>
      </c>
      <c r="C68" s="1">
        <v>1</v>
      </c>
      <c r="D68" s="1">
        <v>1</v>
      </c>
      <c r="E68" s="1">
        <v>0</v>
      </c>
      <c r="F68" s="1">
        <v>18</v>
      </c>
      <c r="G68" s="1">
        <v>6</v>
      </c>
      <c r="H68" s="1">
        <v>3</v>
      </c>
      <c r="I68" s="1">
        <v>2</v>
      </c>
      <c r="J68" s="1">
        <v>5</v>
      </c>
      <c r="K68" s="1">
        <v>6</v>
      </c>
      <c r="L68" s="1">
        <v>1</v>
      </c>
      <c r="M68" s="1">
        <v>0</v>
      </c>
      <c r="N68" s="1">
        <v>0</v>
      </c>
      <c r="O68" s="1">
        <v>7</v>
      </c>
      <c r="P68">
        <v>0.81497755331088684</v>
      </c>
      <c r="Q68">
        <v>0.27237345679012359</v>
      </c>
      <c r="R68">
        <v>4.2304347826086969E-2</v>
      </c>
    </row>
    <row r="69" spans="1:18">
      <c r="A69" s="1">
        <v>68</v>
      </c>
      <c r="B69" s="1">
        <v>1</v>
      </c>
      <c r="C69" s="1">
        <v>1</v>
      </c>
      <c r="D69" s="1">
        <v>0</v>
      </c>
      <c r="E69" s="1">
        <v>0</v>
      </c>
      <c r="F69" s="1">
        <v>8</v>
      </c>
      <c r="G69" s="1">
        <v>6</v>
      </c>
      <c r="H69" s="1">
        <v>2</v>
      </c>
      <c r="I69" s="1">
        <v>2</v>
      </c>
      <c r="J69" s="1">
        <v>3</v>
      </c>
      <c r="K69" s="1">
        <v>3</v>
      </c>
      <c r="L69" s="1">
        <v>1</v>
      </c>
      <c r="M69" s="1">
        <v>0</v>
      </c>
      <c r="N69" s="1">
        <v>0</v>
      </c>
      <c r="O69" s="1">
        <v>7</v>
      </c>
      <c r="P69">
        <v>0.58547699214365878</v>
      </c>
      <c r="Q69">
        <v>0.20787654320987664</v>
      </c>
      <c r="R69">
        <v>4.0686956521739107E-2</v>
      </c>
    </row>
    <row r="70" spans="1:18">
      <c r="A70" s="1">
        <v>69</v>
      </c>
      <c r="B70" s="1">
        <v>0</v>
      </c>
      <c r="C70" s="1">
        <v>1</v>
      </c>
      <c r="D70" s="1">
        <v>0</v>
      </c>
      <c r="E70" s="1">
        <v>0</v>
      </c>
      <c r="F70" s="1">
        <v>4</v>
      </c>
      <c r="G70" s="1">
        <v>6</v>
      </c>
      <c r="H70" s="1">
        <v>1</v>
      </c>
      <c r="I70" s="1">
        <v>2</v>
      </c>
      <c r="J70" s="1">
        <v>2</v>
      </c>
      <c r="K70" s="1">
        <v>2</v>
      </c>
      <c r="L70" s="1">
        <v>1</v>
      </c>
      <c r="M70" s="1">
        <v>0</v>
      </c>
      <c r="N70" s="1">
        <v>0</v>
      </c>
      <c r="O70" s="1">
        <v>7</v>
      </c>
      <c r="P70">
        <v>0.71779461279461254</v>
      </c>
      <c r="Q70">
        <v>0.20937962962962969</v>
      </c>
      <c r="R70">
        <v>3.5447826086956527E-2</v>
      </c>
    </row>
    <row r="71" spans="1:18">
      <c r="A71" s="1">
        <v>70</v>
      </c>
      <c r="B71" s="1">
        <v>1</v>
      </c>
      <c r="C71" s="1">
        <v>1</v>
      </c>
      <c r="D71" s="1">
        <v>1</v>
      </c>
      <c r="E71" s="1">
        <v>0</v>
      </c>
      <c r="F71" s="1">
        <v>21</v>
      </c>
      <c r="G71" s="1">
        <v>18</v>
      </c>
      <c r="H71" s="1">
        <v>3</v>
      </c>
      <c r="I71" s="1">
        <v>2</v>
      </c>
      <c r="J71" s="1">
        <v>6</v>
      </c>
      <c r="K71" s="1">
        <v>7</v>
      </c>
      <c r="L71" s="1">
        <v>1</v>
      </c>
      <c r="M71" s="1">
        <v>0</v>
      </c>
      <c r="N71" s="1">
        <v>0</v>
      </c>
      <c r="O71" s="1">
        <v>7</v>
      </c>
      <c r="P71">
        <v>0.48465768799102127</v>
      </c>
      <c r="Q71">
        <v>0.12888271604938276</v>
      </c>
      <c r="R71">
        <v>4.0617391304347834E-2</v>
      </c>
    </row>
    <row r="72" spans="1:18">
      <c r="A72" s="1">
        <v>71</v>
      </c>
      <c r="B72" s="1">
        <v>1</v>
      </c>
      <c r="C72" s="1">
        <v>0</v>
      </c>
      <c r="D72" s="1">
        <v>0</v>
      </c>
      <c r="E72" s="1">
        <v>0</v>
      </c>
      <c r="F72" s="1">
        <v>2</v>
      </c>
      <c r="G72" s="1">
        <v>6</v>
      </c>
      <c r="H72" s="1">
        <v>1</v>
      </c>
      <c r="I72" s="1">
        <v>2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7</v>
      </c>
      <c r="P72">
        <v>0.63515712682379355</v>
      </c>
      <c r="Q72">
        <v>0.18038580246913583</v>
      </c>
      <c r="R72">
        <v>3.7069565217391298E-2</v>
      </c>
    </row>
    <row r="73" spans="1:18">
      <c r="A73" s="1">
        <v>72</v>
      </c>
      <c r="B73" s="1">
        <v>1</v>
      </c>
      <c r="C73" s="1">
        <v>1</v>
      </c>
      <c r="D73" s="1">
        <v>1</v>
      </c>
      <c r="E73" s="1">
        <v>0</v>
      </c>
      <c r="F73" s="1">
        <v>24</v>
      </c>
      <c r="G73" s="1">
        <v>18</v>
      </c>
      <c r="H73" s="1">
        <v>3</v>
      </c>
      <c r="I73" s="1">
        <v>2</v>
      </c>
      <c r="J73" s="1">
        <v>6</v>
      </c>
      <c r="K73" s="1">
        <v>7</v>
      </c>
      <c r="L73" s="1">
        <v>1</v>
      </c>
      <c r="M73" s="1">
        <v>0</v>
      </c>
      <c r="N73" s="1">
        <v>0</v>
      </c>
      <c r="O73" s="1">
        <v>7</v>
      </c>
      <c r="P73">
        <v>0.57292929292929273</v>
      </c>
      <c r="Q73">
        <v>0.23788888888888896</v>
      </c>
      <c r="R73">
        <v>3.8543478260869575E-2</v>
      </c>
    </row>
    <row r="74" spans="1:18">
      <c r="A74" s="1">
        <v>73</v>
      </c>
      <c r="B74" s="1">
        <v>1</v>
      </c>
      <c r="C74" s="1">
        <v>1</v>
      </c>
      <c r="D74" s="1">
        <v>1</v>
      </c>
      <c r="E74" s="1">
        <v>0</v>
      </c>
      <c r="F74" s="1">
        <v>14</v>
      </c>
      <c r="G74" s="1">
        <v>6</v>
      </c>
      <c r="H74" s="1">
        <v>3</v>
      </c>
      <c r="I74" s="1">
        <v>2</v>
      </c>
      <c r="J74" s="1">
        <v>5</v>
      </c>
      <c r="K74" s="1">
        <v>5</v>
      </c>
      <c r="L74" s="1">
        <v>1</v>
      </c>
      <c r="M74" s="1">
        <v>0</v>
      </c>
      <c r="N74" s="1">
        <v>0</v>
      </c>
      <c r="O74" s="1">
        <v>7</v>
      </c>
      <c r="P74">
        <v>0.71070145903479187</v>
      </c>
      <c r="Q74">
        <v>0.20639197530864184</v>
      </c>
      <c r="R74">
        <v>4.0969565217391299E-2</v>
      </c>
    </row>
    <row r="75" spans="1:18">
      <c r="A75" s="1">
        <v>74</v>
      </c>
      <c r="B75" s="1">
        <v>1</v>
      </c>
      <c r="C75" s="1">
        <v>1</v>
      </c>
      <c r="D75" s="1">
        <v>1</v>
      </c>
      <c r="E75" s="1">
        <v>0</v>
      </c>
      <c r="F75" s="1">
        <v>13</v>
      </c>
      <c r="G75" s="1">
        <v>6</v>
      </c>
      <c r="H75" s="1">
        <v>3</v>
      </c>
      <c r="I75" s="1">
        <v>2</v>
      </c>
      <c r="J75" s="1">
        <v>5</v>
      </c>
      <c r="K75" s="1">
        <v>5</v>
      </c>
      <c r="L75" s="1">
        <v>1</v>
      </c>
      <c r="M75" s="1">
        <v>0</v>
      </c>
      <c r="N75" s="1">
        <v>0</v>
      </c>
      <c r="O75" s="1">
        <v>7</v>
      </c>
      <c r="P75">
        <v>0.48120089786756443</v>
      </c>
      <c r="Q75">
        <v>0.1578950617283951</v>
      </c>
      <c r="R75">
        <v>3.2365217391304359E-2</v>
      </c>
    </row>
    <row r="76" spans="1:18">
      <c r="A76" s="1">
        <v>75</v>
      </c>
      <c r="B76" s="1">
        <v>0</v>
      </c>
      <c r="C76" s="1">
        <v>1</v>
      </c>
      <c r="D76" s="1">
        <v>0</v>
      </c>
      <c r="E76" s="1">
        <v>1</v>
      </c>
      <c r="F76" s="1">
        <v>6</v>
      </c>
      <c r="G76" s="1">
        <v>6</v>
      </c>
      <c r="H76" s="1">
        <v>1</v>
      </c>
      <c r="I76" s="1">
        <v>2</v>
      </c>
      <c r="J76" s="1">
        <v>2</v>
      </c>
      <c r="K76" s="1">
        <v>2</v>
      </c>
      <c r="L76" s="1">
        <v>1</v>
      </c>
      <c r="M76" s="1">
        <v>0</v>
      </c>
      <c r="N76" s="1">
        <v>0</v>
      </c>
      <c r="O76" s="1">
        <v>7</v>
      </c>
      <c r="P76">
        <v>0.43351851851851853</v>
      </c>
      <c r="Q76">
        <v>0.12639814814814815</v>
      </c>
      <c r="R76">
        <v>3.8630434782608698E-2</v>
      </c>
    </row>
    <row r="77" spans="1:18">
      <c r="A77" s="1">
        <v>76</v>
      </c>
      <c r="B77" s="1">
        <v>1</v>
      </c>
      <c r="C77" s="1">
        <v>0</v>
      </c>
      <c r="D77" s="1">
        <v>0</v>
      </c>
      <c r="E77" s="1">
        <v>0</v>
      </c>
      <c r="F77" s="1">
        <v>1</v>
      </c>
      <c r="G77" s="1">
        <v>6</v>
      </c>
      <c r="H77" s="1">
        <v>1</v>
      </c>
      <c r="I77" s="1">
        <v>2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7</v>
      </c>
      <c r="P77">
        <v>0.63129068462401794</v>
      </c>
      <c r="Q77">
        <v>0.2339012345679011</v>
      </c>
      <c r="R77">
        <v>3.5521739130434771E-2</v>
      </c>
    </row>
    <row r="78" spans="1:18">
      <c r="A78" s="1">
        <v>77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2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7</v>
      </c>
      <c r="P78">
        <v>0.59815375982042662</v>
      </c>
      <c r="Q78">
        <v>0.23140432098765426</v>
      </c>
      <c r="R78">
        <v>4.3413043478260867E-2</v>
      </c>
    </row>
    <row r="79" spans="1:18">
      <c r="A79" s="1">
        <v>78</v>
      </c>
      <c r="B79" s="1">
        <v>1</v>
      </c>
      <c r="C79" s="1">
        <v>0</v>
      </c>
      <c r="D79" s="1">
        <v>0</v>
      </c>
      <c r="E79" s="1">
        <v>1</v>
      </c>
      <c r="F79" s="1">
        <v>1</v>
      </c>
      <c r="G79" s="1">
        <v>6</v>
      </c>
      <c r="H79" s="1">
        <v>1</v>
      </c>
      <c r="I79" s="1">
        <v>2</v>
      </c>
      <c r="J79" s="1">
        <v>1</v>
      </c>
      <c r="K79" s="1">
        <v>1</v>
      </c>
      <c r="L79" s="1">
        <v>1</v>
      </c>
      <c r="M79" s="1">
        <v>0</v>
      </c>
      <c r="N79" s="1">
        <v>0</v>
      </c>
      <c r="O79" s="1">
        <v>7</v>
      </c>
      <c r="P79">
        <v>0.69047138047138068</v>
      </c>
      <c r="Q79">
        <v>0.21190740740740727</v>
      </c>
      <c r="R79">
        <v>4.849565217391303E-2</v>
      </c>
    </row>
    <row r="80" spans="1:18">
      <c r="A80" s="1">
        <v>79</v>
      </c>
      <c r="B80" s="1">
        <v>1</v>
      </c>
      <c r="C80" s="1">
        <v>1</v>
      </c>
      <c r="D80" s="1">
        <v>1</v>
      </c>
      <c r="E80" s="1">
        <v>0</v>
      </c>
      <c r="F80" s="1">
        <v>16</v>
      </c>
      <c r="G80" s="1">
        <v>6</v>
      </c>
      <c r="H80" s="1">
        <v>3</v>
      </c>
      <c r="I80" s="1">
        <v>2</v>
      </c>
      <c r="J80" s="1">
        <v>5</v>
      </c>
      <c r="K80" s="1">
        <v>6</v>
      </c>
      <c r="L80" s="1">
        <v>1</v>
      </c>
      <c r="M80" s="1">
        <v>0</v>
      </c>
      <c r="N80" s="1">
        <v>0</v>
      </c>
      <c r="O80" s="1">
        <v>7</v>
      </c>
      <c r="P80">
        <v>0.77369809203142514</v>
      </c>
      <c r="Q80">
        <v>0.14441049382716037</v>
      </c>
      <c r="R80">
        <v>4.2665217391304348E-2</v>
      </c>
    </row>
    <row r="81" spans="1:18">
      <c r="A81" s="1">
        <v>80</v>
      </c>
      <c r="B81" s="1">
        <v>1</v>
      </c>
      <c r="C81" s="1">
        <v>1</v>
      </c>
      <c r="D81" s="1">
        <v>1</v>
      </c>
      <c r="E81" s="1">
        <v>1</v>
      </c>
      <c r="F81" s="1">
        <v>23</v>
      </c>
      <c r="G81" s="1">
        <v>18</v>
      </c>
      <c r="H81" s="1">
        <v>3</v>
      </c>
      <c r="I81" s="1">
        <v>2</v>
      </c>
      <c r="J81" s="1">
        <v>6</v>
      </c>
      <c r="K81" s="1">
        <v>7</v>
      </c>
      <c r="L81" s="1">
        <v>1</v>
      </c>
      <c r="M81" s="1">
        <v>0</v>
      </c>
      <c r="N81" s="1">
        <v>0</v>
      </c>
      <c r="O81" s="1">
        <v>7</v>
      </c>
      <c r="P81">
        <v>0.57510662177328842</v>
      </c>
      <c r="Q81">
        <v>0.1559135802469136</v>
      </c>
      <c r="R81">
        <v>5.1800000000000013E-2</v>
      </c>
    </row>
    <row r="82" spans="1:18">
      <c r="A82" s="1">
        <v>81</v>
      </c>
      <c r="B82" s="1">
        <v>1</v>
      </c>
      <c r="C82" s="1">
        <v>1</v>
      </c>
      <c r="D82" s="1">
        <v>0</v>
      </c>
      <c r="E82" s="1">
        <v>0</v>
      </c>
      <c r="F82" s="1">
        <v>7</v>
      </c>
      <c r="G82" s="1">
        <v>6</v>
      </c>
      <c r="H82" s="1">
        <v>2</v>
      </c>
      <c r="I82" s="1">
        <v>2</v>
      </c>
      <c r="J82" s="1">
        <v>3</v>
      </c>
      <c r="K82" s="1">
        <v>3</v>
      </c>
      <c r="L82" s="1">
        <v>1</v>
      </c>
      <c r="M82" s="1">
        <v>0</v>
      </c>
      <c r="N82" s="1">
        <v>0</v>
      </c>
      <c r="O82" s="1">
        <v>7</v>
      </c>
      <c r="P82">
        <v>0.79106060606060591</v>
      </c>
      <c r="Q82">
        <v>0.3064166666666665</v>
      </c>
      <c r="R82">
        <v>4.3482608695652181E-2</v>
      </c>
    </row>
    <row r="83" spans="1:18">
      <c r="A83" s="1">
        <v>82</v>
      </c>
      <c r="B83" s="1">
        <v>1</v>
      </c>
      <c r="C83" s="1">
        <v>1</v>
      </c>
      <c r="D83" s="1">
        <v>1</v>
      </c>
      <c r="E83" s="1">
        <v>1</v>
      </c>
      <c r="F83" s="1">
        <v>21</v>
      </c>
      <c r="G83" s="1">
        <v>18</v>
      </c>
      <c r="H83" s="1">
        <v>3</v>
      </c>
      <c r="I83" s="1">
        <v>2</v>
      </c>
      <c r="J83" s="1">
        <v>6</v>
      </c>
      <c r="K83" s="1">
        <v>7</v>
      </c>
      <c r="L83" s="1">
        <v>1</v>
      </c>
      <c r="M83" s="1">
        <v>0</v>
      </c>
      <c r="N83" s="1">
        <v>0</v>
      </c>
      <c r="O83" s="1">
        <v>7</v>
      </c>
      <c r="P83">
        <v>0.84337822671155971</v>
      </c>
      <c r="Q83">
        <v>0.11891975308641953</v>
      </c>
      <c r="R83">
        <v>6.0417391304347833E-2</v>
      </c>
    </row>
    <row r="84" spans="1:18">
      <c r="A84" s="1">
        <v>83</v>
      </c>
      <c r="B84" s="1">
        <v>1</v>
      </c>
      <c r="C84" s="1">
        <v>1</v>
      </c>
      <c r="D84" s="1">
        <v>1</v>
      </c>
      <c r="E84" s="1">
        <v>1</v>
      </c>
      <c r="F84" s="1">
        <v>18</v>
      </c>
      <c r="G84" s="1">
        <v>6</v>
      </c>
      <c r="H84" s="1">
        <v>3</v>
      </c>
      <c r="I84" s="1">
        <v>2</v>
      </c>
      <c r="J84" s="1">
        <v>5</v>
      </c>
      <c r="K84" s="1">
        <v>6</v>
      </c>
      <c r="L84" s="1">
        <v>1</v>
      </c>
      <c r="M84" s="1">
        <v>0</v>
      </c>
      <c r="N84" s="1">
        <v>0</v>
      </c>
      <c r="O84" s="1">
        <v>7</v>
      </c>
      <c r="P84">
        <v>0.84478675645342316</v>
      </c>
      <c r="Q84">
        <v>0.16042283950617281</v>
      </c>
      <c r="R84">
        <v>3.2595652173913033E-2</v>
      </c>
    </row>
    <row r="85" spans="1:18">
      <c r="A85" s="1">
        <v>84</v>
      </c>
      <c r="B85" s="1">
        <v>1</v>
      </c>
      <c r="C85" s="1">
        <v>1</v>
      </c>
      <c r="D85" s="1">
        <v>1</v>
      </c>
      <c r="E85" s="1">
        <v>1</v>
      </c>
      <c r="F85" s="1">
        <v>24</v>
      </c>
      <c r="G85" s="1">
        <v>18</v>
      </c>
      <c r="H85" s="1">
        <v>3</v>
      </c>
      <c r="I85" s="1">
        <v>2</v>
      </c>
      <c r="J85" s="1">
        <v>6</v>
      </c>
      <c r="K85" s="1">
        <v>7</v>
      </c>
      <c r="L85" s="1">
        <v>1</v>
      </c>
      <c r="M85" s="1">
        <v>0</v>
      </c>
      <c r="N85" s="1">
        <v>0</v>
      </c>
      <c r="O85" s="1">
        <v>7</v>
      </c>
      <c r="P85">
        <v>0.57710437710437712</v>
      </c>
      <c r="Q85">
        <v>0.20392592592592598</v>
      </c>
      <c r="R85">
        <v>3.7013043478260878E-2</v>
      </c>
    </row>
    <row r="86" spans="1:18">
      <c r="A86" s="1">
        <v>85</v>
      </c>
      <c r="B86" s="1">
        <v>1</v>
      </c>
      <c r="C86" s="1">
        <v>1</v>
      </c>
      <c r="D86" s="1">
        <v>1</v>
      </c>
      <c r="E86" s="1">
        <v>1</v>
      </c>
      <c r="F86" s="1">
        <v>20</v>
      </c>
      <c r="G86" s="1">
        <v>18</v>
      </c>
      <c r="H86" s="1">
        <v>3</v>
      </c>
      <c r="I86" s="1">
        <v>2</v>
      </c>
      <c r="J86" s="1">
        <v>6</v>
      </c>
      <c r="K86" s="1">
        <v>7</v>
      </c>
      <c r="L86" s="1">
        <v>1</v>
      </c>
      <c r="M86" s="1">
        <v>0</v>
      </c>
      <c r="N86" s="1">
        <v>0</v>
      </c>
      <c r="O86" s="1">
        <v>7</v>
      </c>
      <c r="P86">
        <v>0.57124017957351281</v>
      </c>
      <c r="Q86">
        <v>0.23942901234567895</v>
      </c>
      <c r="R86">
        <v>3.940869565217392E-2</v>
      </c>
    </row>
    <row r="87" spans="1:18">
      <c r="A87" s="1">
        <v>86</v>
      </c>
      <c r="B87" s="1">
        <v>1</v>
      </c>
      <c r="C87" s="1">
        <v>1</v>
      </c>
      <c r="D87" s="1">
        <v>1</v>
      </c>
      <c r="E87" s="1">
        <v>1</v>
      </c>
      <c r="F87" s="1">
        <v>17</v>
      </c>
      <c r="G87" s="1">
        <v>6</v>
      </c>
      <c r="H87" s="1">
        <v>3</v>
      </c>
      <c r="I87" s="1">
        <v>2</v>
      </c>
      <c r="J87" s="1">
        <v>5</v>
      </c>
      <c r="K87" s="1">
        <v>6</v>
      </c>
      <c r="L87" s="1">
        <v>1</v>
      </c>
      <c r="M87" s="1">
        <v>0</v>
      </c>
      <c r="N87" s="1">
        <v>0</v>
      </c>
      <c r="O87" s="1">
        <v>7</v>
      </c>
      <c r="P87">
        <v>0.65264870931537611</v>
      </c>
      <c r="Q87">
        <v>0.13293209876543202</v>
      </c>
      <c r="R87">
        <v>3.4726086956521726E-2</v>
      </c>
    </row>
    <row r="88" spans="1:18">
      <c r="A88" s="1">
        <v>87</v>
      </c>
      <c r="B88" s="1">
        <v>0</v>
      </c>
      <c r="C88" s="1">
        <v>1</v>
      </c>
      <c r="D88" s="1">
        <v>1</v>
      </c>
      <c r="E88" s="1">
        <v>0</v>
      </c>
      <c r="F88" s="1">
        <v>12</v>
      </c>
      <c r="G88" s="1">
        <v>6</v>
      </c>
      <c r="H88" s="1">
        <v>2</v>
      </c>
      <c r="I88" s="1">
        <v>2</v>
      </c>
      <c r="J88" s="1">
        <v>4</v>
      </c>
      <c r="K88" s="1">
        <v>4</v>
      </c>
      <c r="L88" s="1">
        <v>1</v>
      </c>
      <c r="M88" s="1">
        <v>0</v>
      </c>
      <c r="N88" s="1">
        <v>0</v>
      </c>
      <c r="O88" s="1">
        <v>7</v>
      </c>
      <c r="P88">
        <v>0.86132996632996628</v>
      </c>
      <c r="Q88">
        <v>0.28243518518518512</v>
      </c>
      <c r="R88">
        <v>4.9495652173913059E-2</v>
      </c>
    </row>
    <row r="89" spans="1:18">
      <c r="A89" s="1">
        <v>88</v>
      </c>
      <c r="B89" s="1">
        <v>1</v>
      </c>
      <c r="C89" s="1">
        <v>1</v>
      </c>
      <c r="D89" s="1">
        <v>1</v>
      </c>
      <c r="E89" s="1">
        <v>1</v>
      </c>
      <c r="F89" s="1">
        <v>15</v>
      </c>
      <c r="G89" s="1">
        <v>6</v>
      </c>
      <c r="H89" s="1">
        <v>3</v>
      </c>
      <c r="I89" s="1">
        <v>2</v>
      </c>
      <c r="J89" s="1">
        <v>5</v>
      </c>
      <c r="K89" s="1">
        <v>5</v>
      </c>
      <c r="L89" s="1">
        <v>1</v>
      </c>
      <c r="M89" s="1">
        <v>0</v>
      </c>
      <c r="N89" s="1">
        <v>0</v>
      </c>
      <c r="O89" s="1">
        <v>7</v>
      </c>
      <c r="P89">
        <v>0.78455667789001138</v>
      </c>
      <c r="Q89">
        <v>0.28593827160493834</v>
      </c>
      <c r="R89">
        <v>3.4191304347826065E-2</v>
      </c>
    </row>
    <row r="90" spans="1:18">
      <c r="A90" s="1">
        <v>89</v>
      </c>
      <c r="B90" s="1">
        <v>1</v>
      </c>
      <c r="C90" s="1">
        <v>0</v>
      </c>
      <c r="D90" s="1">
        <v>0</v>
      </c>
      <c r="E90" s="1">
        <v>0</v>
      </c>
      <c r="F90" s="1">
        <v>3</v>
      </c>
      <c r="G90" s="1">
        <v>6</v>
      </c>
      <c r="H90" s="1">
        <v>1</v>
      </c>
      <c r="I90" s="1">
        <v>2</v>
      </c>
      <c r="J90" s="1">
        <v>1</v>
      </c>
      <c r="K90" s="1">
        <v>1</v>
      </c>
      <c r="L90" s="1">
        <v>1</v>
      </c>
      <c r="M90" s="1">
        <v>0</v>
      </c>
      <c r="N90" s="1">
        <v>0</v>
      </c>
      <c r="O90" s="1">
        <v>7</v>
      </c>
      <c r="P90">
        <v>0.58232884399551077</v>
      </c>
      <c r="Q90">
        <v>0.1714413580246914</v>
      </c>
      <c r="R90">
        <v>3.3530434782608712E-2</v>
      </c>
    </row>
    <row r="91" spans="1:18">
      <c r="A91" s="1">
        <v>90</v>
      </c>
      <c r="B91" s="1">
        <v>1</v>
      </c>
      <c r="C91" s="1">
        <v>1</v>
      </c>
      <c r="D91" s="1">
        <v>1</v>
      </c>
      <c r="E91" s="1">
        <v>1</v>
      </c>
      <c r="F91" s="1">
        <v>16</v>
      </c>
      <c r="G91" s="1">
        <v>6</v>
      </c>
      <c r="H91" s="1">
        <v>3</v>
      </c>
      <c r="I91" s="1">
        <v>2</v>
      </c>
      <c r="J91" s="1">
        <v>5</v>
      </c>
      <c r="K91" s="1">
        <v>6</v>
      </c>
      <c r="L91" s="1">
        <v>1</v>
      </c>
      <c r="M91" s="1">
        <v>0</v>
      </c>
      <c r="N91" s="1">
        <v>0</v>
      </c>
      <c r="O91" s="1">
        <v>7</v>
      </c>
      <c r="P91">
        <v>0.91646464646464665</v>
      </c>
      <c r="Q91">
        <v>0.20294444444444437</v>
      </c>
      <c r="R91">
        <v>4.2057826086956525E-2</v>
      </c>
    </row>
    <row r="92" spans="1:18">
      <c r="A92" s="1">
        <v>91</v>
      </c>
      <c r="B92" s="1">
        <v>1</v>
      </c>
      <c r="C92" s="1">
        <v>1</v>
      </c>
      <c r="D92" s="1">
        <v>1</v>
      </c>
      <c r="E92" s="1">
        <v>0</v>
      </c>
      <c r="F92" s="1">
        <v>22</v>
      </c>
      <c r="G92" s="1">
        <v>18</v>
      </c>
      <c r="H92" s="1">
        <v>3</v>
      </c>
      <c r="I92" s="1">
        <v>2</v>
      </c>
      <c r="J92" s="1">
        <v>6</v>
      </c>
      <c r="K92" s="1">
        <v>7</v>
      </c>
      <c r="L92" s="1">
        <v>1</v>
      </c>
      <c r="M92" s="1">
        <v>0</v>
      </c>
      <c r="N92" s="1">
        <v>0</v>
      </c>
      <c r="O92" s="1">
        <v>7</v>
      </c>
      <c r="P92">
        <v>0.49241863075196429</v>
      </c>
      <c r="Q92">
        <v>0.18344753086419754</v>
      </c>
      <c r="R92">
        <v>4.0508695652173923E-2</v>
      </c>
    </row>
    <row r="93" spans="1:18">
      <c r="A93" s="1">
        <v>92</v>
      </c>
      <c r="B93" s="1">
        <v>1</v>
      </c>
      <c r="C93" s="1">
        <v>1</v>
      </c>
      <c r="D93" s="1">
        <v>0</v>
      </c>
      <c r="E93" s="1">
        <v>1</v>
      </c>
      <c r="F93" s="1">
        <v>7</v>
      </c>
      <c r="G93" s="1">
        <v>6</v>
      </c>
      <c r="H93" s="1">
        <v>2</v>
      </c>
      <c r="I93" s="1">
        <v>2</v>
      </c>
      <c r="J93" s="1">
        <v>3</v>
      </c>
      <c r="K93" s="1">
        <v>3</v>
      </c>
      <c r="L93" s="1">
        <v>1</v>
      </c>
      <c r="M93" s="1">
        <v>0</v>
      </c>
      <c r="N93" s="1">
        <v>0</v>
      </c>
      <c r="O93" s="1">
        <v>7</v>
      </c>
      <c r="P93">
        <v>0.77564534231200899</v>
      </c>
      <c r="Q93">
        <v>0.25295061728395074</v>
      </c>
      <c r="R93">
        <v>3.9286956521739129E-2</v>
      </c>
    </row>
    <row r="94" spans="1:18">
      <c r="A94" s="1">
        <v>93</v>
      </c>
      <c r="B94" s="1">
        <v>0</v>
      </c>
      <c r="C94" s="1">
        <v>1</v>
      </c>
      <c r="D94" s="1">
        <v>1</v>
      </c>
      <c r="E94" s="1">
        <v>1</v>
      </c>
      <c r="F94" s="1">
        <v>11</v>
      </c>
      <c r="G94" s="1">
        <v>6</v>
      </c>
      <c r="H94" s="1">
        <v>2</v>
      </c>
      <c r="I94" s="1">
        <v>2</v>
      </c>
      <c r="J94" s="1">
        <v>4</v>
      </c>
      <c r="K94" s="1">
        <v>4</v>
      </c>
      <c r="L94" s="1">
        <v>1</v>
      </c>
      <c r="M94" s="1">
        <v>0</v>
      </c>
      <c r="N94" s="1">
        <v>0</v>
      </c>
      <c r="O94" s="1">
        <v>7</v>
      </c>
      <c r="P94">
        <v>0.70250841750841719</v>
      </c>
      <c r="Q94">
        <v>0.10845370370370375</v>
      </c>
      <c r="R94">
        <v>4.1456521739130434E-2</v>
      </c>
    </row>
    <row r="95" spans="1:18">
      <c r="A95" s="1">
        <v>94</v>
      </c>
      <c r="B95" s="1">
        <v>1</v>
      </c>
      <c r="C95" s="1">
        <v>0</v>
      </c>
      <c r="D95" s="1">
        <v>0</v>
      </c>
      <c r="E95" s="1">
        <v>1</v>
      </c>
      <c r="F95" s="1">
        <v>3</v>
      </c>
      <c r="G95" s="1">
        <v>6</v>
      </c>
      <c r="H95" s="1">
        <v>1</v>
      </c>
      <c r="I95" s="1">
        <v>2</v>
      </c>
      <c r="J95" s="1">
        <v>1</v>
      </c>
      <c r="K95" s="1">
        <v>1</v>
      </c>
      <c r="L95" s="1">
        <v>1</v>
      </c>
      <c r="M95" s="1">
        <v>0</v>
      </c>
      <c r="N95" s="1">
        <v>0</v>
      </c>
      <c r="O95" s="1">
        <v>7</v>
      </c>
      <c r="P95">
        <v>0.72937149270482626</v>
      </c>
      <c r="Q95">
        <v>0.29295679012345682</v>
      </c>
      <c r="R95">
        <v>3.0752173913043478E-2</v>
      </c>
    </row>
    <row r="96" spans="1:18">
      <c r="A96" s="1">
        <v>95</v>
      </c>
      <c r="B96" s="1">
        <v>1</v>
      </c>
      <c r="C96" s="1">
        <v>1</v>
      </c>
      <c r="D96" s="1">
        <v>0</v>
      </c>
      <c r="E96" s="1">
        <v>1</v>
      </c>
      <c r="F96" s="1">
        <v>8</v>
      </c>
      <c r="G96" s="1">
        <v>6</v>
      </c>
      <c r="H96" s="1">
        <v>2</v>
      </c>
      <c r="I96" s="1">
        <v>2</v>
      </c>
      <c r="J96" s="1">
        <v>3</v>
      </c>
      <c r="K96" s="1">
        <v>3</v>
      </c>
      <c r="L96" s="1">
        <v>1</v>
      </c>
      <c r="M96" s="1">
        <v>0</v>
      </c>
      <c r="N96" s="1">
        <v>0</v>
      </c>
      <c r="O96" s="1">
        <v>7</v>
      </c>
      <c r="P96">
        <v>0.49805274971941621</v>
      </c>
      <c r="Q96">
        <v>0.14645987654320969</v>
      </c>
      <c r="R96">
        <v>3.5239130434782599E-2</v>
      </c>
    </row>
    <row r="97" spans="1:18">
      <c r="A97" s="1">
        <v>96</v>
      </c>
      <c r="B97" s="1">
        <v>1</v>
      </c>
      <c r="C97" s="1">
        <v>1</v>
      </c>
      <c r="D97" s="1">
        <v>0</v>
      </c>
      <c r="E97" s="1">
        <v>1</v>
      </c>
      <c r="F97" s="1">
        <v>9</v>
      </c>
      <c r="G97" s="1">
        <v>6</v>
      </c>
      <c r="H97" s="1">
        <v>2</v>
      </c>
      <c r="I97" s="1">
        <v>2</v>
      </c>
      <c r="J97" s="1">
        <v>3</v>
      </c>
      <c r="K97" s="1">
        <v>3</v>
      </c>
      <c r="L97" s="1">
        <v>1</v>
      </c>
      <c r="M97" s="1">
        <v>0</v>
      </c>
      <c r="N97" s="1">
        <v>0</v>
      </c>
      <c r="O97" s="1">
        <v>7</v>
      </c>
      <c r="P97">
        <v>0.62855218855218842</v>
      </c>
      <c r="Q97">
        <v>0.23096296296296276</v>
      </c>
      <c r="R97">
        <v>4.3282608695652189E-2</v>
      </c>
    </row>
    <row r="98" spans="1:18">
      <c r="A98" s="1">
        <v>97</v>
      </c>
      <c r="B98" s="1">
        <v>1</v>
      </c>
      <c r="C98" s="1">
        <v>1</v>
      </c>
      <c r="D98" s="1">
        <v>1</v>
      </c>
      <c r="E98" s="1">
        <v>1</v>
      </c>
      <c r="F98" s="1">
        <v>19</v>
      </c>
      <c r="G98" s="1">
        <v>6</v>
      </c>
      <c r="H98" s="1">
        <v>3</v>
      </c>
      <c r="I98" s="1">
        <v>2</v>
      </c>
      <c r="J98" s="1">
        <v>5</v>
      </c>
      <c r="K98" s="1">
        <v>6</v>
      </c>
      <c r="L98" s="1">
        <v>1</v>
      </c>
      <c r="M98" s="1">
        <v>0</v>
      </c>
      <c r="N98" s="1">
        <v>0</v>
      </c>
      <c r="O98" s="1">
        <v>7</v>
      </c>
      <c r="P98">
        <v>0.54814253647586986</v>
      </c>
      <c r="Q98">
        <v>0.16646604938271584</v>
      </c>
      <c r="R98">
        <v>4.2099999999999985E-2</v>
      </c>
    </row>
    <row r="99" spans="1:18">
      <c r="A99" s="1">
        <v>98</v>
      </c>
      <c r="B99" s="1">
        <v>1</v>
      </c>
      <c r="C99" s="1">
        <v>1</v>
      </c>
      <c r="D99" s="1">
        <v>1</v>
      </c>
      <c r="E99" s="1">
        <v>1</v>
      </c>
      <c r="F99" s="1">
        <v>25</v>
      </c>
      <c r="G99" s="1">
        <v>18</v>
      </c>
      <c r="H99" s="1">
        <v>3</v>
      </c>
      <c r="I99" s="1">
        <v>2</v>
      </c>
      <c r="J99" s="1">
        <v>6</v>
      </c>
      <c r="K99" s="1">
        <v>7</v>
      </c>
      <c r="L99" s="1">
        <v>1</v>
      </c>
      <c r="M99" s="1">
        <v>0</v>
      </c>
      <c r="N99" s="1">
        <v>0</v>
      </c>
      <c r="O99" s="1">
        <v>7</v>
      </c>
      <c r="P99">
        <v>0.70591470258136912</v>
      </c>
      <c r="Q99">
        <v>0.14696913580246901</v>
      </c>
      <c r="R99">
        <v>4.3369565217391305E-2</v>
      </c>
    </row>
    <row r="100" spans="1:18">
      <c r="A100" s="1">
        <v>99</v>
      </c>
      <c r="B100" s="1">
        <v>1</v>
      </c>
      <c r="C100" s="1">
        <v>1</v>
      </c>
      <c r="D100" s="1">
        <v>1</v>
      </c>
      <c r="E100" s="1">
        <v>0</v>
      </c>
      <c r="F100" s="1">
        <v>26</v>
      </c>
      <c r="G100" s="1">
        <v>18</v>
      </c>
      <c r="H100" s="1">
        <v>3</v>
      </c>
      <c r="I100" s="1">
        <v>2</v>
      </c>
      <c r="J100" s="1">
        <v>6</v>
      </c>
      <c r="K100" s="1">
        <v>7</v>
      </c>
      <c r="L100" s="1">
        <v>1</v>
      </c>
      <c r="M100" s="1">
        <v>0</v>
      </c>
      <c r="N100" s="1">
        <v>0</v>
      </c>
      <c r="O100" s="1">
        <v>7</v>
      </c>
      <c r="P100">
        <v>0.64368686868686842</v>
      </c>
      <c r="Q100">
        <v>8.5472222222221991E-2</v>
      </c>
      <c r="R100">
        <v>4.1308695652173891E-2</v>
      </c>
    </row>
    <row r="101" spans="1:18">
      <c r="A101" s="1">
        <v>100</v>
      </c>
      <c r="B101" s="1">
        <v>1</v>
      </c>
      <c r="C101" s="1">
        <v>1</v>
      </c>
      <c r="D101" s="1">
        <v>1</v>
      </c>
      <c r="E101" s="1">
        <v>1</v>
      </c>
      <c r="F101" s="1">
        <v>22</v>
      </c>
      <c r="G101" s="1">
        <v>18</v>
      </c>
      <c r="H101" s="1">
        <v>3</v>
      </c>
      <c r="I101" s="1">
        <v>2</v>
      </c>
      <c r="J101" s="1">
        <v>6</v>
      </c>
      <c r="K101" s="1">
        <v>7</v>
      </c>
      <c r="L101" s="1">
        <v>1</v>
      </c>
      <c r="M101" s="1">
        <v>0</v>
      </c>
      <c r="N101" s="1">
        <v>0</v>
      </c>
      <c r="O101" s="1">
        <v>7</v>
      </c>
      <c r="P101">
        <v>0.71236812570145891</v>
      </c>
      <c r="Q101">
        <v>0.21697530864197531</v>
      </c>
      <c r="R101">
        <v>3.4469565217391314E-2</v>
      </c>
    </row>
    <row r="102" spans="1:18">
      <c r="A102" s="1">
        <v>101</v>
      </c>
      <c r="B102" s="1">
        <v>1</v>
      </c>
      <c r="C102" s="1">
        <v>1</v>
      </c>
      <c r="D102" s="1">
        <v>1</v>
      </c>
      <c r="E102" s="1">
        <v>1</v>
      </c>
      <c r="F102" s="1">
        <v>13</v>
      </c>
      <c r="G102" s="1">
        <v>6</v>
      </c>
      <c r="H102" s="1">
        <v>3</v>
      </c>
      <c r="I102" s="1">
        <v>2</v>
      </c>
      <c r="J102" s="1">
        <v>5</v>
      </c>
      <c r="K102" s="1">
        <v>5</v>
      </c>
      <c r="L102" s="1">
        <v>1</v>
      </c>
      <c r="M102" s="1">
        <v>0</v>
      </c>
      <c r="N102" s="1">
        <v>0</v>
      </c>
      <c r="O102" s="1">
        <v>7</v>
      </c>
      <c r="P102">
        <v>0.66832210998877661</v>
      </c>
      <c r="Q102">
        <v>0.27247839506172833</v>
      </c>
      <c r="R102">
        <v>3.9321739130434775E-2</v>
      </c>
    </row>
    <row r="103" spans="1:18">
      <c r="A103" s="1">
        <v>102</v>
      </c>
      <c r="B103" s="1">
        <v>0</v>
      </c>
      <c r="C103" s="1">
        <v>1</v>
      </c>
      <c r="D103" s="1">
        <v>0</v>
      </c>
      <c r="E103" s="1">
        <v>1</v>
      </c>
      <c r="F103" s="1">
        <v>4</v>
      </c>
      <c r="G103" s="1">
        <v>6</v>
      </c>
      <c r="H103" s="1">
        <v>1</v>
      </c>
      <c r="I103" s="1">
        <v>2</v>
      </c>
      <c r="J103" s="1">
        <v>2</v>
      </c>
      <c r="K103" s="1">
        <v>2</v>
      </c>
      <c r="L103" s="1">
        <v>1</v>
      </c>
      <c r="M103" s="1">
        <v>0</v>
      </c>
      <c r="N103" s="1">
        <v>0</v>
      </c>
      <c r="O103" s="1">
        <v>7</v>
      </c>
      <c r="P103">
        <v>0.59154882154882127</v>
      </c>
      <c r="Q103">
        <v>0.17698148148148132</v>
      </c>
      <c r="R103">
        <v>4.3765217391304338E-2</v>
      </c>
    </row>
    <row r="104" spans="1:18">
      <c r="A104" s="1">
        <v>103</v>
      </c>
      <c r="B104" s="1">
        <v>0</v>
      </c>
      <c r="C104" s="1">
        <v>1</v>
      </c>
      <c r="D104" s="1">
        <v>1</v>
      </c>
      <c r="E104" s="1">
        <v>1</v>
      </c>
      <c r="F104" s="1">
        <v>10</v>
      </c>
      <c r="G104" s="1">
        <v>6</v>
      </c>
      <c r="H104" s="1">
        <v>2</v>
      </c>
      <c r="I104" s="1">
        <v>2</v>
      </c>
      <c r="J104" s="1">
        <v>4</v>
      </c>
      <c r="K104" s="1">
        <v>4</v>
      </c>
      <c r="L104" s="1">
        <v>1</v>
      </c>
      <c r="M104" s="1">
        <v>0</v>
      </c>
      <c r="N104" s="1">
        <v>0</v>
      </c>
      <c r="O104" s="1">
        <v>7</v>
      </c>
      <c r="P104">
        <v>0.90204826038159358</v>
      </c>
      <c r="Q104">
        <v>0.13548456790123459</v>
      </c>
      <c r="R104">
        <v>3.8626086956521734E-2</v>
      </c>
    </row>
    <row r="105" spans="1:18">
      <c r="A105" s="1">
        <v>104</v>
      </c>
      <c r="B105" s="1">
        <v>0</v>
      </c>
      <c r="C105" s="1">
        <v>1</v>
      </c>
      <c r="D105" s="1">
        <v>1</v>
      </c>
      <c r="E105" s="1">
        <v>1</v>
      </c>
      <c r="F105" s="1">
        <v>12</v>
      </c>
      <c r="G105" s="1">
        <v>6</v>
      </c>
      <c r="H105" s="1">
        <v>2</v>
      </c>
      <c r="I105" s="1">
        <v>2</v>
      </c>
      <c r="J105" s="1">
        <v>4</v>
      </c>
      <c r="K105" s="1">
        <v>4</v>
      </c>
      <c r="L105" s="1">
        <v>1</v>
      </c>
      <c r="M105" s="1">
        <v>0</v>
      </c>
      <c r="N105" s="1">
        <v>0</v>
      </c>
      <c r="O105" s="1">
        <v>7</v>
      </c>
      <c r="P105">
        <v>0.56527497194163867</v>
      </c>
      <c r="Q105">
        <v>0.21098765432098751</v>
      </c>
      <c r="R105">
        <v>3.5395652173913036E-2</v>
      </c>
    </row>
    <row r="106" spans="1:18">
      <c r="A106" s="1">
        <v>105</v>
      </c>
      <c r="B106" s="1">
        <v>1</v>
      </c>
      <c r="C106" s="1">
        <v>1</v>
      </c>
      <c r="D106" s="1">
        <v>1</v>
      </c>
      <c r="E106" s="1">
        <v>1</v>
      </c>
      <c r="F106" s="1">
        <v>14</v>
      </c>
      <c r="G106" s="1">
        <v>6</v>
      </c>
      <c r="H106" s="1">
        <v>3</v>
      </c>
      <c r="I106" s="1">
        <v>2</v>
      </c>
      <c r="J106" s="1">
        <v>5</v>
      </c>
      <c r="K106" s="1">
        <v>5</v>
      </c>
      <c r="L106" s="1">
        <v>1</v>
      </c>
      <c r="M106" s="1">
        <v>0</v>
      </c>
      <c r="N106" s="1">
        <v>0</v>
      </c>
      <c r="O106" s="1">
        <v>7</v>
      </c>
      <c r="P106">
        <v>0.74486531986531967</v>
      </c>
      <c r="Q106">
        <v>0.28449074074074066</v>
      </c>
      <c r="R106">
        <v>3.7239130434782608E-2</v>
      </c>
    </row>
    <row r="107" spans="1:18">
      <c r="A107" s="1">
        <v>106</v>
      </c>
      <c r="B107" s="1">
        <v>1</v>
      </c>
      <c r="C107" s="1">
        <v>1</v>
      </c>
      <c r="D107" s="1">
        <v>1</v>
      </c>
      <c r="E107" s="1">
        <v>0</v>
      </c>
      <c r="F107" s="1">
        <v>19</v>
      </c>
      <c r="G107" s="1">
        <v>6</v>
      </c>
      <c r="H107" s="1">
        <v>3</v>
      </c>
      <c r="I107" s="1">
        <v>2</v>
      </c>
      <c r="J107" s="1">
        <v>5</v>
      </c>
      <c r="K107" s="1">
        <v>6</v>
      </c>
      <c r="L107" s="1">
        <v>1</v>
      </c>
      <c r="M107" s="1">
        <v>0</v>
      </c>
      <c r="N107" s="1">
        <v>0</v>
      </c>
      <c r="O107" s="1">
        <v>7</v>
      </c>
      <c r="P107">
        <v>0.59172839506172825</v>
      </c>
      <c r="Q107">
        <v>0.19099382716049379</v>
      </c>
      <c r="R107">
        <v>2.7404347826086941E-2</v>
      </c>
    </row>
    <row r="108" spans="1:18">
      <c r="A108" s="1">
        <v>107</v>
      </c>
      <c r="B108" s="1">
        <v>1</v>
      </c>
      <c r="C108" s="1">
        <v>1</v>
      </c>
      <c r="D108" s="1">
        <v>1</v>
      </c>
      <c r="E108" s="1">
        <v>1</v>
      </c>
      <c r="F108" s="1">
        <v>26</v>
      </c>
      <c r="G108" s="1">
        <v>18</v>
      </c>
      <c r="H108" s="1">
        <v>3</v>
      </c>
      <c r="I108" s="1">
        <v>2</v>
      </c>
      <c r="J108" s="1">
        <v>6</v>
      </c>
      <c r="K108" s="1">
        <v>7</v>
      </c>
      <c r="L108" s="1">
        <v>1</v>
      </c>
      <c r="M108" s="1">
        <v>0</v>
      </c>
      <c r="N108" s="1">
        <v>0</v>
      </c>
      <c r="O108" s="1">
        <v>7</v>
      </c>
      <c r="P108">
        <v>0.5513187429854095</v>
      </c>
      <c r="Q108">
        <v>0.16249691358024682</v>
      </c>
      <c r="R108">
        <v>3.8682608695652168E-2</v>
      </c>
    </row>
    <row r="109" spans="1:18">
      <c r="A109" s="1">
        <v>108</v>
      </c>
      <c r="B109" s="1">
        <v>1</v>
      </c>
      <c r="C109" s="1">
        <v>0</v>
      </c>
      <c r="D109" s="1">
        <v>0</v>
      </c>
      <c r="E109" s="1">
        <v>1</v>
      </c>
      <c r="F109" s="1">
        <v>2</v>
      </c>
      <c r="G109" s="1">
        <v>6</v>
      </c>
      <c r="H109" s="1">
        <v>1</v>
      </c>
      <c r="I109" s="1">
        <v>2</v>
      </c>
      <c r="J109" s="1">
        <v>1</v>
      </c>
      <c r="K109" s="1">
        <v>1</v>
      </c>
      <c r="L109" s="1">
        <v>1</v>
      </c>
      <c r="M109" s="1">
        <v>0</v>
      </c>
      <c r="N109" s="1">
        <v>0</v>
      </c>
      <c r="O109" s="1">
        <v>7</v>
      </c>
      <c r="P109">
        <v>0.64545454545454561</v>
      </c>
      <c r="Q109">
        <v>0.31199999999999994</v>
      </c>
      <c r="R109">
        <v>3.529565217391304E-2</v>
      </c>
    </row>
    <row r="110" spans="1:18">
      <c r="A110" s="1">
        <v>1</v>
      </c>
      <c r="B110" s="1">
        <v>1</v>
      </c>
      <c r="C110" s="1">
        <v>1</v>
      </c>
      <c r="D110" s="1">
        <v>1</v>
      </c>
      <c r="E110" s="1">
        <v>0</v>
      </c>
      <c r="F110" s="1">
        <v>14</v>
      </c>
      <c r="G110" s="1">
        <v>6</v>
      </c>
      <c r="H110" s="1">
        <v>3</v>
      </c>
      <c r="I110" s="1">
        <v>1</v>
      </c>
      <c r="J110" s="1">
        <v>5</v>
      </c>
      <c r="K110" s="1">
        <v>5</v>
      </c>
      <c r="L110" s="1">
        <v>2</v>
      </c>
      <c r="M110" s="1">
        <v>13</v>
      </c>
      <c r="N110" s="1">
        <v>15</v>
      </c>
      <c r="O110" s="1">
        <v>21</v>
      </c>
      <c r="P110">
        <v>0.49035714285714277</v>
      </c>
      <c r="Q110">
        <v>0.43495230078563407</v>
      </c>
      <c r="R110">
        <v>6.1886956521739152E-2</v>
      </c>
    </row>
    <row r="111" spans="1:18">
      <c r="A111" s="1">
        <v>2</v>
      </c>
      <c r="B111" s="1">
        <v>1</v>
      </c>
      <c r="C111" s="1">
        <v>1</v>
      </c>
      <c r="D111" s="1">
        <v>1</v>
      </c>
      <c r="E111" s="1">
        <v>0</v>
      </c>
      <c r="F111" s="1">
        <v>15</v>
      </c>
      <c r="G111" s="1">
        <v>6</v>
      </c>
      <c r="H111" s="1">
        <v>3</v>
      </c>
      <c r="I111" s="1">
        <v>1</v>
      </c>
      <c r="J111" s="1">
        <v>5</v>
      </c>
      <c r="K111" s="1">
        <v>5</v>
      </c>
      <c r="L111" s="1">
        <v>2</v>
      </c>
      <c r="M111" s="1">
        <v>13</v>
      </c>
      <c r="N111" s="1">
        <v>15</v>
      </c>
      <c r="O111" s="1">
        <v>21</v>
      </c>
      <c r="P111">
        <v>0.39071428571428563</v>
      </c>
      <c r="Q111">
        <v>0.37384399551066222</v>
      </c>
      <c r="R111">
        <v>4.898695652173915E-2</v>
      </c>
    </row>
    <row r="112" spans="1:18">
      <c r="A112" s="1">
        <v>3</v>
      </c>
      <c r="B112" s="1">
        <v>1</v>
      </c>
      <c r="C112" s="1">
        <v>1</v>
      </c>
      <c r="D112" s="1">
        <v>1</v>
      </c>
      <c r="E112" s="1">
        <v>0</v>
      </c>
      <c r="F112" s="1">
        <v>13</v>
      </c>
      <c r="G112" s="1">
        <v>6</v>
      </c>
      <c r="H112" s="1">
        <v>3</v>
      </c>
      <c r="I112" s="1">
        <v>1</v>
      </c>
      <c r="J112" s="1">
        <v>5</v>
      </c>
      <c r="K112" s="1">
        <v>5</v>
      </c>
      <c r="L112" s="1">
        <v>2</v>
      </c>
      <c r="M112" s="1">
        <v>13</v>
      </c>
      <c r="N112" s="1">
        <v>15</v>
      </c>
      <c r="O112" s="1">
        <v>21</v>
      </c>
      <c r="P112">
        <v>0.47678571428571431</v>
      </c>
      <c r="Q112">
        <v>0.26819023569023576</v>
      </c>
      <c r="R112">
        <v>4.885652173913041E-2</v>
      </c>
    </row>
    <row r="113" spans="1:18">
      <c r="A113" s="1">
        <v>4</v>
      </c>
      <c r="B113" s="1">
        <v>1</v>
      </c>
      <c r="C113" s="1">
        <v>0</v>
      </c>
      <c r="D113" s="1">
        <v>0</v>
      </c>
      <c r="E113" s="1">
        <v>0</v>
      </c>
      <c r="F113" s="1">
        <v>1</v>
      </c>
      <c r="G113" s="1">
        <v>6</v>
      </c>
      <c r="H113" s="1">
        <v>1</v>
      </c>
      <c r="I113" s="1">
        <v>1</v>
      </c>
      <c r="J113" s="1">
        <v>1</v>
      </c>
      <c r="K113" s="1">
        <v>1</v>
      </c>
      <c r="L113" s="1">
        <v>2</v>
      </c>
      <c r="M113" s="1">
        <v>13</v>
      </c>
      <c r="N113" s="1">
        <v>15</v>
      </c>
      <c r="O113" s="1">
        <v>21</v>
      </c>
      <c r="P113">
        <v>0.33142857142857124</v>
      </c>
      <c r="Q113">
        <v>0.30890011223344566</v>
      </c>
      <c r="R113">
        <v>4.9430434782608688E-2</v>
      </c>
    </row>
    <row r="114" spans="1:18">
      <c r="A114" s="1">
        <v>5</v>
      </c>
      <c r="B114" s="1">
        <v>1</v>
      </c>
      <c r="C114" s="1">
        <v>1</v>
      </c>
      <c r="D114" s="1">
        <v>0</v>
      </c>
      <c r="E114" s="1">
        <v>0</v>
      </c>
      <c r="F114" s="1">
        <v>8</v>
      </c>
      <c r="G114" s="1">
        <v>6</v>
      </c>
      <c r="H114" s="1">
        <v>2</v>
      </c>
      <c r="I114" s="1">
        <v>1</v>
      </c>
      <c r="J114" s="1">
        <v>3</v>
      </c>
      <c r="K114" s="1">
        <v>3</v>
      </c>
      <c r="L114" s="1">
        <v>2</v>
      </c>
      <c r="M114" s="1">
        <v>13</v>
      </c>
      <c r="N114" s="1">
        <v>15</v>
      </c>
      <c r="O114" s="1">
        <v>21</v>
      </c>
      <c r="P114">
        <v>0.44035714285714295</v>
      </c>
      <c r="Q114">
        <v>0.2405190796857464</v>
      </c>
      <c r="R114">
        <v>4.670434782608697E-2</v>
      </c>
    </row>
    <row r="115" spans="1:18">
      <c r="A115" s="1">
        <v>6</v>
      </c>
      <c r="B115" s="1">
        <v>1</v>
      </c>
      <c r="C115" s="1">
        <v>0</v>
      </c>
      <c r="D115" s="1">
        <v>0</v>
      </c>
      <c r="E115" s="1">
        <v>0</v>
      </c>
      <c r="F115" s="1">
        <v>2</v>
      </c>
      <c r="G115" s="1">
        <v>6</v>
      </c>
      <c r="H115" s="1">
        <v>1</v>
      </c>
      <c r="I115" s="1">
        <v>1</v>
      </c>
      <c r="J115" s="1">
        <v>1</v>
      </c>
      <c r="K115" s="1">
        <v>1</v>
      </c>
      <c r="L115" s="1">
        <v>2</v>
      </c>
      <c r="M115" s="1">
        <v>13</v>
      </c>
      <c r="N115" s="1">
        <v>15</v>
      </c>
      <c r="O115" s="1">
        <v>21</v>
      </c>
      <c r="P115">
        <v>0.23357142857142868</v>
      </c>
      <c r="Q115">
        <v>0.19031986531986539</v>
      </c>
      <c r="R115">
        <v>4.3356521739130446E-2</v>
      </c>
    </row>
    <row r="116" spans="1:18">
      <c r="A116" s="1">
        <v>7</v>
      </c>
      <c r="B116" s="1">
        <v>1</v>
      </c>
      <c r="C116" s="1">
        <v>1</v>
      </c>
      <c r="D116" s="1">
        <v>1</v>
      </c>
      <c r="E116" s="1">
        <v>0</v>
      </c>
      <c r="F116" s="1">
        <v>24</v>
      </c>
      <c r="G116" s="1">
        <v>18</v>
      </c>
      <c r="H116" s="1">
        <v>3</v>
      </c>
      <c r="I116" s="1">
        <v>1</v>
      </c>
      <c r="J116" s="1">
        <v>6</v>
      </c>
      <c r="K116" s="1">
        <v>7</v>
      </c>
      <c r="L116" s="1">
        <v>2</v>
      </c>
      <c r="M116" s="1">
        <v>13</v>
      </c>
      <c r="N116" s="1">
        <v>15</v>
      </c>
      <c r="O116" s="1">
        <v>21</v>
      </c>
      <c r="P116">
        <v>0.62107142857142861</v>
      </c>
      <c r="Q116">
        <v>0.35648428731762072</v>
      </c>
      <c r="R116">
        <v>4.8121739130434792E-2</v>
      </c>
    </row>
    <row r="117" spans="1:18">
      <c r="A117" s="1">
        <v>8</v>
      </c>
      <c r="B117" s="1">
        <v>1</v>
      </c>
      <c r="C117" s="1">
        <v>1</v>
      </c>
      <c r="D117" s="1">
        <v>1</v>
      </c>
      <c r="E117" s="1">
        <v>0</v>
      </c>
      <c r="F117" s="1">
        <v>26</v>
      </c>
      <c r="G117" s="1">
        <v>18</v>
      </c>
      <c r="H117" s="1">
        <v>3</v>
      </c>
      <c r="I117" s="1">
        <v>1</v>
      </c>
      <c r="J117" s="1">
        <v>6</v>
      </c>
      <c r="K117" s="1">
        <v>7</v>
      </c>
      <c r="L117" s="1">
        <v>2</v>
      </c>
      <c r="M117" s="1">
        <v>13</v>
      </c>
      <c r="N117" s="1">
        <v>15</v>
      </c>
      <c r="O117" s="1">
        <v>21</v>
      </c>
      <c r="P117">
        <v>0.41857142857142854</v>
      </c>
      <c r="Q117">
        <v>0.35264870931537601</v>
      </c>
      <c r="R117">
        <v>5.104782608695653E-2</v>
      </c>
    </row>
    <row r="118" spans="1:18">
      <c r="A118" s="1">
        <v>9</v>
      </c>
      <c r="B118" s="1">
        <v>1</v>
      </c>
      <c r="C118" s="1">
        <v>1</v>
      </c>
      <c r="D118" s="1">
        <v>1</v>
      </c>
      <c r="E118" s="1">
        <v>0</v>
      </c>
      <c r="F118" s="1">
        <v>21</v>
      </c>
      <c r="G118" s="1">
        <v>18</v>
      </c>
      <c r="H118" s="1">
        <v>3</v>
      </c>
      <c r="I118" s="1">
        <v>1</v>
      </c>
      <c r="J118" s="1">
        <v>6</v>
      </c>
      <c r="K118" s="1">
        <v>7</v>
      </c>
      <c r="L118" s="1">
        <v>2</v>
      </c>
      <c r="M118" s="1">
        <v>13</v>
      </c>
      <c r="N118" s="1">
        <v>15</v>
      </c>
      <c r="O118" s="1">
        <v>21</v>
      </c>
      <c r="P118">
        <v>0.63321428571428573</v>
      </c>
      <c r="Q118">
        <v>0.32608585858585853</v>
      </c>
      <c r="R118">
        <v>5.2517391304347842E-2</v>
      </c>
    </row>
    <row r="119" spans="1:18">
      <c r="A119" s="1">
        <v>10</v>
      </c>
      <c r="B119" s="1">
        <v>1</v>
      </c>
      <c r="C119" s="1">
        <v>1</v>
      </c>
      <c r="D119" s="1">
        <v>1</v>
      </c>
      <c r="E119" s="1">
        <v>0</v>
      </c>
      <c r="F119" s="1">
        <v>25</v>
      </c>
      <c r="G119" s="1">
        <v>18</v>
      </c>
      <c r="H119" s="1">
        <v>3</v>
      </c>
      <c r="I119" s="1">
        <v>1</v>
      </c>
      <c r="J119" s="1">
        <v>6</v>
      </c>
      <c r="K119" s="1">
        <v>7</v>
      </c>
      <c r="L119" s="1">
        <v>2</v>
      </c>
      <c r="M119" s="1">
        <v>13</v>
      </c>
      <c r="N119" s="1">
        <v>15</v>
      </c>
      <c r="O119" s="1">
        <v>21</v>
      </c>
      <c r="P119">
        <v>0.67500000000000004</v>
      </c>
      <c r="Q119">
        <v>0.4595230078563412</v>
      </c>
      <c r="R119">
        <v>5.5952173913043482E-2</v>
      </c>
    </row>
    <row r="120" spans="1:18">
      <c r="A120" s="1">
        <v>11</v>
      </c>
      <c r="B120" s="1">
        <v>1</v>
      </c>
      <c r="C120" s="1">
        <v>1</v>
      </c>
      <c r="D120" s="1">
        <v>1</v>
      </c>
      <c r="E120" s="1">
        <v>0</v>
      </c>
      <c r="F120" s="1">
        <v>20</v>
      </c>
      <c r="G120" s="1">
        <v>18</v>
      </c>
      <c r="H120" s="1">
        <v>3</v>
      </c>
      <c r="I120" s="1">
        <v>1</v>
      </c>
      <c r="J120" s="1">
        <v>6</v>
      </c>
      <c r="K120" s="1">
        <v>7</v>
      </c>
      <c r="L120" s="1">
        <v>2</v>
      </c>
      <c r="M120" s="1">
        <v>13</v>
      </c>
      <c r="N120" s="1">
        <v>15</v>
      </c>
      <c r="O120" s="1">
        <v>21</v>
      </c>
      <c r="P120">
        <v>0.54535714285714298</v>
      </c>
      <c r="Q120">
        <v>0.38750561167227832</v>
      </c>
      <c r="R120">
        <v>5.3800000000000001E-2</v>
      </c>
    </row>
    <row r="121" spans="1:18">
      <c r="A121" s="1">
        <v>12</v>
      </c>
      <c r="B121" s="1">
        <v>1</v>
      </c>
      <c r="C121" s="1">
        <v>1</v>
      </c>
      <c r="D121" s="1">
        <v>1</v>
      </c>
      <c r="E121" s="1">
        <v>1</v>
      </c>
      <c r="F121" s="1">
        <v>18</v>
      </c>
      <c r="G121" s="1">
        <v>6</v>
      </c>
      <c r="H121" s="1">
        <v>3</v>
      </c>
      <c r="I121" s="1">
        <v>1</v>
      </c>
      <c r="J121" s="1">
        <v>5</v>
      </c>
      <c r="K121" s="1">
        <v>6</v>
      </c>
      <c r="L121" s="1">
        <v>2</v>
      </c>
      <c r="M121" s="1">
        <v>13</v>
      </c>
      <c r="N121" s="1">
        <v>15</v>
      </c>
      <c r="O121" s="1">
        <v>21</v>
      </c>
      <c r="P121">
        <v>0.46714285714285736</v>
      </c>
      <c r="Q121">
        <v>0.37367003367003365</v>
      </c>
      <c r="R121">
        <v>4.6730434782608687E-2</v>
      </c>
    </row>
    <row r="122" spans="1:18">
      <c r="A122" s="1">
        <v>13</v>
      </c>
      <c r="B122" s="1">
        <v>1</v>
      </c>
      <c r="C122" s="1">
        <v>1</v>
      </c>
      <c r="D122" s="1">
        <v>1</v>
      </c>
      <c r="E122" s="1">
        <v>1</v>
      </c>
      <c r="F122" s="1">
        <v>25</v>
      </c>
      <c r="G122" s="1">
        <v>18</v>
      </c>
      <c r="H122" s="1">
        <v>3</v>
      </c>
      <c r="I122" s="1">
        <v>1</v>
      </c>
      <c r="J122" s="1">
        <v>6</v>
      </c>
      <c r="K122" s="1">
        <v>7</v>
      </c>
      <c r="L122" s="1">
        <v>2</v>
      </c>
      <c r="M122" s="1">
        <v>13</v>
      </c>
      <c r="N122" s="1">
        <v>15</v>
      </c>
      <c r="O122" s="1">
        <v>21</v>
      </c>
      <c r="P122">
        <v>0.42464285714285704</v>
      </c>
      <c r="Q122">
        <v>0.29528900112233453</v>
      </c>
      <c r="R122">
        <v>4.9982608695652173E-2</v>
      </c>
    </row>
    <row r="123" spans="1:18">
      <c r="A123" s="1">
        <v>14</v>
      </c>
      <c r="B123" s="1">
        <v>1</v>
      </c>
      <c r="C123" s="1">
        <v>1</v>
      </c>
      <c r="D123" s="1">
        <v>1</v>
      </c>
      <c r="E123" s="1">
        <v>1</v>
      </c>
      <c r="F123" s="1">
        <v>14</v>
      </c>
      <c r="G123" s="1">
        <v>6</v>
      </c>
      <c r="H123" s="1">
        <v>3</v>
      </c>
      <c r="I123" s="1">
        <v>1</v>
      </c>
      <c r="J123" s="1">
        <v>5</v>
      </c>
      <c r="K123" s="1">
        <v>5</v>
      </c>
      <c r="L123" s="1">
        <v>2</v>
      </c>
      <c r="M123" s="1">
        <v>13</v>
      </c>
      <c r="N123" s="1">
        <v>15</v>
      </c>
      <c r="O123" s="1">
        <v>21</v>
      </c>
      <c r="P123">
        <v>0.25642857142857156</v>
      </c>
      <c r="Q123">
        <v>0.25690796857463521</v>
      </c>
      <c r="R123">
        <v>4.3213043478260868E-2</v>
      </c>
    </row>
    <row r="124" spans="1:18">
      <c r="A124" s="1">
        <v>15</v>
      </c>
      <c r="B124" s="1">
        <v>1</v>
      </c>
      <c r="C124" s="1">
        <v>1</v>
      </c>
      <c r="D124" s="1">
        <v>1</v>
      </c>
      <c r="E124" s="1">
        <v>0</v>
      </c>
      <c r="F124" s="1">
        <v>18</v>
      </c>
      <c r="G124" s="1">
        <v>6</v>
      </c>
      <c r="H124" s="1">
        <v>3</v>
      </c>
      <c r="I124" s="1">
        <v>1</v>
      </c>
      <c r="J124" s="1">
        <v>5</v>
      </c>
      <c r="K124" s="1">
        <v>6</v>
      </c>
      <c r="L124" s="1">
        <v>2</v>
      </c>
      <c r="M124" s="1">
        <v>13</v>
      </c>
      <c r="N124" s="1">
        <v>15</v>
      </c>
      <c r="O124" s="1">
        <v>21</v>
      </c>
      <c r="P124">
        <v>0.46392857142857152</v>
      </c>
      <c r="Q124">
        <v>0.47125420875420881</v>
      </c>
      <c r="R124">
        <v>4.6456521739130445E-2</v>
      </c>
    </row>
    <row r="125" spans="1:18">
      <c r="A125" s="1">
        <v>16</v>
      </c>
      <c r="B125" s="1">
        <v>1</v>
      </c>
      <c r="C125" s="1">
        <v>1</v>
      </c>
      <c r="D125" s="1">
        <v>1</v>
      </c>
      <c r="E125" s="1">
        <v>1</v>
      </c>
      <c r="F125" s="1">
        <v>21</v>
      </c>
      <c r="G125" s="1">
        <v>18</v>
      </c>
      <c r="H125" s="1">
        <v>3</v>
      </c>
      <c r="I125" s="1">
        <v>1</v>
      </c>
      <c r="J125" s="1">
        <v>6</v>
      </c>
      <c r="K125" s="1">
        <v>7</v>
      </c>
      <c r="L125" s="1">
        <v>2</v>
      </c>
      <c r="M125" s="1">
        <v>13</v>
      </c>
      <c r="N125" s="1">
        <v>15</v>
      </c>
      <c r="O125" s="1">
        <v>21</v>
      </c>
      <c r="P125">
        <v>0.49285714285714277</v>
      </c>
      <c r="Q125">
        <v>0.37650953984287322</v>
      </c>
      <c r="R125">
        <v>5.01913043478261E-2</v>
      </c>
    </row>
    <row r="126" spans="1:18">
      <c r="A126" s="1">
        <v>17</v>
      </c>
      <c r="B126" s="1">
        <v>1</v>
      </c>
      <c r="C126" s="1">
        <v>0</v>
      </c>
      <c r="D126" s="1">
        <v>0</v>
      </c>
      <c r="E126" s="1">
        <v>1</v>
      </c>
      <c r="F126" s="1">
        <v>1</v>
      </c>
      <c r="G126" s="1">
        <v>6</v>
      </c>
      <c r="H126" s="1">
        <v>1</v>
      </c>
      <c r="I126" s="1">
        <v>1</v>
      </c>
      <c r="J126" s="1">
        <v>1</v>
      </c>
      <c r="K126" s="1">
        <v>1</v>
      </c>
      <c r="L126" s="1">
        <v>2</v>
      </c>
      <c r="M126" s="1">
        <v>13</v>
      </c>
      <c r="N126" s="1">
        <v>15</v>
      </c>
      <c r="O126" s="1">
        <v>21</v>
      </c>
      <c r="P126">
        <v>0.35035714285714281</v>
      </c>
      <c r="Q126">
        <v>0.2344921436588103</v>
      </c>
      <c r="R126">
        <v>4.332608695652173E-2</v>
      </c>
    </row>
    <row r="127" spans="1:18">
      <c r="A127" s="1">
        <v>18</v>
      </c>
      <c r="B127" s="1">
        <v>1</v>
      </c>
      <c r="C127" s="1">
        <v>1</v>
      </c>
      <c r="D127" s="1">
        <v>1</v>
      </c>
      <c r="E127" s="1">
        <v>0</v>
      </c>
      <c r="F127" s="1">
        <v>22</v>
      </c>
      <c r="G127" s="1">
        <v>18</v>
      </c>
      <c r="H127" s="1">
        <v>3</v>
      </c>
      <c r="I127" s="1">
        <v>1</v>
      </c>
      <c r="J127" s="1">
        <v>6</v>
      </c>
      <c r="K127" s="1">
        <v>7</v>
      </c>
      <c r="L127" s="1">
        <v>2</v>
      </c>
      <c r="M127" s="1">
        <v>13</v>
      </c>
      <c r="N127" s="1">
        <v>15</v>
      </c>
      <c r="O127" s="1">
        <v>21</v>
      </c>
      <c r="P127">
        <v>0.315</v>
      </c>
      <c r="Q127">
        <v>0.30338383838383848</v>
      </c>
      <c r="R127">
        <v>4.6556521739130427E-2</v>
      </c>
    </row>
    <row r="128" spans="1:18">
      <c r="A128" s="1">
        <v>19</v>
      </c>
      <c r="B128" s="1">
        <v>1</v>
      </c>
      <c r="C128" s="1">
        <v>1</v>
      </c>
      <c r="D128" s="1">
        <v>1</v>
      </c>
      <c r="E128" s="1">
        <v>1</v>
      </c>
      <c r="F128" s="1">
        <v>26</v>
      </c>
      <c r="G128" s="1">
        <v>18</v>
      </c>
      <c r="H128" s="1">
        <v>3</v>
      </c>
      <c r="I128" s="1">
        <v>1</v>
      </c>
      <c r="J128" s="1">
        <v>6</v>
      </c>
      <c r="K128" s="1">
        <v>7</v>
      </c>
      <c r="L128" s="1">
        <v>2</v>
      </c>
      <c r="M128" s="1">
        <v>13</v>
      </c>
      <c r="N128" s="1">
        <v>15</v>
      </c>
      <c r="O128" s="1">
        <v>21</v>
      </c>
      <c r="P128">
        <v>0.54535714285714287</v>
      </c>
      <c r="Q128">
        <v>0.36954826038159383</v>
      </c>
      <c r="R128">
        <v>3.632173913043478E-2</v>
      </c>
    </row>
    <row r="129" spans="1:18">
      <c r="A129" s="1">
        <v>20</v>
      </c>
      <c r="B129" s="1">
        <v>1</v>
      </c>
      <c r="C129" s="1">
        <v>1</v>
      </c>
      <c r="D129" s="1">
        <v>1</v>
      </c>
      <c r="E129" s="1">
        <v>0</v>
      </c>
      <c r="F129" s="1">
        <v>17</v>
      </c>
      <c r="G129" s="1">
        <v>6</v>
      </c>
      <c r="H129" s="1">
        <v>3</v>
      </c>
      <c r="I129" s="1">
        <v>1</v>
      </c>
      <c r="J129" s="1">
        <v>5</v>
      </c>
      <c r="K129" s="1">
        <v>6</v>
      </c>
      <c r="L129" s="1">
        <v>2</v>
      </c>
      <c r="M129" s="1">
        <v>13</v>
      </c>
      <c r="N129" s="1">
        <v>15</v>
      </c>
      <c r="O129" s="1">
        <v>21</v>
      </c>
      <c r="P129">
        <v>0.40571428571428558</v>
      </c>
      <c r="Q129">
        <v>0.26571268237934903</v>
      </c>
      <c r="R129">
        <v>5.0600000000000006E-2</v>
      </c>
    </row>
    <row r="130" spans="1:18">
      <c r="A130" s="1">
        <v>21</v>
      </c>
      <c r="B130" s="1">
        <v>1</v>
      </c>
      <c r="C130" s="1">
        <v>1</v>
      </c>
      <c r="D130" s="1">
        <v>1</v>
      </c>
      <c r="E130" s="1">
        <v>0</v>
      </c>
      <c r="F130" s="1">
        <v>19</v>
      </c>
      <c r="G130" s="1">
        <v>6</v>
      </c>
      <c r="H130" s="1">
        <v>3</v>
      </c>
      <c r="I130" s="1">
        <v>1</v>
      </c>
      <c r="J130" s="1">
        <v>5</v>
      </c>
      <c r="K130" s="1">
        <v>6</v>
      </c>
      <c r="L130" s="1">
        <v>2</v>
      </c>
      <c r="M130" s="1">
        <v>13</v>
      </c>
      <c r="N130" s="1">
        <v>15</v>
      </c>
      <c r="O130" s="1">
        <v>21</v>
      </c>
      <c r="P130">
        <v>0.41035714285714292</v>
      </c>
      <c r="Q130">
        <v>0.30914983164983184</v>
      </c>
      <c r="R130">
        <v>4.8330434782608699E-2</v>
      </c>
    </row>
    <row r="131" spans="1:18">
      <c r="A131" s="1">
        <v>22</v>
      </c>
      <c r="B131" s="1">
        <v>1</v>
      </c>
      <c r="C131" s="1">
        <v>0</v>
      </c>
      <c r="D131" s="1">
        <v>0</v>
      </c>
      <c r="E131" s="1">
        <v>0</v>
      </c>
      <c r="F131" s="1">
        <v>3</v>
      </c>
      <c r="G131" s="1">
        <v>6</v>
      </c>
      <c r="H131" s="1">
        <v>1</v>
      </c>
      <c r="I131" s="1">
        <v>1</v>
      </c>
      <c r="J131" s="1">
        <v>1</v>
      </c>
      <c r="K131" s="1">
        <v>1</v>
      </c>
      <c r="L131" s="1">
        <v>2</v>
      </c>
      <c r="M131" s="1">
        <v>13</v>
      </c>
      <c r="N131" s="1">
        <v>15</v>
      </c>
      <c r="O131" s="1">
        <v>21</v>
      </c>
      <c r="P131">
        <v>0.35214285714285715</v>
      </c>
      <c r="Q131">
        <v>0.26531425364758704</v>
      </c>
      <c r="R131">
        <v>5.3882608695652159E-2</v>
      </c>
    </row>
    <row r="132" spans="1:18">
      <c r="A132" s="1">
        <v>23</v>
      </c>
      <c r="B132" s="1">
        <v>1</v>
      </c>
      <c r="C132" s="1">
        <v>1</v>
      </c>
      <c r="D132" s="1">
        <v>1</v>
      </c>
      <c r="E132" s="1">
        <v>1</v>
      </c>
      <c r="F132" s="1">
        <v>24</v>
      </c>
      <c r="G132" s="1">
        <v>18</v>
      </c>
      <c r="H132" s="1">
        <v>3</v>
      </c>
      <c r="I132" s="1">
        <v>1</v>
      </c>
      <c r="J132" s="1">
        <v>6</v>
      </c>
      <c r="K132" s="1">
        <v>7</v>
      </c>
      <c r="L132" s="1">
        <v>2</v>
      </c>
      <c r="M132" s="1">
        <v>13</v>
      </c>
      <c r="N132" s="1">
        <v>15</v>
      </c>
      <c r="O132" s="1">
        <v>21</v>
      </c>
      <c r="P132">
        <v>0.56821428571428589</v>
      </c>
      <c r="Q132">
        <v>0.30420594837261511</v>
      </c>
      <c r="R132">
        <v>4.4065217391304354E-2</v>
      </c>
    </row>
    <row r="133" spans="1:18">
      <c r="A133" s="1">
        <v>24</v>
      </c>
      <c r="B133" s="1">
        <v>1</v>
      </c>
      <c r="C133" s="1">
        <v>1</v>
      </c>
      <c r="D133" s="1">
        <v>1</v>
      </c>
      <c r="E133" s="1">
        <v>0</v>
      </c>
      <c r="F133" s="1">
        <v>16</v>
      </c>
      <c r="G133" s="1">
        <v>6</v>
      </c>
      <c r="H133" s="1">
        <v>3</v>
      </c>
      <c r="I133" s="1">
        <v>1</v>
      </c>
      <c r="J133" s="1">
        <v>5</v>
      </c>
      <c r="K133" s="1">
        <v>6</v>
      </c>
      <c r="L133" s="1">
        <v>2</v>
      </c>
      <c r="M133" s="1">
        <v>13</v>
      </c>
      <c r="N133" s="1">
        <v>15</v>
      </c>
      <c r="O133" s="1">
        <v>21</v>
      </c>
      <c r="P133">
        <v>0.62</v>
      </c>
      <c r="Q133">
        <v>0.40127946127946129</v>
      </c>
      <c r="R133">
        <v>5.3543478260869568E-2</v>
      </c>
    </row>
    <row r="134" spans="1:18">
      <c r="A134" s="1">
        <v>25</v>
      </c>
      <c r="B134" s="1">
        <v>0</v>
      </c>
      <c r="C134" s="1">
        <v>1</v>
      </c>
      <c r="D134" s="1">
        <v>1</v>
      </c>
      <c r="E134" s="1">
        <v>0</v>
      </c>
      <c r="F134" s="1">
        <v>10</v>
      </c>
      <c r="G134" s="1">
        <v>6</v>
      </c>
      <c r="H134" s="1">
        <v>2</v>
      </c>
      <c r="I134" s="1">
        <v>1</v>
      </c>
      <c r="J134" s="1">
        <v>4</v>
      </c>
      <c r="K134" s="1">
        <v>4</v>
      </c>
      <c r="L134" s="1">
        <v>2</v>
      </c>
      <c r="M134" s="1">
        <v>13</v>
      </c>
      <c r="N134" s="1">
        <v>15</v>
      </c>
      <c r="O134" s="1">
        <v>21</v>
      </c>
      <c r="P134">
        <v>0.54607142857142854</v>
      </c>
      <c r="Q134">
        <v>0.39653479236812572</v>
      </c>
      <c r="R134">
        <v>5.5317391304347825E-2</v>
      </c>
    </row>
    <row r="135" spans="1:18">
      <c r="A135" s="1">
        <v>26</v>
      </c>
      <c r="B135" s="1">
        <v>0</v>
      </c>
      <c r="C135" s="1">
        <v>1</v>
      </c>
      <c r="D135" s="1">
        <v>0</v>
      </c>
      <c r="E135" s="1">
        <v>0</v>
      </c>
      <c r="F135" s="1">
        <v>6</v>
      </c>
      <c r="G135" s="1">
        <v>6</v>
      </c>
      <c r="H135" s="1">
        <v>1</v>
      </c>
      <c r="I135" s="1">
        <v>1</v>
      </c>
      <c r="J135" s="1">
        <v>2</v>
      </c>
      <c r="K135" s="1">
        <v>2</v>
      </c>
      <c r="L135" s="1">
        <v>2</v>
      </c>
      <c r="M135" s="1">
        <v>13</v>
      </c>
      <c r="N135" s="1">
        <v>15</v>
      </c>
      <c r="O135" s="1">
        <v>21</v>
      </c>
      <c r="P135">
        <v>0.58214285714285707</v>
      </c>
      <c r="Q135">
        <v>0.39269921436588101</v>
      </c>
      <c r="R135">
        <v>5.2017391304347835E-2</v>
      </c>
    </row>
    <row r="136" spans="1:18">
      <c r="A136" s="1">
        <v>27</v>
      </c>
      <c r="B136" s="1">
        <v>1</v>
      </c>
      <c r="C136" s="1">
        <v>1</v>
      </c>
      <c r="D136" s="1">
        <v>0</v>
      </c>
      <c r="E136" s="1">
        <v>0</v>
      </c>
      <c r="F136" s="1">
        <v>9</v>
      </c>
      <c r="G136" s="1">
        <v>6</v>
      </c>
      <c r="H136" s="1">
        <v>2</v>
      </c>
      <c r="I136" s="1">
        <v>1</v>
      </c>
      <c r="J136" s="1">
        <v>3</v>
      </c>
      <c r="K136" s="1">
        <v>3</v>
      </c>
      <c r="L136" s="1">
        <v>2</v>
      </c>
      <c r="M136" s="1">
        <v>13</v>
      </c>
      <c r="N136" s="1">
        <v>15</v>
      </c>
      <c r="O136" s="1">
        <v>21</v>
      </c>
      <c r="P136">
        <v>0.27392857142857147</v>
      </c>
      <c r="Q136">
        <v>0.29249999999999998</v>
      </c>
      <c r="R136">
        <v>4.223043478260869E-2</v>
      </c>
    </row>
    <row r="137" spans="1:18">
      <c r="A137" s="1">
        <v>28</v>
      </c>
      <c r="B137" s="1">
        <v>1</v>
      </c>
      <c r="C137" s="1">
        <v>1</v>
      </c>
      <c r="D137" s="1">
        <v>0</v>
      </c>
      <c r="E137" s="1">
        <v>0</v>
      </c>
      <c r="F137" s="1">
        <v>7</v>
      </c>
      <c r="G137" s="1">
        <v>6</v>
      </c>
      <c r="H137" s="1">
        <v>2</v>
      </c>
      <c r="I137" s="1">
        <v>1</v>
      </c>
      <c r="J137" s="1">
        <v>3</v>
      </c>
      <c r="K137" s="1">
        <v>3</v>
      </c>
      <c r="L137" s="1">
        <v>2</v>
      </c>
      <c r="M137" s="1">
        <v>13</v>
      </c>
      <c r="N137" s="1">
        <v>15</v>
      </c>
      <c r="O137" s="1">
        <v>21</v>
      </c>
      <c r="P137">
        <v>0.56285714285714283</v>
      </c>
      <c r="Q137">
        <v>0.33593714927048252</v>
      </c>
      <c r="R137">
        <v>5.2239130434782621E-2</v>
      </c>
    </row>
    <row r="138" spans="1:18">
      <c r="A138" s="1">
        <v>29</v>
      </c>
      <c r="B138" s="1">
        <v>1</v>
      </c>
      <c r="C138" s="1">
        <v>1</v>
      </c>
      <c r="D138" s="1">
        <v>1</v>
      </c>
      <c r="E138" s="1">
        <v>0</v>
      </c>
      <c r="F138" s="1">
        <v>23</v>
      </c>
      <c r="G138" s="1">
        <v>18</v>
      </c>
      <c r="H138" s="1">
        <v>3</v>
      </c>
      <c r="I138" s="1">
        <v>1</v>
      </c>
      <c r="J138" s="1">
        <v>6</v>
      </c>
      <c r="K138" s="1">
        <v>7</v>
      </c>
      <c r="L138" s="1">
        <v>2</v>
      </c>
      <c r="M138" s="1">
        <v>13</v>
      </c>
      <c r="N138" s="1">
        <v>15</v>
      </c>
      <c r="O138" s="1">
        <v>21</v>
      </c>
      <c r="P138">
        <v>0.43178571428571438</v>
      </c>
      <c r="Q138">
        <v>0.37664702581369253</v>
      </c>
      <c r="R138">
        <v>5.079130434782609E-2</v>
      </c>
    </row>
    <row r="139" spans="1:18">
      <c r="A139" s="1">
        <v>30</v>
      </c>
      <c r="B139" s="1">
        <v>0</v>
      </c>
      <c r="C139" s="1">
        <v>1</v>
      </c>
      <c r="D139" s="1">
        <v>0</v>
      </c>
      <c r="E139" s="1">
        <v>0</v>
      </c>
      <c r="F139" s="1">
        <v>4</v>
      </c>
      <c r="G139" s="1">
        <v>6</v>
      </c>
      <c r="H139" s="1">
        <v>1</v>
      </c>
      <c r="I139" s="1">
        <v>1</v>
      </c>
      <c r="J139" s="1">
        <v>2</v>
      </c>
      <c r="K139" s="1">
        <v>2</v>
      </c>
      <c r="L139" s="1">
        <v>2</v>
      </c>
      <c r="M139" s="1">
        <v>13</v>
      </c>
      <c r="N139" s="1">
        <v>15</v>
      </c>
      <c r="O139" s="1">
        <v>21</v>
      </c>
      <c r="P139">
        <v>0.47499999999999998</v>
      </c>
      <c r="Q139">
        <v>0.3600841750841749</v>
      </c>
      <c r="R139">
        <v>5.9226086956521741E-2</v>
      </c>
    </row>
    <row r="140" spans="1:18">
      <c r="A140" s="1">
        <v>31</v>
      </c>
      <c r="B140" s="1">
        <v>1</v>
      </c>
      <c r="C140" s="1">
        <v>0</v>
      </c>
      <c r="D140" s="1">
        <v>0</v>
      </c>
      <c r="E140" s="1">
        <v>1</v>
      </c>
      <c r="F140" s="1">
        <v>3</v>
      </c>
      <c r="G140" s="1">
        <v>6</v>
      </c>
      <c r="H140" s="1">
        <v>1</v>
      </c>
      <c r="I140" s="1">
        <v>1</v>
      </c>
      <c r="J140" s="1">
        <v>1</v>
      </c>
      <c r="K140" s="1">
        <v>1</v>
      </c>
      <c r="L140" s="1">
        <v>2</v>
      </c>
      <c r="M140" s="1">
        <v>13</v>
      </c>
      <c r="N140" s="1">
        <v>15</v>
      </c>
      <c r="O140" s="1">
        <v>21</v>
      </c>
      <c r="P140">
        <v>0.58964285714285702</v>
      </c>
      <c r="Q140">
        <v>0.3644304152637487</v>
      </c>
      <c r="R140">
        <v>5.3939130434782635E-2</v>
      </c>
    </row>
    <row r="141" spans="1:18">
      <c r="A141" s="1">
        <v>32</v>
      </c>
      <c r="B141" s="1">
        <v>1</v>
      </c>
      <c r="C141" s="1">
        <v>1</v>
      </c>
      <c r="D141" s="1">
        <v>1</v>
      </c>
      <c r="E141" s="1">
        <v>1</v>
      </c>
      <c r="F141" s="1">
        <v>13</v>
      </c>
      <c r="G141" s="1">
        <v>6</v>
      </c>
      <c r="H141" s="1">
        <v>3</v>
      </c>
      <c r="I141" s="1">
        <v>1</v>
      </c>
      <c r="J141" s="1">
        <v>5</v>
      </c>
      <c r="K141" s="1">
        <v>5</v>
      </c>
      <c r="L141" s="1">
        <v>2</v>
      </c>
      <c r="M141" s="1">
        <v>13</v>
      </c>
      <c r="N141" s="1">
        <v>15</v>
      </c>
      <c r="O141" s="1">
        <v>21</v>
      </c>
      <c r="P141">
        <v>0.43142857142857149</v>
      </c>
      <c r="Q141">
        <v>0.3142312008978676</v>
      </c>
      <c r="R141">
        <v>4.7117391304347819E-2</v>
      </c>
    </row>
    <row r="142" spans="1:18">
      <c r="A142" s="1">
        <v>33</v>
      </c>
      <c r="B142" s="1">
        <v>0</v>
      </c>
      <c r="C142" s="1">
        <v>1</v>
      </c>
      <c r="D142" s="1">
        <v>1</v>
      </c>
      <c r="E142" s="1">
        <v>0</v>
      </c>
      <c r="F142" s="1">
        <v>12</v>
      </c>
      <c r="G142" s="1">
        <v>6</v>
      </c>
      <c r="H142" s="1">
        <v>2</v>
      </c>
      <c r="I142" s="1">
        <v>1</v>
      </c>
      <c r="J142" s="1">
        <v>4</v>
      </c>
      <c r="K142" s="1">
        <v>4</v>
      </c>
      <c r="L142" s="1">
        <v>2</v>
      </c>
      <c r="M142" s="1">
        <v>13</v>
      </c>
      <c r="N142" s="1">
        <v>15</v>
      </c>
      <c r="O142" s="1">
        <v>21</v>
      </c>
      <c r="P142">
        <v>0.16464285714285712</v>
      </c>
      <c r="Q142">
        <v>0.29039562289562293</v>
      </c>
      <c r="R142">
        <v>4.7256521739130454E-2</v>
      </c>
    </row>
    <row r="143" spans="1:18">
      <c r="A143" s="1">
        <v>34</v>
      </c>
      <c r="B143" s="1">
        <v>0</v>
      </c>
      <c r="C143" s="1">
        <v>1</v>
      </c>
      <c r="D143" s="1">
        <v>1</v>
      </c>
      <c r="E143" s="1">
        <v>1</v>
      </c>
      <c r="F143" s="1">
        <v>10</v>
      </c>
      <c r="G143" s="1">
        <v>6</v>
      </c>
      <c r="H143" s="1">
        <v>2</v>
      </c>
      <c r="I143" s="1">
        <v>1</v>
      </c>
      <c r="J143" s="1">
        <v>4</v>
      </c>
      <c r="K143" s="1">
        <v>4</v>
      </c>
      <c r="L143" s="1">
        <v>2</v>
      </c>
      <c r="M143" s="1">
        <v>13</v>
      </c>
      <c r="N143" s="1">
        <v>15</v>
      </c>
      <c r="O143" s="1">
        <v>21</v>
      </c>
      <c r="P143">
        <v>0.27214285714285719</v>
      </c>
      <c r="Q143">
        <v>0.2411054994388328</v>
      </c>
      <c r="R143">
        <v>4.7047826086956547E-2</v>
      </c>
    </row>
    <row r="144" spans="1:18">
      <c r="A144" s="1">
        <v>35</v>
      </c>
      <c r="B144" s="1">
        <v>1</v>
      </c>
      <c r="C144" s="1">
        <v>1</v>
      </c>
      <c r="D144" s="1">
        <v>0</v>
      </c>
      <c r="E144" s="1">
        <v>1</v>
      </c>
      <c r="F144" s="1">
        <v>8</v>
      </c>
      <c r="G144" s="1">
        <v>6</v>
      </c>
      <c r="H144" s="1">
        <v>2</v>
      </c>
      <c r="I144" s="1">
        <v>1</v>
      </c>
      <c r="J144" s="1">
        <v>3</v>
      </c>
      <c r="K144" s="1">
        <v>3</v>
      </c>
      <c r="L144" s="1">
        <v>2</v>
      </c>
      <c r="M144" s="1">
        <v>13</v>
      </c>
      <c r="N144" s="1">
        <v>15</v>
      </c>
      <c r="O144" s="1">
        <v>21</v>
      </c>
      <c r="P144">
        <v>0.57678571428571423</v>
      </c>
      <c r="Q144">
        <v>0.30454264870931558</v>
      </c>
      <c r="R144">
        <v>5.2443478260869564E-2</v>
      </c>
    </row>
    <row r="145" spans="1:18">
      <c r="A145" s="1">
        <v>36</v>
      </c>
      <c r="B145" s="1">
        <v>1</v>
      </c>
      <c r="C145" s="1">
        <v>1</v>
      </c>
      <c r="D145" s="1">
        <v>1</v>
      </c>
      <c r="E145" s="1">
        <v>1</v>
      </c>
      <c r="F145" s="1">
        <v>20</v>
      </c>
      <c r="G145" s="1">
        <v>18</v>
      </c>
      <c r="H145" s="1">
        <v>3</v>
      </c>
      <c r="I145" s="1">
        <v>1</v>
      </c>
      <c r="J145" s="1">
        <v>6</v>
      </c>
      <c r="K145" s="1">
        <v>7</v>
      </c>
      <c r="L145" s="1">
        <v>2</v>
      </c>
      <c r="M145" s="1">
        <v>13</v>
      </c>
      <c r="N145" s="1">
        <v>15</v>
      </c>
      <c r="O145" s="1">
        <v>21</v>
      </c>
      <c r="P145">
        <v>0.50285714285714278</v>
      </c>
      <c r="Q145">
        <v>0.38161616161616169</v>
      </c>
      <c r="R145">
        <v>4.9786956521739138E-2</v>
      </c>
    </row>
    <row r="146" spans="1:18">
      <c r="A146" s="1">
        <v>37</v>
      </c>
      <c r="B146" s="1">
        <v>1</v>
      </c>
      <c r="C146" s="1">
        <v>1</v>
      </c>
      <c r="D146" s="1">
        <v>1</v>
      </c>
      <c r="E146" s="1">
        <v>1</v>
      </c>
      <c r="F146" s="1">
        <v>23</v>
      </c>
      <c r="G146" s="1">
        <v>18</v>
      </c>
      <c r="H146" s="1">
        <v>3</v>
      </c>
      <c r="I146" s="1">
        <v>1</v>
      </c>
      <c r="J146" s="1">
        <v>6</v>
      </c>
      <c r="K146" s="1">
        <v>7</v>
      </c>
      <c r="L146" s="1">
        <v>2</v>
      </c>
      <c r="M146" s="1">
        <v>13</v>
      </c>
      <c r="N146" s="1">
        <v>15</v>
      </c>
      <c r="O146" s="1">
        <v>21</v>
      </c>
      <c r="P146">
        <v>0.36607142857142855</v>
      </c>
      <c r="Q146">
        <v>0.31868967452300789</v>
      </c>
      <c r="R146">
        <v>4.6652173913043458E-2</v>
      </c>
    </row>
    <row r="147" spans="1:18">
      <c r="A147" s="1">
        <v>38</v>
      </c>
      <c r="B147" s="1">
        <v>0</v>
      </c>
      <c r="C147" s="1">
        <v>1</v>
      </c>
      <c r="D147" s="1">
        <v>0</v>
      </c>
      <c r="E147" s="1">
        <v>1</v>
      </c>
      <c r="F147" s="1">
        <v>4</v>
      </c>
      <c r="G147" s="1">
        <v>6</v>
      </c>
      <c r="H147" s="1">
        <v>1</v>
      </c>
      <c r="I147" s="1">
        <v>1</v>
      </c>
      <c r="J147" s="1">
        <v>2</v>
      </c>
      <c r="K147" s="1">
        <v>2</v>
      </c>
      <c r="L147" s="1">
        <v>2</v>
      </c>
      <c r="M147" s="1">
        <v>13</v>
      </c>
      <c r="N147" s="1">
        <v>15</v>
      </c>
      <c r="O147" s="1">
        <v>21</v>
      </c>
      <c r="P147">
        <v>0.48357142857142854</v>
      </c>
      <c r="Q147">
        <v>0.40576318742985412</v>
      </c>
      <c r="R147">
        <v>4.9973913043478244E-2</v>
      </c>
    </row>
    <row r="148" spans="1:18">
      <c r="A148" s="1">
        <v>39</v>
      </c>
      <c r="B148" s="1">
        <v>1</v>
      </c>
      <c r="C148" s="1">
        <v>1</v>
      </c>
      <c r="D148" s="1">
        <v>1</v>
      </c>
      <c r="E148" s="1">
        <v>1</v>
      </c>
      <c r="F148" s="1">
        <v>22</v>
      </c>
      <c r="G148" s="1">
        <v>18</v>
      </c>
      <c r="H148" s="1">
        <v>3</v>
      </c>
      <c r="I148" s="1">
        <v>1</v>
      </c>
      <c r="J148" s="1">
        <v>6</v>
      </c>
      <c r="K148" s="1">
        <v>7</v>
      </c>
      <c r="L148" s="1">
        <v>2</v>
      </c>
      <c r="M148" s="1">
        <v>13</v>
      </c>
      <c r="N148" s="1">
        <v>15</v>
      </c>
      <c r="O148" s="1">
        <v>21</v>
      </c>
      <c r="P148">
        <v>0.44107142857142861</v>
      </c>
      <c r="Q148">
        <v>0.38647306397306397</v>
      </c>
      <c r="R148">
        <v>4.0821739130434798E-2</v>
      </c>
    </row>
    <row r="149" spans="1:18">
      <c r="A149" s="1">
        <v>40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</v>
      </c>
      <c r="J149" s="1">
        <v>0</v>
      </c>
      <c r="K149" s="1">
        <v>0</v>
      </c>
      <c r="L149" s="1">
        <v>2</v>
      </c>
      <c r="M149" s="1">
        <v>13</v>
      </c>
      <c r="N149" s="1">
        <v>15</v>
      </c>
      <c r="O149" s="1">
        <v>21</v>
      </c>
      <c r="P149">
        <v>0.32</v>
      </c>
      <c r="Q149">
        <v>0.22809203142536472</v>
      </c>
      <c r="R149">
        <v>4.4417391304347839E-2</v>
      </c>
    </row>
    <row r="150" spans="1:18">
      <c r="A150" s="1">
        <v>41</v>
      </c>
      <c r="B150" s="1">
        <v>1</v>
      </c>
      <c r="C150" s="1">
        <v>1</v>
      </c>
      <c r="D150" s="1">
        <v>0</v>
      </c>
      <c r="E150" s="1">
        <v>1</v>
      </c>
      <c r="F150" s="1">
        <v>9</v>
      </c>
      <c r="G150" s="1">
        <v>6</v>
      </c>
      <c r="H150" s="1">
        <v>2</v>
      </c>
      <c r="I150" s="1">
        <v>1</v>
      </c>
      <c r="J150" s="1">
        <v>3</v>
      </c>
      <c r="K150" s="1">
        <v>3</v>
      </c>
      <c r="L150" s="1">
        <v>2</v>
      </c>
      <c r="M150" s="1">
        <v>13</v>
      </c>
      <c r="N150" s="1">
        <v>15</v>
      </c>
      <c r="O150" s="1">
        <v>21</v>
      </c>
      <c r="P150">
        <v>0.44892857142857145</v>
      </c>
      <c r="Q150">
        <v>0.33607463524130199</v>
      </c>
      <c r="R150">
        <v>4.8891304347826098E-2</v>
      </c>
    </row>
    <row r="151" spans="1:18">
      <c r="A151" s="1">
        <v>42</v>
      </c>
      <c r="B151" s="1">
        <v>0</v>
      </c>
      <c r="C151" s="1">
        <v>0</v>
      </c>
      <c r="D151" s="1">
        <v>0</v>
      </c>
      <c r="E151" s="1">
        <v>1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2</v>
      </c>
      <c r="M151" s="1">
        <v>13</v>
      </c>
      <c r="N151" s="1">
        <v>15</v>
      </c>
      <c r="O151" s="1">
        <v>21</v>
      </c>
      <c r="P151">
        <v>0.20071428571428562</v>
      </c>
      <c r="Q151">
        <v>0.19042087542087527</v>
      </c>
      <c r="R151">
        <v>4.6226086956521743E-2</v>
      </c>
    </row>
    <row r="152" spans="1:18">
      <c r="A152" s="1">
        <v>43</v>
      </c>
      <c r="B152" s="1">
        <v>1</v>
      </c>
      <c r="C152" s="1">
        <v>1</v>
      </c>
      <c r="D152" s="1">
        <v>0</v>
      </c>
      <c r="E152" s="1">
        <v>1</v>
      </c>
      <c r="F152" s="1">
        <v>7</v>
      </c>
      <c r="G152" s="1">
        <v>6</v>
      </c>
      <c r="H152" s="1">
        <v>2</v>
      </c>
      <c r="I152" s="1">
        <v>1</v>
      </c>
      <c r="J152" s="1">
        <v>3</v>
      </c>
      <c r="K152" s="1">
        <v>3</v>
      </c>
      <c r="L152" s="1">
        <v>2</v>
      </c>
      <c r="M152" s="1">
        <v>13</v>
      </c>
      <c r="N152" s="1">
        <v>15</v>
      </c>
      <c r="O152" s="1">
        <v>21</v>
      </c>
      <c r="P152">
        <v>0.43678571428571444</v>
      </c>
      <c r="Q152">
        <v>0.32658529741863079</v>
      </c>
      <c r="R152">
        <v>5.0421739130434781E-2</v>
      </c>
    </row>
    <row r="153" spans="1:18">
      <c r="A153" s="1">
        <v>44</v>
      </c>
      <c r="B153" s="1">
        <v>0</v>
      </c>
      <c r="C153" s="1">
        <v>1</v>
      </c>
      <c r="D153" s="1">
        <v>0</v>
      </c>
      <c r="E153" s="1">
        <v>0</v>
      </c>
      <c r="F153" s="1">
        <v>5</v>
      </c>
      <c r="G153" s="1">
        <v>6</v>
      </c>
      <c r="H153" s="1">
        <v>1</v>
      </c>
      <c r="I153" s="1">
        <v>1</v>
      </c>
      <c r="J153" s="1">
        <v>2</v>
      </c>
      <c r="K153" s="1">
        <v>2</v>
      </c>
      <c r="L153" s="1">
        <v>2</v>
      </c>
      <c r="M153" s="1">
        <v>13</v>
      </c>
      <c r="N153" s="1">
        <v>15</v>
      </c>
      <c r="O153" s="1">
        <v>21</v>
      </c>
      <c r="P153">
        <v>0.16</v>
      </c>
      <c r="Q153">
        <v>0.2427497194163859</v>
      </c>
      <c r="R153">
        <v>5.6134782608695658E-2</v>
      </c>
    </row>
    <row r="154" spans="1:18">
      <c r="A154" s="1">
        <v>45</v>
      </c>
      <c r="B154" s="1">
        <v>0</v>
      </c>
      <c r="C154" s="1">
        <v>1</v>
      </c>
      <c r="D154" s="1">
        <v>0</v>
      </c>
      <c r="E154" s="1">
        <v>1</v>
      </c>
      <c r="F154" s="1">
        <v>5</v>
      </c>
      <c r="G154" s="1">
        <v>6</v>
      </c>
      <c r="H154" s="1">
        <v>1</v>
      </c>
      <c r="I154" s="1">
        <v>1</v>
      </c>
      <c r="J154" s="1">
        <v>2</v>
      </c>
      <c r="K154" s="1">
        <v>2</v>
      </c>
      <c r="L154" s="1">
        <v>2</v>
      </c>
      <c r="M154" s="1">
        <v>13</v>
      </c>
      <c r="N154" s="1">
        <v>15</v>
      </c>
      <c r="O154" s="1">
        <v>21</v>
      </c>
      <c r="P154">
        <v>0.43178571428571438</v>
      </c>
      <c r="Q154">
        <v>0.26800505050505063</v>
      </c>
      <c r="R154">
        <v>4.9747826086956506E-2</v>
      </c>
    </row>
    <row r="155" spans="1:18">
      <c r="A155" s="1">
        <v>46</v>
      </c>
      <c r="B155" s="1">
        <v>0</v>
      </c>
      <c r="C155" s="1">
        <v>1</v>
      </c>
      <c r="D155" s="1">
        <v>0</v>
      </c>
      <c r="E155" s="1">
        <v>1</v>
      </c>
      <c r="F155" s="1">
        <v>6</v>
      </c>
      <c r="G155" s="1">
        <v>6</v>
      </c>
      <c r="H155" s="1">
        <v>1</v>
      </c>
      <c r="I155" s="1">
        <v>1</v>
      </c>
      <c r="J155" s="1">
        <v>2</v>
      </c>
      <c r="K155" s="1">
        <v>2</v>
      </c>
      <c r="L155" s="1">
        <v>2</v>
      </c>
      <c r="M155" s="1">
        <v>13</v>
      </c>
      <c r="N155" s="1">
        <v>15</v>
      </c>
      <c r="O155" s="1">
        <v>21</v>
      </c>
      <c r="P155">
        <v>0.40357142857142847</v>
      </c>
      <c r="Q155">
        <v>0.30598765432098757</v>
      </c>
      <c r="R155">
        <v>4.682608695652174E-2</v>
      </c>
    </row>
    <row r="156" spans="1:18">
      <c r="A156" s="1">
        <v>47</v>
      </c>
      <c r="B156" s="1">
        <v>1</v>
      </c>
      <c r="C156" s="1">
        <v>1</v>
      </c>
      <c r="D156" s="1">
        <v>1</v>
      </c>
      <c r="E156" s="1">
        <v>1</v>
      </c>
      <c r="F156" s="1">
        <v>16</v>
      </c>
      <c r="G156" s="1">
        <v>6</v>
      </c>
      <c r="H156" s="1">
        <v>3</v>
      </c>
      <c r="I156" s="1">
        <v>1</v>
      </c>
      <c r="J156" s="1">
        <v>5</v>
      </c>
      <c r="K156" s="1">
        <v>6</v>
      </c>
      <c r="L156" s="1">
        <v>2</v>
      </c>
      <c r="M156" s="1">
        <v>13</v>
      </c>
      <c r="N156" s="1">
        <v>15</v>
      </c>
      <c r="O156" s="1">
        <v>21</v>
      </c>
      <c r="P156">
        <v>0.57821428571428568</v>
      </c>
      <c r="Q156">
        <v>0.41306116722783398</v>
      </c>
      <c r="R156">
        <v>5.121739130434784E-2</v>
      </c>
    </row>
    <row r="157" spans="1:18">
      <c r="A157" s="1">
        <v>48</v>
      </c>
      <c r="B157" s="1">
        <v>0</v>
      </c>
      <c r="C157" s="1">
        <v>1</v>
      </c>
      <c r="D157" s="1">
        <v>1</v>
      </c>
      <c r="E157" s="1">
        <v>1</v>
      </c>
      <c r="F157" s="1">
        <v>12</v>
      </c>
      <c r="G157" s="1">
        <v>6</v>
      </c>
      <c r="H157" s="1">
        <v>2</v>
      </c>
      <c r="I157" s="1">
        <v>1</v>
      </c>
      <c r="J157" s="1">
        <v>4</v>
      </c>
      <c r="K157" s="1">
        <v>4</v>
      </c>
      <c r="L157" s="1">
        <v>2</v>
      </c>
      <c r="M157" s="1">
        <v>13</v>
      </c>
      <c r="N157" s="1">
        <v>15</v>
      </c>
      <c r="O157" s="1">
        <v>21</v>
      </c>
      <c r="P157">
        <v>0.18</v>
      </c>
      <c r="Q157">
        <v>0.18922558922558921</v>
      </c>
      <c r="R157">
        <v>4.1856521739130452E-2</v>
      </c>
    </row>
    <row r="158" spans="1:18">
      <c r="A158" s="1">
        <v>49</v>
      </c>
      <c r="B158" s="1">
        <v>1</v>
      </c>
      <c r="C158" s="1">
        <v>0</v>
      </c>
      <c r="D158" s="1">
        <v>0</v>
      </c>
      <c r="E158" s="1">
        <v>1</v>
      </c>
      <c r="F158" s="1">
        <v>2</v>
      </c>
      <c r="G158" s="1">
        <v>6</v>
      </c>
      <c r="H158" s="1">
        <v>1</v>
      </c>
      <c r="I158" s="1">
        <v>1</v>
      </c>
      <c r="J158" s="1">
        <v>1</v>
      </c>
      <c r="K158" s="1">
        <v>1</v>
      </c>
      <c r="L158" s="1">
        <v>2</v>
      </c>
      <c r="M158" s="1">
        <v>13</v>
      </c>
      <c r="N158" s="1">
        <v>15</v>
      </c>
      <c r="O158" s="1">
        <v>21</v>
      </c>
      <c r="P158">
        <v>0.53035714285714286</v>
      </c>
      <c r="Q158">
        <v>0.28902637485970817</v>
      </c>
      <c r="R158">
        <v>5.2313043478260865E-2</v>
      </c>
    </row>
    <row r="159" spans="1:18">
      <c r="A159" s="1">
        <v>50</v>
      </c>
      <c r="B159" s="1">
        <v>1</v>
      </c>
      <c r="C159" s="1">
        <v>1</v>
      </c>
      <c r="D159" s="1">
        <v>1</v>
      </c>
      <c r="E159" s="1">
        <v>1</v>
      </c>
      <c r="F159" s="1">
        <v>17</v>
      </c>
      <c r="G159" s="1">
        <v>6</v>
      </c>
      <c r="H159" s="1">
        <v>3</v>
      </c>
      <c r="I159" s="1">
        <v>1</v>
      </c>
      <c r="J159" s="1">
        <v>5</v>
      </c>
      <c r="K159" s="1">
        <v>6</v>
      </c>
      <c r="L159" s="1">
        <v>2</v>
      </c>
      <c r="M159" s="1">
        <v>13</v>
      </c>
      <c r="N159" s="1">
        <v>15</v>
      </c>
      <c r="O159" s="1">
        <v>21</v>
      </c>
      <c r="P159">
        <v>0.41071428571428548</v>
      </c>
      <c r="Q159">
        <v>0.29700897867564519</v>
      </c>
      <c r="R159">
        <v>4.5478260869565211E-2</v>
      </c>
    </row>
    <row r="160" spans="1:18">
      <c r="A160" s="1">
        <v>51</v>
      </c>
      <c r="B160" s="1">
        <v>0</v>
      </c>
      <c r="C160" s="1">
        <v>1</v>
      </c>
      <c r="D160" s="1">
        <v>1</v>
      </c>
      <c r="E160" s="1">
        <v>0</v>
      </c>
      <c r="F160" s="1">
        <v>11</v>
      </c>
      <c r="G160" s="1">
        <v>6</v>
      </c>
      <c r="H160" s="1">
        <v>2</v>
      </c>
      <c r="I160" s="1">
        <v>1</v>
      </c>
      <c r="J160" s="1">
        <v>4</v>
      </c>
      <c r="K160" s="1">
        <v>4</v>
      </c>
      <c r="L160" s="1">
        <v>2</v>
      </c>
      <c r="M160" s="1">
        <v>13</v>
      </c>
      <c r="N160" s="1">
        <v>15</v>
      </c>
      <c r="O160" s="1">
        <v>21</v>
      </c>
      <c r="P160">
        <v>0.63821428571428584</v>
      </c>
      <c r="Q160">
        <v>0.33953703703703703</v>
      </c>
      <c r="R160">
        <v>5.0321739130434785E-2</v>
      </c>
    </row>
    <row r="161" spans="1:18">
      <c r="A161" s="1">
        <v>52</v>
      </c>
      <c r="B161" s="1">
        <v>0</v>
      </c>
      <c r="C161" s="1">
        <v>1</v>
      </c>
      <c r="D161" s="1">
        <v>1</v>
      </c>
      <c r="E161" s="1">
        <v>1</v>
      </c>
      <c r="F161" s="1">
        <v>11</v>
      </c>
      <c r="G161" s="1">
        <v>6</v>
      </c>
      <c r="H161" s="1">
        <v>2</v>
      </c>
      <c r="I161" s="1">
        <v>1</v>
      </c>
      <c r="J161" s="1">
        <v>4</v>
      </c>
      <c r="K161" s="1">
        <v>4</v>
      </c>
      <c r="L161" s="1">
        <v>2</v>
      </c>
      <c r="M161" s="1">
        <v>13</v>
      </c>
      <c r="N161" s="1">
        <v>15</v>
      </c>
      <c r="O161" s="1">
        <v>21</v>
      </c>
      <c r="P161">
        <v>0.34285714285714303</v>
      </c>
      <c r="Q161">
        <v>0.24297418630751955</v>
      </c>
      <c r="R161">
        <v>5.7760869565217393E-2</v>
      </c>
    </row>
    <row r="162" spans="1:18">
      <c r="A162" s="1">
        <v>53</v>
      </c>
      <c r="B162" s="1">
        <v>1</v>
      </c>
      <c r="C162" s="1">
        <v>1</v>
      </c>
      <c r="D162" s="1">
        <v>1</v>
      </c>
      <c r="E162" s="1">
        <v>1</v>
      </c>
      <c r="F162" s="1">
        <v>15</v>
      </c>
      <c r="G162" s="1">
        <v>6</v>
      </c>
      <c r="H162" s="1">
        <v>3</v>
      </c>
      <c r="I162" s="1">
        <v>1</v>
      </c>
      <c r="J162" s="1">
        <v>5</v>
      </c>
      <c r="K162" s="1">
        <v>5</v>
      </c>
      <c r="L162" s="1">
        <v>2</v>
      </c>
      <c r="M162" s="1">
        <v>13</v>
      </c>
      <c r="N162" s="1">
        <v>15</v>
      </c>
      <c r="O162" s="1">
        <v>21</v>
      </c>
      <c r="P162">
        <v>0.36892857142857138</v>
      </c>
      <c r="Q162">
        <v>0.39913860830527492</v>
      </c>
      <c r="R162">
        <v>4.8882608695652148E-2</v>
      </c>
    </row>
    <row r="163" spans="1:18">
      <c r="A163" s="1">
        <v>54</v>
      </c>
      <c r="B163" s="1">
        <v>1</v>
      </c>
      <c r="C163" s="1">
        <v>1</v>
      </c>
      <c r="D163" s="1">
        <v>1</v>
      </c>
      <c r="E163" s="1">
        <v>1</v>
      </c>
      <c r="F163" s="1">
        <v>19</v>
      </c>
      <c r="G163" s="1">
        <v>6</v>
      </c>
      <c r="H163" s="1">
        <v>3</v>
      </c>
      <c r="I163" s="1">
        <v>1</v>
      </c>
      <c r="J163" s="1">
        <v>5</v>
      </c>
      <c r="K163" s="1">
        <v>6</v>
      </c>
      <c r="L163" s="1">
        <v>2</v>
      </c>
      <c r="M163" s="1">
        <v>13</v>
      </c>
      <c r="N163" s="1">
        <v>15</v>
      </c>
      <c r="O163" s="1">
        <v>21</v>
      </c>
      <c r="P163">
        <v>0.52357142857142869</v>
      </c>
      <c r="Q163">
        <v>0.37621212121212122</v>
      </c>
      <c r="R163">
        <v>4.4913043478260868E-2</v>
      </c>
    </row>
    <row r="164" spans="1:18">
      <c r="A164" s="1">
        <v>55</v>
      </c>
      <c r="B164" s="1">
        <v>0</v>
      </c>
      <c r="C164" s="1">
        <v>1</v>
      </c>
      <c r="D164" s="1">
        <v>1</v>
      </c>
      <c r="E164" s="1">
        <v>0</v>
      </c>
      <c r="F164" s="1">
        <v>11</v>
      </c>
      <c r="G164" s="1">
        <v>6</v>
      </c>
      <c r="H164" s="1">
        <v>2</v>
      </c>
      <c r="I164" s="1">
        <v>2</v>
      </c>
      <c r="J164" s="1">
        <v>4</v>
      </c>
      <c r="K164" s="1">
        <v>4</v>
      </c>
      <c r="L164" s="1">
        <v>2</v>
      </c>
      <c r="M164" s="1">
        <v>13</v>
      </c>
      <c r="N164" s="1">
        <v>15</v>
      </c>
      <c r="O164" s="1">
        <v>21</v>
      </c>
      <c r="P164">
        <v>0.22964285714285701</v>
      </c>
      <c r="Q164">
        <v>0.37237654320987645</v>
      </c>
      <c r="R164">
        <v>5.182608695652173E-2</v>
      </c>
    </row>
    <row r="165" spans="1:18">
      <c r="A165" s="1">
        <v>56</v>
      </c>
      <c r="B165" s="1">
        <v>0</v>
      </c>
      <c r="C165" s="1">
        <v>1</v>
      </c>
      <c r="D165" s="1">
        <v>1</v>
      </c>
      <c r="E165" s="1">
        <v>0</v>
      </c>
      <c r="F165" s="1">
        <v>10</v>
      </c>
      <c r="G165" s="1">
        <v>6</v>
      </c>
      <c r="H165" s="1">
        <v>2</v>
      </c>
      <c r="I165" s="1">
        <v>2</v>
      </c>
      <c r="J165" s="1">
        <v>4</v>
      </c>
      <c r="K165" s="1">
        <v>4</v>
      </c>
      <c r="L165" s="1">
        <v>2</v>
      </c>
      <c r="M165" s="1">
        <v>13</v>
      </c>
      <c r="N165" s="1">
        <v>15</v>
      </c>
      <c r="O165" s="1">
        <v>21</v>
      </c>
      <c r="P165">
        <v>0.15428571428571417</v>
      </c>
      <c r="Q165">
        <v>0.1230864197530864</v>
      </c>
      <c r="R165">
        <v>4.2539130434782614E-2</v>
      </c>
    </row>
    <row r="166" spans="1:18">
      <c r="A166" s="1">
        <v>57</v>
      </c>
      <c r="B166" s="1">
        <v>1</v>
      </c>
      <c r="C166" s="1">
        <v>1</v>
      </c>
      <c r="D166" s="1">
        <v>1</v>
      </c>
      <c r="E166" s="1">
        <v>0</v>
      </c>
      <c r="F166" s="1">
        <v>20</v>
      </c>
      <c r="G166" s="1">
        <v>18</v>
      </c>
      <c r="H166" s="1">
        <v>3</v>
      </c>
      <c r="I166" s="1">
        <v>2</v>
      </c>
      <c r="J166" s="1">
        <v>6</v>
      </c>
      <c r="K166" s="1">
        <v>7</v>
      </c>
      <c r="L166" s="1">
        <v>2</v>
      </c>
      <c r="M166" s="1">
        <v>13</v>
      </c>
      <c r="N166" s="1">
        <v>15</v>
      </c>
      <c r="O166" s="1">
        <v>21</v>
      </c>
      <c r="P166">
        <v>0.49178571428571416</v>
      </c>
      <c r="Q166">
        <v>0.31015993265993252</v>
      </c>
      <c r="R166">
        <v>4.8400000000000019E-2</v>
      </c>
    </row>
    <row r="167" spans="1:18">
      <c r="A167" s="1">
        <v>58</v>
      </c>
      <c r="B167" s="1">
        <v>1</v>
      </c>
      <c r="C167" s="1">
        <v>1</v>
      </c>
      <c r="D167" s="1">
        <v>1</v>
      </c>
      <c r="E167" s="1">
        <v>0</v>
      </c>
      <c r="F167" s="1">
        <v>25</v>
      </c>
      <c r="G167" s="1">
        <v>18</v>
      </c>
      <c r="H167" s="1">
        <v>3</v>
      </c>
      <c r="I167" s="1">
        <v>2</v>
      </c>
      <c r="J167" s="1">
        <v>6</v>
      </c>
      <c r="K167" s="1">
        <v>7</v>
      </c>
      <c r="L167" s="1">
        <v>2</v>
      </c>
      <c r="M167" s="1">
        <v>13</v>
      </c>
      <c r="N167" s="1">
        <v>15</v>
      </c>
      <c r="O167" s="1">
        <v>21</v>
      </c>
      <c r="P167">
        <v>0.56499999999999995</v>
      </c>
      <c r="Q167">
        <v>0.33177890011223338</v>
      </c>
      <c r="R167">
        <v>5.9799999999999999E-2</v>
      </c>
    </row>
    <row r="168" spans="1:18">
      <c r="A168" s="1">
        <v>59</v>
      </c>
      <c r="B168" s="1">
        <v>1</v>
      </c>
      <c r="C168" s="1">
        <v>1</v>
      </c>
      <c r="D168" s="1">
        <v>1</v>
      </c>
      <c r="E168" s="1">
        <v>0</v>
      </c>
      <c r="F168" s="1">
        <v>17</v>
      </c>
      <c r="G168" s="1">
        <v>6</v>
      </c>
      <c r="H168" s="1">
        <v>3</v>
      </c>
      <c r="I168" s="1">
        <v>2</v>
      </c>
      <c r="J168" s="1">
        <v>5</v>
      </c>
      <c r="K168" s="1">
        <v>6</v>
      </c>
      <c r="L168" s="1">
        <v>2</v>
      </c>
      <c r="M168" s="1">
        <v>13</v>
      </c>
      <c r="N168" s="1">
        <v>15</v>
      </c>
      <c r="O168" s="1">
        <v>21</v>
      </c>
      <c r="P168">
        <v>0.46821428571428569</v>
      </c>
      <c r="Q168">
        <v>0.34794332210998874</v>
      </c>
      <c r="R168">
        <v>4.9021739130434783E-2</v>
      </c>
    </row>
    <row r="169" spans="1:18">
      <c r="A169" s="1">
        <v>60</v>
      </c>
      <c r="B169" s="1">
        <v>1</v>
      </c>
      <c r="C169" s="1">
        <v>1</v>
      </c>
      <c r="D169" s="1">
        <v>1</v>
      </c>
      <c r="E169" s="1">
        <v>0</v>
      </c>
      <c r="F169" s="1">
        <v>23</v>
      </c>
      <c r="G169" s="1">
        <v>18</v>
      </c>
      <c r="H169" s="1">
        <v>3</v>
      </c>
      <c r="I169" s="1">
        <v>2</v>
      </c>
      <c r="J169" s="1">
        <v>6</v>
      </c>
      <c r="K169" s="1">
        <v>7</v>
      </c>
      <c r="L169" s="1">
        <v>2</v>
      </c>
      <c r="M169" s="1">
        <v>13</v>
      </c>
      <c r="N169" s="1">
        <v>15</v>
      </c>
      <c r="O169" s="1">
        <v>21</v>
      </c>
      <c r="P169">
        <v>0.53857142857142848</v>
      </c>
      <c r="Q169">
        <v>0.34319865319865334</v>
      </c>
      <c r="R169">
        <v>4.6413043478260863E-2</v>
      </c>
    </row>
    <row r="170" spans="1:18">
      <c r="A170" s="1">
        <v>61</v>
      </c>
      <c r="B170" s="1">
        <v>0</v>
      </c>
      <c r="C170" s="1">
        <v>1</v>
      </c>
      <c r="D170" s="1">
        <v>0</v>
      </c>
      <c r="E170" s="1">
        <v>0</v>
      </c>
      <c r="F170" s="1">
        <v>6</v>
      </c>
      <c r="G170" s="1">
        <v>6</v>
      </c>
      <c r="H170" s="1">
        <v>1</v>
      </c>
      <c r="I170" s="1">
        <v>2</v>
      </c>
      <c r="J170" s="1">
        <v>2</v>
      </c>
      <c r="K170" s="1">
        <v>2</v>
      </c>
      <c r="L170" s="1">
        <v>2</v>
      </c>
      <c r="M170" s="1">
        <v>13</v>
      </c>
      <c r="N170" s="1">
        <v>15</v>
      </c>
      <c r="O170" s="1">
        <v>21</v>
      </c>
      <c r="P170">
        <v>0.54178571428571409</v>
      </c>
      <c r="Q170">
        <v>0.31118125701459043</v>
      </c>
      <c r="R170">
        <v>4.4547826086956538E-2</v>
      </c>
    </row>
    <row r="171" spans="1:18">
      <c r="A171" s="1">
        <v>62</v>
      </c>
      <c r="B171" s="1">
        <v>0</v>
      </c>
      <c r="C171" s="1">
        <v>1</v>
      </c>
      <c r="D171" s="1">
        <v>0</v>
      </c>
      <c r="E171" s="1">
        <v>0</v>
      </c>
      <c r="F171" s="1">
        <v>5</v>
      </c>
      <c r="G171" s="1">
        <v>6</v>
      </c>
      <c r="H171" s="1">
        <v>1</v>
      </c>
      <c r="I171" s="1">
        <v>2</v>
      </c>
      <c r="J171" s="1">
        <v>2</v>
      </c>
      <c r="K171" s="1">
        <v>2</v>
      </c>
      <c r="L171" s="1">
        <v>2</v>
      </c>
      <c r="M171" s="1">
        <v>13</v>
      </c>
      <c r="N171" s="1">
        <v>15</v>
      </c>
      <c r="O171" s="1">
        <v>21</v>
      </c>
      <c r="P171">
        <v>0.69499999999999995</v>
      </c>
      <c r="Q171">
        <v>0.3128002244668911</v>
      </c>
      <c r="R171">
        <v>5.7508695652173904E-2</v>
      </c>
    </row>
    <row r="172" spans="1:18">
      <c r="A172" s="1">
        <v>63</v>
      </c>
      <c r="B172" s="1">
        <v>0</v>
      </c>
      <c r="C172" s="1">
        <v>1</v>
      </c>
      <c r="D172" s="1">
        <v>0</v>
      </c>
      <c r="E172" s="1">
        <v>1</v>
      </c>
      <c r="F172" s="1">
        <v>5</v>
      </c>
      <c r="G172" s="1">
        <v>6</v>
      </c>
      <c r="H172" s="1">
        <v>1</v>
      </c>
      <c r="I172" s="1">
        <v>2</v>
      </c>
      <c r="J172" s="1">
        <v>2</v>
      </c>
      <c r="K172" s="1">
        <v>2</v>
      </c>
      <c r="L172" s="1">
        <v>2</v>
      </c>
      <c r="M172" s="1">
        <v>13</v>
      </c>
      <c r="N172" s="1">
        <v>15</v>
      </c>
      <c r="O172" s="1">
        <v>21</v>
      </c>
      <c r="P172">
        <v>0.45535714285714263</v>
      </c>
      <c r="Q172">
        <v>0.33896464646464658</v>
      </c>
      <c r="R172">
        <v>4.0369565217391309E-2</v>
      </c>
    </row>
    <row r="173" spans="1:18">
      <c r="A173" s="1">
        <v>64</v>
      </c>
      <c r="B173" s="1">
        <v>1</v>
      </c>
      <c r="C173" s="1">
        <v>1</v>
      </c>
      <c r="D173" s="1">
        <v>0</v>
      </c>
      <c r="E173" s="1">
        <v>0</v>
      </c>
      <c r="F173" s="1">
        <v>9</v>
      </c>
      <c r="G173" s="1">
        <v>6</v>
      </c>
      <c r="H173" s="1">
        <v>2</v>
      </c>
      <c r="I173" s="1">
        <v>2</v>
      </c>
      <c r="J173" s="1">
        <v>3</v>
      </c>
      <c r="K173" s="1">
        <v>3</v>
      </c>
      <c r="L173" s="1">
        <v>2</v>
      </c>
      <c r="M173" s="1">
        <v>13</v>
      </c>
      <c r="N173" s="1">
        <v>15</v>
      </c>
      <c r="O173" s="1">
        <v>21</v>
      </c>
      <c r="P173">
        <v>0.64</v>
      </c>
      <c r="Q173">
        <v>0.47785634118967463</v>
      </c>
      <c r="R173">
        <v>4.0260869565217398E-2</v>
      </c>
    </row>
    <row r="174" spans="1:18">
      <c r="A174" s="1">
        <v>65</v>
      </c>
      <c r="B174" s="1">
        <v>1</v>
      </c>
      <c r="C174" s="1">
        <v>1</v>
      </c>
      <c r="D174" s="1">
        <v>1</v>
      </c>
      <c r="E174" s="1">
        <v>0</v>
      </c>
      <c r="F174" s="1">
        <v>15</v>
      </c>
      <c r="G174" s="1">
        <v>6</v>
      </c>
      <c r="H174" s="1">
        <v>3</v>
      </c>
      <c r="I174" s="1">
        <v>2</v>
      </c>
      <c r="J174" s="1">
        <v>5</v>
      </c>
      <c r="K174" s="1">
        <v>5</v>
      </c>
      <c r="L174" s="1">
        <v>2</v>
      </c>
      <c r="M174" s="1">
        <v>13</v>
      </c>
      <c r="N174" s="1">
        <v>15</v>
      </c>
      <c r="O174" s="1">
        <v>21</v>
      </c>
      <c r="P174">
        <v>0.25607142857142851</v>
      </c>
      <c r="Q174">
        <v>0.27402076318742991</v>
      </c>
      <c r="R174">
        <v>3.837826086956523E-2</v>
      </c>
    </row>
    <row r="175" spans="1:18">
      <c r="A175" s="1">
        <v>66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2</v>
      </c>
      <c r="J175" s="1">
        <v>0</v>
      </c>
      <c r="K175" s="1">
        <v>0</v>
      </c>
      <c r="L175" s="1">
        <v>2</v>
      </c>
      <c r="M175" s="1">
        <v>13</v>
      </c>
      <c r="N175" s="1">
        <v>15</v>
      </c>
      <c r="O175" s="1">
        <v>21</v>
      </c>
      <c r="P175">
        <v>0.48071428571428576</v>
      </c>
      <c r="Q175">
        <v>0.31382154882154883</v>
      </c>
      <c r="R175">
        <v>4.0347826086956536E-2</v>
      </c>
    </row>
    <row r="176" spans="1:18">
      <c r="A176" s="1">
        <v>67</v>
      </c>
      <c r="B176" s="1">
        <v>1</v>
      </c>
      <c r="C176" s="1">
        <v>1</v>
      </c>
      <c r="D176" s="1">
        <v>1</v>
      </c>
      <c r="E176" s="1">
        <v>0</v>
      </c>
      <c r="F176" s="1">
        <v>18</v>
      </c>
      <c r="G176" s="1">
        <v>6</v>
      </c>
      <c r="H176" s="1">
        <v>3</v>
      </c>
      <c r="I176" s="1">
        <v>2</v>
      </c>
      <c r="J176" s="1">
        <v>5</v>
      </c>
      <c r="K176" s="1">
        <v>6</v>
      </c>
      <c r="L176" s="1">
        <v>2</v>
      </c>
      <c r="M176" s="1">
        <v>13</v>
      </c>
      <c r="N176" s="1">
        <v>15</v>
      </c>
      <c r="O176" s="1">
        <v>21</v>
      </c>
      <c r="P176">
        <v>0.50821428571428562</v>
      </c>
      <c r="Q176">
        <v>0.30998597081930418</v>
      </c>
      <c r="R176">
        <v>4.4730434782608693E-2</v>
      </c>
    </row>
    <row r="177" spans="1:18">
      <c r="A177" s="1">
        <v>68</v>
      </c>
      <c r="B177" s="1">
        <v>1</v>
      </c>
      <c r="C177" s="1">
        <v>1</v>
      </c>
      <c r="D177" s="1">
        <v>0</v>
      </c>
      <c r="E177" s="1">
        <v>0</v>
      </c>
      <c r="F177" s="1">
        <v>8</v>
      </c>
      <c r="G177" s="1">
        <v>6</v>
      </c>
      <c r="H177" s="1">
        <v>2</v>
      </c>
      <c r="I177" s="1">
        <v>2</v>
      </c>
      <c r="J177" s="1">
        <v>3</v>
      </c>
      <c r="K177" s="1">
        <v>3</v>
      </c>
      <c r="L177" s="1">
        <v>2</v>
      </c>
      <c r="M177" s="1">
        <v>13</v>
      </c>
      <c r="N177" s="1">
        <v>15</v>
      </c>
      <c r="O177" s="1">
        <v>21</v>
      </c>
      <c r="P177">
        <v>0.3785714285714285</v>
      </c>
      <c r="Q177">
        <v>0.2616049382716048</v>
      </c>
      <c r="R177">
        <v>4.9217391304347831E-2</v>
      </c>
    </row>
    <row r="178" spans="1:18">
      <c r="A178" s="1">
        <v>69</v>
      </c>
      <c r="B178" s="1">
        <v>0</v>
      </c>
      <c r="C178" s="1">
        <v>1</v>
      </c>
      <c r="D178" s="1">
        <v>0</v>
      </c>
      <c r="E178" s="1">
        <v>0</v>
      </c>
      <c r="F178" s="1">
        <v>4</v>
      </c>
      <c r="G178" s="1">
        <v>6</v>
      </c>
      <c r="H178" s="1">
        <v>1</v>
      </c>
      <c r="I178" s="1">
        <v>2</v>
      </c>
      <c r="J178" s="1">
        <v>2</v>
      </c>
      <c r="K178" s="1">
        <v>2</v>
      </c>
      <c r="L178" s="1">
        <v>2</v>
      </c>
      <c r="M178" s="1">
        <v>13</v>
      </c>
      <c r="N178" s="1">
        <v>15</v>
      </c>
      <c r="O178" s="1">
        <v>21</v>
      </c>
      <c r="P178">
        <v>0.44750000000000001</v>
      </c>
      <c r="Q178">
        <v>0.35413299663299663</v>
      </c>
      <c r="R178">
        <v>4.6282608695652164E-2</v>
      </c>
    </row>
    <row r="179" spans="1:18">
      <c r="A179" s="1">
        <v>70</v>
      </c>
      <c r="B179" s="1">
        <v>1</v>
      </c>
      <c r="C179" s="1">
        <v>1</v>
      </c>
      <c r="D179" s="1">
        <v>1</v>
      </c>
      <c r="E179" s="1">
        <v>0</v>
      </c>
      <c r="F179" s="1">
        <v>21</v>
      </c>
      <c r="G179" s="1">
        <v>18</v>
      </c>
      <c r="H179" s="1">
        <v>3</v>
      </c>
      <c r="I179" s="1">
        <v>2</v>
      </c>
      <c r="J179" s="1">
        <v>6</v>
      </c>
      <c r="K179" s="1">
        <v>7</v>
      </c>
      <c r="L179" s="1">
        <v>2</v>
      </c>
      <c r="M179" s="1">
        <v>13</v>
      </c>
      <c r="N179" s="1">
        <v>15</v>
      </c>
      <c r="O179" s="1">
        <v>21</v>
      </c>
      <c r="P179">
        <v>0.50642857142857134</v>
      </c>
      <c r="Q179">
        <v>0.28211560044893369</v>
      </c>
      <c r="R179">
        <v>4.1595652173913027E-2</v>
      </c>
    </row>
    <row r="180" spans="1:18">
      <c r="A180" s="1">
        <v>71</v>
      </c>
      <c r="B180" s="1">
        <v>1</v>
      </c>
      <c r="C180" s="1">
        <v>0</v>
      </c>
      <c r="D180" s="1">
        <v>0</v>
      </c>
      <c r="E180" s="1">
        <v>0</v>
      </c>
      <c r="F180" s="1">
        <v>2</v>
      </c>
      <c r="G180" s="1">
        <v>6</v>
      </c>
      <c r="H180" s="1">
        <v>1</v>
      </c>
      <c r="I180" s="1">
        <v>2</v>
      </c>
      <c r="J180" s="1">
        <v>1</v>
      </c>
      <c r="K180" s="1">
        <v>1</v>
      </c>
      <c r="L180" s="1">
        <v>2</v>
      </c>
      <c r="M180" s="1">
        <v>13</v>
      </c>
      <c r="N180" s="1">
        <v>15</v>
      </c>
      <c r="O180" s="1">
        <v>21</v>
      </c>
      <c r="P180">
        <v>0.28964285714285715</v>
      </c>
      <c r="Q180">
        <v>0.21646184062850729</v>
      </c>
      <c r="R180">
        <v>4.0999999999999981E-2</v>
      </c>
    </row>
    <row r="181" spans="1:18">
      <c r="A181" s="1">
        <v>72</v>
      </c>
      <c r="B181" s="1">
        <v>1</v>
      </c>
      <c r="C181" s="1">
        <v>1</v>
      </c>
      <c r="D181" s="1">
        <v>1</v>
      </c>
      <c r="E181" s="1">
        <v>0</v>
      </c>
      <c r="F181" s="1">
        <v>24</v>
      </c>
      <c r="G181" s="1">
        <v>18</v>
      </c>
      <c r="H181" s="1">
        <v>3</v>
      </c>
      <c r="I181" s="1">
        <v>2</v>
      </c>
      <c r="J181" s="1">
        <v>6</v>
      </c>
      <c r="K181" s="1">
        <v>7</v>
      </c>
      <c r="L181" s="1">
        <v>2</v>
      </c>
      <c r="M181" s="1">
        <v>13</v>
      </c>
      <c r="N181" s="1">
        <v>15</v>
      </c>
      <c r="O181" s="1">
        <v>21</v>
      </c>
      <c r="P181">
        <v>0.36857142857142883</v>
      </c>
      <c r="Q181">
        <v>0.26808080808080814</v>
      </c>
      <c r="R181">
        <v>4.6013043478260851E-2</v>
      </c>
    </row>
    <row r="182" spans="1:18">
      <c r="A182" s="1">
        <v>73</v>
      </c>
      <c r="B182" s="1">
        <v>1</v>
      </c>
      <c r="C182" s="1">
        <v>1</v>
      </c>
      <c r="D182" s="1">
        <v>1</v>
      </c>
      <c r="E182" s="1">
        <v>0</v>
      </c>
      <c r="F182" s="1">
        <v>14</v>
      </c>
      <c r="G182" s="1">
        <v>6</v>
      </c>
      <c r="H182" s="1">
        <v>3</v>
      </c>
      <c r="I182" s="1">
        <v>2</v>
      </c>
      <c r="J182" s="1">
        <v>5</v>
      </c>
      <c r="K182" s="1">
        <v>5</v>
      </c>
      <c r="L182" s="1">
        <v>2</v>
      </c>
      <c r="M182" s="1">
        <v>13</v>
      </c>
      <c r="N182" s="1">
        <v>15</v>
      </c>
      <c r="O182" s="1">
        <v>21</v>
      </c>
      <c r="P182">
        <v>0.49321428571428577</v>
      </c>
      <c r="Q182">
        <v>0.26969977553310898</v>
      </c>
      <c r="R182">
        <v>4.3099999999999992E-2</v>
      </c>
    </row>
    <row r="183" spans="1:18">
      <c r="A183" s="1">
        <v>74</v>
      </c>
      <c r="B183" s="1">
        <v>1</v>
      </c>
      <c r="C183" s="1">
        <v>1</v>
      </c>
      <c r="D183" s="1">
        <v>1</v>
      </c>
      <c r="E183" s="1">
        <v>0</v>
      </c>
      <c r="F183" s="1">
        <v>13</v>
      </c>
      <c r="G183" s="1">
        <v>6</v>
      </c>
      <c r="H183" s="1">
        <v>3</v>
      </c>
      <c r="I183" s="1">
        <v>2</v>
      </c>
      <c r="J183" s="1">
        <v>5</v>
      </c>
      <c r="K183" s="1">
        <v>5</v>
      </c>
      <c r="L183" s="1">
        <v>2</v>
      </c>
      <c r="M183" s="1">
        <v>13</v>
      </c>
      <c r="N183" s="1">
        <v>15</v>
      </c>
      <c r="O183" s="1">
        <v>21</v>
      </c>
      <c r="P183">
        <v>0.38642857142857145</v>
      </c>
      <c r="Q183">
        <v>0.27131874298540981</v>
      </c>
      <c r="R183">
        <v>4.4178260869565229E-2</v>
      </c>
    </row>
    <row r="184" spans="1:18">
      <c r="A184" s="1">
        <v>75</v>
      </c>
      <c r="B184" s="1">
        <v>0</v>
      </c>
      <c r="C184" s="1">
        <v>1</v>
      </c>
      <c r="D184" s="1">
        <v>0</v>
      </c>
      <c r="E184" s="1">
        <v>1</v>
      </c>
      <c r="F184" s="1">
        <v>6</v>
      </c>
      <c r="G184" s="1">
        <v>6</v>
      </c>
      <c r="H184" s="1">
        <v>1</v>
      </c>
      <c r="I184" s="1">
        <v>2</v>
      </c>
      <c r="J184" s="1">
        <v>2</v>
      </c>
      <c r="K184" s="1">
        <v>2</v>
      </c>
      <c r="L184" s="1">
        <v>2</v>
      </c>
      <c r="M184" s="1">
        <v>13</v>
      </c>
      <c r="N184" s="1">
        <v>15</v>
      </c>
      <c r="O184" s="1">
        <v>21</v>
      </c>
      <c r="P184">
        <v>0.38535714285714284</v>
      </c>
      <c r="Q184">
        <v>0.22384680134680127</v>
      </c>
      <c r="R184">
        <v>5.043043478260871E-2</v>
      </c>
    </row>
    <row r="185" spans="1:18">
      <c r="A185" s="1">
        <v>76</v>
      </c>
      <c r="B185" s="1">
        <v>1</v>
      </c>
      <c r="C185" s="1">
        <v>0</v>
      </c>
      <c r="D185" s="1">
        <v>0</v>
      </c>
      <c r="E185" s="1">
        <v>0</v>
      </c>
      <c r="F185" s="1">
        <v>1</v>
      </c>
      <c r="G185" s="1">
        <v>6</v>
      </c>
      <c r="H185" s="1">
        <v>1</v>
      </c>
      <c r="I185" s="1">
        <v>2</v>
      </c>
      <c r="J185" s="1">
        <v>1</v>
      </c>
      <c r="K185" s="1">
        <v>1</v>
      </c>
      <c r="L185" s="1">
        <v>2</v>
      </c>
      <c r="M185" s="1">
        <v>13</v>
      </c>
      <c r="N185" s="1">
        <v>15</v>
      </c>
      <c r="O185" s="1">
        <v>21</v>
      </c>
      <c r="P185">
        <v>0.45428571428571424</v>
      </c>
      <c r="Q185">
        <v>0.30364758698092037</v>
      </c>
      <c r="R185">
        <v>4.6778260869565227E-2</v>
      </c>
    </row>
    <row r="186" spans="1:18">
      <c r="A186" s="1">
        <v>77</v>
      </c>
      <c r="B186" s="1">
        <v>0</v>
      </c>
      <c r="C186" s="1">
        <v>0</v>
      </c>
      <c r="D186" s="1">
        <v>0</v>
      </c>
      <c r="E186" s="1">
        <v>1</v>
      </c>
      <c r="F186" s="1">
        <v>0</v>
      </c>
      <c r="G186" s="1">
        <v>0</v>
      </c>
      <c r="H186" s="1">
        <v>0</v>
      </c>
      <c r="I186" s="1">
        <v>2</v>
      </c>
      <c r="J186" s="1">
        <v>0</v>
      </c>
      <c r="K186" s="1">
        <v>0</v>
      </c>
      <c r="L186" s="1">
        <v>2</v>
      </c>
      <c r="M186" s="1">
        <v>13</v>
      </c>
      <c r="N186" s="1">
        <v>15</v>
      </c>
      <c r="O186" s="1">
        <v>21</v>
      </c>
      <c r="P186">
        <v>0.47464285714285709</v>
      </c>
      <c r="Q186">
        <v>0.21617564534231207</v>
      </c>
      <c r="R186">
        <v>4.7808695652173896E-2</v>
      </c>
    </row>
    <row r="187" spans="1:18">
      <c r="A187" s="1">
        <v>78</v>
      </c>
      <c r="B187" s="1">
        <v>1</v>
      </c>
      <c r="C187" s="1">
        <v>0</v>
      </c>
      <c r="D187" s="1">
        <v>0</v>
      </c>
      <c r="E187" s="1">
        <v>1</v>
      </c>
      <c r="F187" s="1">
        <v>1</v>
      </c>
      <c r="G187" s="1">
        <v>6</v>
      </c>
      <c r="H187" s="1">
        <v>1</v>
      </c>
      <c r="I187" s="1">
        <v>2</v>
      </c>
      <c r="J187" s="1">
        <v>1</v>
      </c>
      <c r="K187" s="1">
        <v>1</v>
      </c>
      <c r="L187" s="1">
        <v>2</v>
      </c>
      <c r="M187" s="1">
        <v>13</v>
      </c>
      <c r="N187" s="1">
        <v>15</v>
      </c>
      <c r="O187" s="1">
        <v>21</v>
      </c>
      <c r="P187">
        <v>0.38071428571428562</v>
      </c>
      <c r="Q187">
        <v>0.31234006734006736</v>
      </c>
      <c r="R187">
        <v>5.4143478260869557E-2</v>
      </c>
    </row>
    <row r="188" spans="1:18">
      <c r="A188" s="1">
        <v>79</v>
      </c>
      <c r="B188" s="1">
        <v>1</v>
      </c>
      <c r="C188" s="1">
        <v>1</v>
      </c>
      <c r="D188" s="1">
        <v>1</v>
      </c>
      <c r="E188" s="1">
        <v>0</v>
      </c>
      <c r="F188" s="1">
        <v>16</v>
      </c>
      <c r="G188" s="1">
        <v>6</v>
      </c>
      <c r="H188" s="1">
        <v>3</v>
      </c>
      <c r="I188" s="1">
        <v>2</v>
      </c>
      <c r="J188" s="1">
        <v>5</v>
      </c>
      <c r="K188" s="1">
        <v>6</v>
      </c>
      <c r="L188" s="1">
        <v>2</v>
      </c>
      <c r="M188" s="1">
        <v>13</v>
      </c>
      <c r="N188" s="1">
        <v>15</v>
      </c>
      <c r="O188" s="1">
        <v>21</v>
      </c>
      <c r="P188">
        <v>0.6410714285714284</v>
      </c>
      <c r="Q188">
        <v>0.36123176206509539</v>
      </c>
      <c r="R188">
        <v>4.8360869565217388E-2</v>
      </c>
    </row>
    <row r="189" spans="1:18">
      <c r="A189" s="1">
        <v>80</v>
      </c>
      <c r="B189" s="1">
        <v>1</v>
      </c>
      <c r="C189" s="1">
        <v>1</v>
      </c>
      <c r="D189" s="1">
        <v>1</v>
      </c>
      <c r="E189" s="1">
        <v>1</v>
      </c>
      <c r="F189" s="1">
        <v>23</v>
      </c>
      <c r="G189" s="1">
        <v>18</v>
      </c>
      <c r="H189" s="1">
        <v>3</v>
      </c>
      <c r="I189" s="1">
        <v>2</v>
      </c>
      <c r="J189" s="1">
        <v>6</v>
      </c>
      <c r="K189" s="1">
        <v>7</v>
      </c>
      <c r="L189" s="1">
        <v>2</v>
      </c>
      <c r="M189" s="1">
        <v>13</v>
      </c>
      <c r="N189" s="1">
        <v>15</v>
      </c>
      <c r="O189" s="1">
        <v>21</v>
      </c>
      <c r="P189">
        <v>0.43285714285714277</v>
      </c>
      <c r="Q189">
        <v>0.34466891133557792</v>
      </c>
      <c r="R189">
        <v>4.0052173913043471E-2</v>
      </c>
    </row>
    <row r="190" spans="1:18">
      <c r="A190" s="1">
        <v>81</v>
      </c>
      <c r="B190" s="1">
        <v>1</v>
      </c>
      <c r="C190" s="1">
        <v>1</v>
      </c>
      <c r="D190" s="1">
        <v>0</v>
      </c>
      <c r="E190" s="1">
        <v>0</v>
      </c>
      <c r="F190" s="1">
        <v>7</v>
      </c>
      <c r="G190" s="1">
        <v>6</v>
      </c>
      <c r="H190" s="1">
        <v>2</v>
      </c>
      <c r="I190" s="1">
        <v>2</v>
      </c>
      <c r="J190" s="1">
        <v>3</v>
      </c>
      <c r="K190" s="1">
        <v>3</v>
      </c>
      <c r="L190" s="1">
        <v>2</v>
      </c>
      <c r="M190" s="1">
        <v>13</v>
      </c>
      <c r="N190" s="1">
        <v>15</v>
      </c>
      <c r="O190" s="1">
        <v>21</v>
      </c>
      <c r="P190">
        <v>0.44464285714285701</v>
      </c>
      <c r="Q190">
        <v>0.22174242424242427</v>
      </c>
      <c r="R190">
        <v>4.8799999999999996E-2</v>
      </c>
    </row>
    <row r="191" spans="1:18">
      <c r="A191" s="1">
        <v>82</v>
      </c>
      <c r="B191" s="1">
        <v>1</v>
      </c>
      <c r="C191" s="1">
        <v>1</v>
      </c>
      <c r="D191" s="1">
        <v>1</v>
      </c>
      <c r="E191" s="1">
        <v>1</v>
      </c>
      <c r="F191" s="1">
        <v>21</v>
      </c>
      <c r="G191" s="1">
        <v>18</v>
      </c>
      <c r="H191" s="1">
        <v>3</v>
      </c>
      <c r="I191" s="1">
        <v>2</v>
      </c>
      <c r="J191" s="1">
        <v>6</v>
      </c>
      <c r="K191" s="1">
        <v>7</v>
      </c>
      <c r="L191" s="1">
        <v>2</v>
      </c>
      <c r="M191" s="1">
        <v>13</v>
      </c>
      <c r="N191" s="1">
        <v>15</v>
      </c>
      <c r="O191" s="1">
        <v>21</v>
      </c>
      <c r="P191">
        <v>0.44500000000000001</v>
      </c>
      <c r="Q191">
        <v>0.25427048260381596</v>
      </c>
      <c r="R191">
        <v>4.9408695652173894E-2</v>
      </c>
    </row>
    <row r="192" spans="1:18">
      <c r="A192" s="1">
        <v>83</v>
      </c>
      <c r="B192" s="1">
        <v>1</v>
      </c>
      <c r="C192" s="1">
        <v>1</v>
      </c>
      <c r="D192" s="1">
        <v>1</v>
      </c>
      <c r="E192" s="1">
        <v>1</v>
      </c>
      <c r="F192" s="1">
        <v>18</v>
      </c>
      <c r="G192" s="1">
        <v>6</v>
      </c>
      <c r="H192" s="1">
        <v>3</v>
      </c>
      <c r="I192" s="1">
        <v>2</v>
      </c>
      <c r="J192" s="1">
        <v>5</v>
      </c>
      <c r="K192" s="1">
        <v>6</v>
      </c>
      <c r="L192" s="1">
        <v>2</v>
      </c>
      <c r="M192" s="1">
        <v>13</v>
      </c>
      <c r="N192" s="1">
        <v>15</v>
      </c>
      <c r="O192" s="1">
        <v>21</v>
      </c>
      <c r="P192">
        <v>0.39821428571428591</v>
      </c>
      <c r="Q192">
        <v>0.39952581369248041</v>
      </c>
      <c r="R192">
        <v>4.313913043478259E-2</v>
      </c>
    </row>
    <row r="193" spans="1:18">
      <c r="A193" s="1">
        <v>84</v>
      </c>
      <c r="B193" s="1">
        <v>1</v>
      </c>
      <c r="C193" s="1">
        <v>1</v>
      </c>
      <c r="D193" s="1">
        <v>1</v>
      </c>
      <c r="E193" s="1">
        <v>1</v>
      </c>
      <c r="F193" s="1">
        <v>24</v>
      </c>
      <c r="G193" s="1">
        <v>18</v>
      </c>
      <c r="H193" s="1">
        <v>3</v>
      </c>
      <c r="I193" s="1">
        <v>2</v>
      </c>
      <c r="J193" s="1">
        <v>6</v>
      </c>
      <c r="K193" s="1">
        <v>7</v>
      </c>
      <c r="L193" s="1">
        <v>2</v>
      </c>
      <c r="M193" s="1">
        <v>13</v>
      </c>
      <c r="N193" s="1">
        <v>15</v>
      </c>
      <c r="O193" s="1">
        <v>21</v>
      </c>
      <c r="P193">
        <v>0.74857142857142855</v>
      </c>
      <c r="Q193">
        <v>0.37205387205387197</v>
      </c>
      <c r="R193">
        <v>3.9130434782608713E-2</v>
      </c>
    </row>
    <row r="194" spans="1:18">
      <c r="A194" s="1">
        <v>85</v>
      </c>
      <c r="B194" s="1">
        <v>1</v>
      </c>
      <c r="C194" s="1">
        <v>1</v>
      </c>
      <c r="D194" s="1">
        <v>1</v>
      </c>
      <c r="E194" s="1">
        <v>1</v>
      </c>
      <c r="F194" s="1">
        <v>20</v>
      </c>
      <c r="G194" s="1">
        <v>18</v>
      </c>
      <c r="H194" s="1">
        <v>3</v>
      </c>
      <c r="I194" s="1">
        <v>2</v>
      </c>
      <c r="J194" s="1">
        <v>6</v>
      </c>
      <c r="K194" s="1">
        <v>7</v>
      </c>
      <c r="L194" s="1">
        <v>2</v>
      </c>
      <c r="M194" s="1">
        <v>13</v>
      </c>
      <c r="N194" s="1">
        <v>15</v>
      </c>
      <c r="O194" s="1">
        <v>21</v>
      </c>
      <c r="P194">
        <v>0.45464285714285702</v>
      </c>
      <c r="Q194">
        <v>0.30185465768799086</v>
      </c>
      <c r="R194">
        <v>4.3091304347826098E-2</v>
      </c>
    </row>
    <row r="195" spans="1:18">
      <c r="A195" s="1">
        <v>86</v>
      </c>
      <c r="B195" s="1">
        <v>1</v>
      </c>
      <c r="C195" s="1">
        <v>1</v>
      </c>
      <c r="D195" s="1">
        <v>1</v>
      </c>
      <c r="E195" s="1">
        <v>1</v>
      </c>
      <c r="F195" s="1">
        <v>17</v>
      </c>
      <c r="G195" s="1">
        <v>6</v>
      </c>
      <c r="H195" s="1">
        <v>3</v>
      </c>
      <c r="I195" s="1">
        <v>2</v>
      </c>
      <c r="J195" s="1">
        <v>5</v>
      </c>
      <c r="K195" s="1">
        <v>6</v>
      </c>
      <c r="L195" s="1">
        <v>2</v>
      </c>
      <c r="M195" s="1">
        <v>13</v>
      </c>
      <c r="N195" s="1">
        <v>15</v>
      </c>
      <c r="O195" s="1">
        <v>21</v>
      </c>
      <c r="P195">
        <v>0.34928571428571448</v>
      </c>
      <c r="Q195">
        <v>0.20892817059483731</v>
      </c>
      <c r="R195">
        <v>4.0786956521739144E-2</v>
      </c>
    </row>
    <row r="196" spans="1:18">
      <c r="A196" s="1">
        <v>87</v>
      </c>
      <c r="B196" s="1">
        <v>0</v>
      </c>
      <c r="C196" s="1">
        <v>1</v>
      </c>
      <c r="D196" s="1">
        <v>1</v>
      </c>
      <c r="E196" s="1">
        <v>0</v>
      </c>
      <c r="F196" s="1">
        <v>12</v>
      </c>
      <c r="G196" s="1">
        <v>6</v>
      </c>
      <c r="H196" s="1">
        <v>2</v>
      </c>
      <c r="I196" s="1">
        <v>2</v>
      </c>
      <c r="J196" s="1">
        <v>4</v>
      </c>
      <c r="K196" s="1">
        <v>4</v>
      </c>
      <c r="L196" s="1">
        <v>2</v>
      </c>
      <c r="M196" s="1">
        <v>13</v>
      </c>
      <c r="N196" s="1">
        <v>15</v>
      </c>
      <c r="O196" s="1">
        <v>21</v>
      </c>
      <c r="P196">
        <v>0.28678571428571431</v>
      </c>
      <c r="Q196">
        <v>0.29509259259259274</v>
      </c>
      <c r="R196">
        <v>5.6147826086956516E-2</v>
      </c>
    </row>
    <row r="197" spans="1:18">
      <c r="A197" s="1">
        <v>88</v>
      </c>
      <c r="B197" s="1">
        <v>1</v>
      </c>
      <c r="C197" s="1">
        <v>1</v>
      </c>
      <c r="D197" s="1">
        <v>1</v>
      </c>
      <c r="E197" s="1">
        <v>1</v>
      </c>
      <c r="F197" s="1">
        <v>15</v>
      </c>
      <c r="G197" s="1">
        <v>6</v>
      </c>
      <c r="H197" s="1">
        <v>3</v>
      </c>
      <c r="I197" s="1">
        <v>2</v>
      </c>
      <c r="J197" s="1">
        <v>5</v>
      </c>
      <c r="K197" s="1">
        <v>5</v>
      </c>
      <c r="L197" s="1">
        <v>2</v>
      </c>
      <c r="M197" s="1">
        <v>13</v>
      </c>
      <c r="N197" s="1">
        <v>15</v>
      </c>
      <c r="O197" s="1">
        <v>21</v>
      </c>
      <c r="P197">
        <v>0.60571428571428587</v>
      </c>
      <c r="Q197">
        <v>0.41671156004489346</v>
      </c>
      <c r="R197">
        <v>4.7295652173913051E-2</v>
      </c>
    </row>
    <row r="198" spans="1:18">
      <c r="A198" s="1">
        <v>89</v>
      </c>
      <c r="B198" s="1">
        <v>1</v>
      </c>
      <c r="C198" s="1">
        <v>0</v>
      </c>
      <c r="D198" s="1">
        <v>0</v>
      </c>
      <c r="E198" s="1">
        <v>0</v>
      </c>
      <c r="F198" s="1">
        <v>3</v>
      </c>
      <c r="G198" s="1">
        <v>6</v>
      </c>
      <c r="H198" s="1">
        <v>1</v>
      </c>
      <c r="I198" s="1">
        <v>2</v>
      </c>
      <c r="J198" s="1">
        <v>1</v>
      </c>
      <c r="K198" s="1">
        <v>1</v>
      </c>
      <c r="L198" s="1">
        <v>2</v>
      </c>
      <c r="M198" s="1">
        <v>13</v>
      </c>
      <c r="N198" s="1">
        <v>15</v>
      </c>
      <c r="O198" s="1">
        <v>21</v>
      </c>
      <c r="P198">
        <v>0.39321428571428602</v>
      </c>
      <c r="Q198">
        <v>0.27014870931537605</v>
      </c>
      <c r="R198">
        <v>4.6456521739130445E-2</v>
      </c>
    </row>
    <row r="199" spans="1:18">
      <c r="A199" s="1">
        <v>90</v>
      </c>
      <c r="B199" s="1">
        <v>1</v>
      </c>
      <c r="C199" s="1">
        <v>1</v>
      </c>
      <c r="D199" s="1">
        <v>1</v>
      </c>
      <c r="E199" s="1">
        <v>1</v>
      </c>
      <c r="F199" s="1">
        <v>16</v>
      </c>
      <c r="G199" s="1">
        <v>6</v>
      </c>
      <c r="H199" s="1">
        <v>3</v>
      </c>
      <c r="I199" s="1">
        <v>2</v>
      </c>
      <c r="J199" s="1">
        <v>5</v>
      </c>
      <c r="K199" s="1">
        <v>6</v>
      </c>
      <c r="L199" s="1">
        <v>2</v>
      </c>
      <c r="M199" s="1">
        <v>13</v>
      </c>
      <c r="N199" s="1">
        <v>15</v>
      </c>
      <c r="O199" s="1">
        <v>21</v>
      </c>
      <c r="P199">
        <v>0.54785714285714271</v>
      </c>
      <c r="Q199">
        <v>0.37176767676767691</v>
      </c>
      <c r="R199">
        <v>4.3982608695652174E-2</v>
      </c>
    </row>
    <row r="200" spans="1:18">
      <c r="A200" s="1">
        <v>91</v>
      </c>
      <c r="B200" s="1">
        <v>1</v>
      </c>
      <c r="C200" s="1">
        <v>1</v>
      </c>
      <c r="D200" s="1">
        <v>1</v>
      </c>
      <c r="E200" s="1">
        <v>0</v>
      </c>
      <c r="F200" s="1">
        <v>22</v>
      </c>
      <c r="G200" s="1">
        <v>18</v>
      </c>
      <c r="H200" s="1">
        <v>3</v>
      </c>
      <c r="I200" s="1">
        <v>2</v>
      </c>
      <c r="J200" s="1">
        <v>6</v>
      </c>
      <c r="K200" s="1">
        <v>7</v>
      </c>
      <c r="L200" s="1">
        <v>2</v>
      </c>
      <c r="M200" s="1">
        <v>13</v>
      </c>
      <c r="N200" s="1">
        <v>15</v>
      </c>
      <c r="O200" s="1">
        <v>21</v>
      </c>
      <c r="P200">
        <v>0.35821428571428587</v>
      </c>
      <c r="Q200">
        <v>0.22793209876543222</v>
      </c>
      <c r="R200">
        <v>4.4199999999999996E-2</v>
      </c>
    </row>
    <row r="201" spans="1:18">
      <c r="A201" s="1">
        <v>92</v>
      </c>
      <c r="B201" s="1">
        <v>1</v>
      </c>
      <c r="C201" s="1">
        <v>1</v>
      </c>
      <c r="D201" s="1">
        <v>0</v>
      </c>
      <c r="E201" s="1">
        <v>1</v>
      </c>
      <c r="F201" s="1">
        <v>7</v>
      </c>
      <c r="G201" s="1">
        <v>6</v>
      </c>
      <c r="H201" s="1">
        <v>2</v>
      </c>
      <c r="I201" s="1">
        <v>2</v>
      </c>
      <c r="J201" s="1">
        <v>3</v>
      </c>
      <c r="K201" s="1">
        <v>3</v>
      </c>
      <c r="L201" s="1">
        <v>2</v>
      </c>
      <c r="M201" s="1">
        <v>13</v>
      </c>
      <c r="N201" s="1">
        <v>15</v>
      </c>
      <c r="O201" s="1">
        <v>21</v>
      </c>
      <c r="P201">
        <v>0.54857142857142882</v>
      </c>
      <c r="Q201">
        <v>0.30046015712682378</v>
      </c>
      <c r="R201">
        <v>4.6721739130434793E-2</v>
      </c>
    </row>
    <row r="202" spans="1:18">
      <c r="A202" s="1">
        <v>93</v>
      </c>
      <c r="B202" s="1">
        <v>0</v>
      </c>
      <c r="C202" s="1">
        <v>1</v>
      </c>
      <c r="D202" s="1">
        <v>1</v>
      </c>
      <c r="E202" s="1">
        <v>1</v>
      </c>
      <c r="F202" s="1">
        <v>11</v>
      </c>
      <c r="G202" s="1">
        <v>6</v>
      </c>
      <c r="H202" s="1">
        <v>2</v>
      </c>
      <c r="I202" s="1">
        <v>2</v>
      </c>
      <c r="J202" s="1">
        <v>4</v>
      </c>
      <c r="K202" s="1">
        <v>4</v>
      </c>
      <c r="L202" s="1">
        <v>2</v>
      </c>
      <c r="M202" s="1">
        <v>13</v>
      </c>
      <c r="N202" s="1">
        <v>15</v>
      </c>
      <c r="O202" s="1">
        <v>21</v>
      </c>
      <c r="P202">
        <v>0.43892857142857139</v>
      </c>
      <c r="Q202">
        <v>0.30571548821548816</v>
      </c>
      <c r="R202">
        <v>5.3665217391304358E-2</v>
      </c>
    </row>
    <row r="203" spans="1:18">
      <c r="A203" s="1">
        <v>94</v>
      </c>
      <c r="B203" s="1">
        <v>1</v>
      </c>
      <c r="C203" s="1">
        <v>0</v>
      </c>
      <c r="D203" s="1">
        <v>0</v>
      </c>
      <c r="E203" s="1">
        <v>1</v>
      </c>
      <c r="F203" s="1">
        <v>3</v>
      </c>
      <c r="G203" s="1">
        <v>6</v>
      </c>
      <c r="H203" s="1">
        <v>1</v>
      </c>
      <c r="I203" s="1">
        <v>2</v>
      </c>
      <c r="J203" s="1">
        <v>1</v>
      </c>
      <c r="K203" s="1">
        <v>1</v>
      </c>
      <c r="L203" s="1">
        <v>2</v>
      </c>
      <c r="M203" s="1">
        <v>13</v>
      </c>
      <c r="N203" s="1">
        <v>15</v>
      </c>
      <c r="O203" s="1">
        <v>21</v>
      </c>
      <c r="P203">
        <v>0.36499999999999999</v>
      </c>
      <c r="Q203">
        <v>0.36278900112233442</v>
      </c>
      <c r="R203">
        <v>4.3882608695652199E-2</v>
      </c>
    </row>
    <row r="204" spans="1:18">
      <c r="A204" s="1">
        <v>95</v>
      </c>
      <c r="B204" s="1">
        <v>1</v>
      </c>
      <c r="C204" s="1">
        <v>1</v>
      </c>
      <c r="D204" s="1">
        <v>0</v>
      </c>
      <c r="E204" s="1">
        <v>1</v>
      </c>
      <c r="F204" s="1">
        <v>8</v>
      </c>
      <c r="G204" s="1">
        <v>6</v>
      </c>
      <c r="H204" s="1">
        <v>2</v>
      </c>
      <c r="I204" s="1">
        <v>2</v>
      </c>
      <c r="J204" s="1">
        <v>3</v>
      </c>
      <c r="K204" s="1">
        <v>3</v>
      </c>
      <c r="L204" s="1">
        <v>2</v>
      </c>
      <c r="M204" s="1">
        <v>13</v>
      </c>
      <c r="N204" s="1">
        <v>15</v>
      </c>
      <c r="O204" s="1">
        <v>21</v>
      </c>
      <c r="P204">
        <v>0.40107142857142886</v>
      </c>
      <c r="Q204">
        <v>0.38895342312008979</v>
      </c>
      <c r="R204">
        <v>4.1030434782608684E-2</v>
      </c>
    </row>
    <row r="205" spans="1:18">
      <c r="A205" s="1">
        <v>96</v>
      </c>
      <c r="B205" s="1">
        <v>1</v>
      </c>
      <c r="C205" s="1">
        <v>1</v>
      </c>
      <c r="D205" s="1">
        <v>0</v>
      </c>
      <c r="E205" s="1">
        <v>1</v>
      </c>
      <c r="F205" s="1">
        <v>9</v>
      </c>
      <c r="G205" s="1">
        <v>6</v>
      </c>
      <c r="H205" s="1">
        <v>2</v>
      </c>
      <c r="I205" s="1">
        <v>2</v>
      </c>
      <c r="J205" s="1">
        <v>3</v>
      </c>
      <c r="K205" s="1">
        <v>3</v>
      </c>
      <c r="L205" s="1">
        <v>2</v>
      </c>
      <c r="M205" s="1">
        <v>13</v>
      </c>
      <c r="N205" s="1">
        <v>15</v>
      </c>
      <c r="O205" s="1">
        <v>21</v>
      </c>
      <c r="P205">
        <v>0.4985714285714285</v>
      </c>
      <c r="Q205">
        <v>0.28693602693602693</v>
      </c>
      <c r="R205">
        <v>3.6578260869565192E-2</v>
      </c>
    </row>
    <row r="206" spans="1:18">
      <c r="A206" s="1">
        <v>97</v>
      </c>
      <c r="B206" s="1">
        <v>1</v>
      </c>
      <c r="C206" s="1">
        <v>1</v>
      </c>
      <c r="D206" s="1">
        <v>1</v>
      </c>
      <c r="E206" s="1">
        <v>1</v>
      </c>
      <c r="F206" s="1">
        <v>19</v>
      </c>
      <c r="G206" s="1">
        <v>6</v>
      </c>
      <c r="H206" s="1">
        <v>3</v>
      </c>
      <c r="I206" s="1">
        <v>2</v>
      </c>
      <c r="J206" s="1">
        <v>5</v>
      </c>
      <c r="K206" s="1">
        <v>6</v>
      </c>
      <c r="L206" s="1">
        <v>2</v>
      </c>
      <c r="M206" s="1">
        <v>13</v>
      </c>
      <c r="N206" s="1">
        <v>15</v>
      </c>
      <c r="O206" s="1">
        <v>21</v>
      </c>
      <c r="P206">
        <v>0.50749999999999995</v>
      </c>
      <c r="Q206">
        <v>0.32219135802469123</v>
      </c>
      <c r="R206">
        <v>4.1695652173913043E-2</v>
      </c>
    </row>
    <row r="207" spans="1:18">
      <c r="A207" s="1">
        <v>98</v>
      </c>
      <c r="B207" s="1">
        <v>1</v>
      </c>
      <c r="C207" s="1">
        <v>1</v>
      </c>
      <c r="D207" s="1">
        <v>1</v>
      </c>
      <c r="E207" s="1">
        <v>1</v>
      </c>
      <c r="F207" s="1">
        <v>25</v>
      </c>
      <c r="G207" s="1">
        <v>18</v>
      </c>
      <c r="H207" s="1">
        <v>3</v>
      </c>
      <c r="I207" s="1">
        <v>2</v>
      </c>
      <c r="J207" s="1">
        <v>6</v>
      </c>
      <c r="K207" s="1">
        <v>7</v>
      </c>
      <c r="L207" s="1">
        <v>2</v>
      </c>
      <c r="M207" s="1">
        <v>13</v>
      </c>
      <c r="N207" s="1">
        <v>15</v>
      </c>
      <c r="O207" s="1">
        <v>21</v>
      </c>
      <c r="P207">
        <v>0.45642857142857124</v>
      </c>
      <c r="Q207">
        <v>0.25653759820426475</v>
      </c>
      <c r="R207">
        <v>4.3465217391304357E-2</v>
      </c>
    </row>
    <row r="208" spans="1:18">
      <c r="A208" s="1">
        <v>99</v>
      </c>
      <c r="B208" s="1">
        <v>1</v>
      </c>
      <c r="C208" s="1">
        <v>1</v>
      </c>
      <c r="D208" s="1">
        <v>1</v>
      </c>
      <c r="E208" s="1">
        <v>0</v>
      </c>
      <c r="F208" s="1">
        <v>26</v>
      </c>
      <c r="G208" s="1">
        <v>18</v>
      </c>
      <c r="H208" s="1">
        <v>3</v>
      </c>
      <c r="I208" s="1">
        <v>2</v>
      </c>
      <c r="J208" s="1">
        <v>6</v>
      </c>
      <c r="K208" s="1">
        <v>7</v>
      </c>
      <c r="L208" s="1">
        <v>2</v>
      </c>
      <c r="M208" s="1">
        <v>13</v>
      </c>
      <c r="N208" s="1">
        <v>15</v>
      </c>
      <c r="O208" s="1">
        <v>21</v>
      </c>
      <c r="P208">
        <v>0.44535714285714256</v>
      </c>
      <c r="Q208">
        <v>0.3172474747474745</v>
      </c>
      <c r="R208">
        <v>4.332608695652173E-2</v>
      </c>
    </row>
    <row r="209" spans="1:18">
      <c r="A209" s="1">
        <v>100</v>
      </c>
      <c r="B209" s="1">
        <v>1</v>
      </c>
      <c r="C209" s="1">
        <v>1</v>
      </c>
      <c r="D209" s="1">
        <v>1</v>
      </c>
      <c r="E209" s="1">
        <v>1</v>
      </c>
      <c r="F209" s="1">
        <v>22</v>
      </c>
      <c r="G209" s="1">
        <v>18</v>
      </c>
      <c r="H209" s="1">
        <v>3</v>
      </c>
      <c r="I209" s="1">
        <v>2</v>
      </c>
      <c r="J209" s="1">
        <v>6</v>
      </c>
      <c r="K209" s="1">
        <v>7</v>
      </c>
      <c r="L209" s="1">
        <v>2</v>
      </c>
      <c r="M209" s="1">
        <v>13</v>
      </c>
      <c r="N209" s="1">
        <v>15</v>
      </c>
      <c r="O209" s="1">
        <v>21</v>
      </c>
      <c r="P209">
        <v>0.36714285714285733</v>
      </c>
      <c r="Q209">
        <v>0.23795735129068463</v>
      </c>
      <c r="R209">
        <v>4.2299999999999983E-2</v>
      </c>
    </row>
    <row r="210" spans="1:18">
      <c r="A210" s="1">
        <v>101</v>
      </c>
      <c r="B210" s="1">
        <v>1</v>
      </c>
      <c r="C210" s="1">
        <v>1</v>
      </c>
      <c r="D210" s="1">
        <v>1</v>
      </c>
      <c r="E210" s="1">
        <v>1</v>
      </c>
      <c r="F210" s="1">
        <v>13</v>
      </c>
      <c r="G210" s="1">
        <v>6</v>
      </c>
      <c r="H210" s="1">
        <v>3</v>
      </c>
      <c r="I210" s="1">
        <v>2</v>
      </c>
      <c r="J210" s="1">
        <v>5</v>
      </c>
      <c r="K210" s="1">
        <v>5</v>
      </c>
      <c r="L210" s="1">
        <v>2</v>
      </c>
      <c r="M210" s="1">
        <v>13</v>
      </c>
      <c r="N210" s="1">
        <v>15</v>
      </c>
      <c r="O210" s="1">
        <v>21</v>
      </c>
      <c r="P210">
        <v>0.48321428571428549</v>
      </c>
      <c r="Q210">
        <v>0.34048540965207635</v>
      </c>
      <c r="R210">
        <v>4.6204347826086956E-2</v>
      </c>
    </row>
    <row r="211" spans="1:18">
      <c r="A211" s="1">
        <v>102</v>
      </c>
      <c r="B211" s="1">
        <v>0</v>
      </c>
      <c r="C211" s="1">
        <v>1</v>
      </c>
      <c r="D211" s="1">
        <v>0</v>
      </c>
      <c r="E211" s="1">
        <v>1</v>
      </c>
      <c r="F211" s="1">
        <v>4</v>
      </c>
      <c r="G211" s="1">
        <v>6</v>
      </c>
      <c r="H211" s="1">
        <v>1</v>
      </c>
      <c r="I211" s="1">
        <v>2</v>
      </c>
      <c r="J211" s="1">
        <v>2</v>
      </c>
      <c r="K211" s="1">
        <v>2</v>
      </c>
      <c r="L211" s="1">
        <v>2</v>
      </c>
      <c r="M211" s="1">
        <v>13</v>
      </c>
      <c r="N211" s="1">
        <v>15</v>
      </c>
      <c r="O211" s="1">
        <v>21</v>
      </c>
      <c r="P211">
        <v>0.55928571428571427</v>
      </c>
      <c r="Q211">
        <v>0.32755892255892255</v>
      </c>
      <c r="R211">
        <v>3.6113043478260873E-2</v>
      </c>
    </row>
    <row r="212" spans="1:18">
      <c r="A212" s="1">
        <v>103</v>
      </c>
      <c r="B212" s="1">
        <v>0</v>
      </c>
      <c r="C212" s="1">
        <v>1</v>
      </c>
      <c r="D212" s="1">
        <v>1</v>
      </c>
      <c r="E212" s="1">
        <v>1</v>
      </c>
      <c r="F212" s="1">
        <v>10</v>
      </c>
      <c r="G212" s="1">
        <v>6</v>
      </c>
      <c r="H212" s="1">
        <v>2</v>
      </c>
      <c r="I212" s="1">
        <v>2</v>
      </c>
      <c r="J212" s="1">
        <v>4</v>
      </c>
      <c r="K212" s="1">
        <v>4</v>
      </c>
      <c r="L212" s="1">
        <v>2</v>
      </c>
      <c r="M212" s="1">
        <v>13</v>
      </c>
      <c r="N212" s="1">
        <v>15</v>
      </c>
      <c r="O212" s="1">
        <v>21</v>
      </c>
      <c r="P212">
        <v>0.13107142857142876</v>
      </c>
      <c r="Q212">
        <v>0.18008698092031439</v>
      </c>
      <c r="R212">
        <v>3.9791304347826087E-2</v>
      </c>
    </row>
    <row r="213" spans="1:18">
      <c r="A213" s="1">
        <v>104</v>
      </c>
      <c r="B213" s="1">
        <v>0</v>
      </c>
      <c r="C213" s="1">
        <v>1</v>
      </c>
      <c r="D213" s="1">
        <v>1</v>
      </c>
      <c r="E213" s="1">
        <v>1</v>
      </c>
      <c r="F213" s="1">
        <v>12</v>
      </c>
      <c r="G213" s="1">
        <v>6</v>
      </c>
      <c r="H213" s="1">
        <v>2</v>
      </c>
      <c r="I213" s="1">
        <v>2</v>
      </c>
      <c r="J213" s="1">
        <v>4</v>
      </c>
      <c r="K213" s="1">
        <v>4</v>
      </c>
      <c r="L213" s="1">
        <v>2</v>
      </c>
      <c r="M213" s="1">
        <v>13</v>
      </c>
      <c r="N213" s="1">
        <v>15</v>
      </c>
      <c r="O213" s="1">
        <v>21</v>
      </c>
      <c r="P213">
        <v>0.23428571428571413</v>
      </c>
      <c r="Q213">
        <v>0.28806958473625149</v>
      </c>
      <c r="R213">
        <v>4.0469565217391305E-2</v>
      </c>
    </row>
    <row r="214" spans="1:18">
      <c r="A214" s="1">
        <v>105</v>
      </c>
      <c r="B214" s="1">
        <v>1</v>
      </c>
      <c r="C214" s="1">
        <v>1</v>
      </c>
      <c r="D214" s="1">
        <v>1</v>
      </c>
      <c r="E214" s="1">
        <v>1</v>
      </c>
      <c r="F214" s="1">
        <v>14</v>
      </c>
      <c r="G214" s="1">
        <v>6</v>
      </c>
      <c r="H214" s="1">
        <v>3</v>
      </c>
      <c r="I214" s="1">
        <v>2</v>
      </c>
      <c r="J214" s="1">
        <v>5</v>
      </c>
      <c r="K214" s="1">
        <v>5</v>
      </c>
      <c r="L214" s="1">
        <v>2</v>
      </c>
      <c r="M214" s="1">
        <v>13</v>
      </c>
      <c r="N214" s="1">
        <v>15</v>
      </c>
      <c r="O214" s="1">
        <v>21</v>
      </c>
      <c r="P214">
        <v>0.42035714285714282</v>
      </c>
      <c r="Q214">
        <v>0.29423400673400679</v>
      </c>
      <c r="R214">
        <v>4.1434782608695667E-2</v>
      </c>
    </row>
    <row r="215" spans="1:18">
      <c r="A215" s="1">
        <v>106</v>
      </c>
      <c r="B215" s="1">
        <v>1</v>
      </c>
      <c r="C215" s="1">
        <v>1</v>
      </c>
      <c r="D215" s="1">
        <v>1</v>
      </c>
      <c r="E215" s="1">
        <v>0</v>
      </c>
      <c r="F215" s="1">
        <v>19</v>
      </c>
      <c r="G215" s="1">
        <v>6</v>
      </c>
      <c r="H215" s="1">
        <v>3</v>
      </c>
      <c r="I215" s="1">
        <v>2</v>
      </c>
      <c r="J215" s="1">
        <v>5</v>
      </c>
      <c r="K215" s="1">
        <v>6</v>
      </c>
      <c r="L215" s="1">
        <v>2</v>
      </c>
      <c r="M215" s="1">
        <v>13</v>
      </c>
      <c r="N215" s="1">
        <v>15</v>
      </c>
      <c r="O215" s="1">
        <v>21</v>
      </c>
      <c r="P215">
        <v>0.40071428571428569</v>
      </c>
      <c r="Q215">
        <v>0.36676206509539838</v>
      </c>
      <c r="R215">
        <v>4.04217391304348E-2</v>
      </c>
    </row>
    <row r="216" spans="1:18">
      <c r="A216" s="1">
        <v>107</v>
      </c>
      <c r="B216" s="1">
        <v>1</v>
      </c>
      <c r="C216" s="1">
        <v>1</v>
      </c>
      <c r="D216" s="1">
        <v>1</v>
      </c>
      <c r="E216" s="1">
        <v>1</v>
      </c>
      <c r="F216" s="1">
        <v>26</v>
      </c>
      <c r="G216" s="1">
        <v>18</v>
      </c>
      <c r="H216" s="1">
        <v>3</v>
      </c>
      <c r="I216" s="1">
        <v>2</v>
      </c>
      <c r="J216" s="1">
        <v>6</v>
      </c>
      <c r="K216" s="1">
        <v>7</v>
      </c>
      <c r="L216" s="1">
        <v>2</v>
      </c>
      <c r="M216" s="1">
        <v>13</v>
      </c>
      <c r="N216" s="1">
        <v>15</v>
      </c>
      <c r="O216" s="1">
        <v>21</v>
      </c>
      <c r="P216">
        <v>0.33392857142857146</v>
      </c>
      <c r="Q216">
        <v>0.23383557800224478</v>
      </c>
      <c r="R216">
        <v>4.3543478260869566E-2</v>
      </c>
    </row>
    <row r="217" spans="1:18">
      <c r="A217" s="1">
        <v>108</v>
      </c>
      <c r="B217" s="1">
        <v>1</v>
      </c>
      <c r="C217" s="1">
        <v>0</v>
      </c>
      <c r="D217" s="1">
        <v>0</v>
      </c>
      <c r="E217" s="1">
        <v>1</v>
      </c>
      <c r="F217" s="1">
        <v>2</v>
      </c>
      <c r="G217" s="1">
        <v>6</v>
      </c>
      <c r="H217" s="1">
        <v>1</v>
      </c>
      <c r="I217" s="1">
        <v>2</v>
      </c>
      <c r="J217" s="1">
        <v>1</v>
      </c>
      <c r="K217" s="1">
        <v>1</v>
      </c>
      <c r="L217" s="1">
        <v>2</v>
      </c>
      <c r="M217" s="1">
        <v>13</v>
      </c>
      <c r="N217" s="1">
        <v>15</v>
      </c>
      <c r="O217" s="1">
        <v>21</v>
      </c>
      <c r="P217">
        <v>0.39142857142857146</v>
      </c>
      <c r="Q217">
        <v>0.29727272727272724</v>
      </c>
      <c r="R217">
        <v>4.6113043478260868E-2</v>
      </c>
    </row>
    <row r="218" spans="1:18">
      <c r="A218" s="1">
        <v>1</v>
      </c>
      <c r="B218" s="1">
        <v>1</v>
      </c>
      <c r="C218" s="1">
        <v>1</v>
      </c>
      <c r="D218" s="1">
        <v>1</v>
      </c>
      <c r="E218" s="1">
        <v>0</v>
      </c>
      <c r="F218" s="1">
        <v>14</v>
      </c>
      <c r="G218" s="1">
        <v>6</v>
      </c>
      <c r="H218" s="1">
        <v>3</v>
      </c>
      <c r="I218" s="1">
        <v>1</v>
      </c>
      <c r="J218" s="1">
        <v>5</v>
      </c>
      <c r="K218" s="1">
        <v>5</v>
      </c>
      <c r="L218" s="1">
        <v>3</v>
      </c>
      <c r="M218" s="1">
        <v>18</v>
      </c>
      <c r="N218" s="1">
        <v>20</v>
      </c>
      <c r="O218" s="1">
        <v>27</v>
      </c>
      <c r="P218">
        <v>0.36517724867724854</v>
      </c>
      <c r="Q218">
        <v>0.47906565656565653</v>
      </c>
      <c r="R218">
        <v>6.4023809523809525E-2</v>
      </c>
    </row>
    <row r="219" spans="1:18">
      <c r="A219" s="1">
        <v>2</v>
      </c>
      <c r="B219" s="1">
        <v>1</v>
      </c>
      <c r="C219" s="1">
        <v>1</v>
      </c>
      <c r="D219" s="1">
        <v>1</v>
      </c>
      <c r="E219" s="1">
        <v>0</v>
      </c>
      <c r="F219" s="1">
        <v>15</v>
      </c>
      <c r="G219" s="1">
        <v>6</v>
      </c>
      <c r="H219" s="1">
        <v>3</v>
      </c>
      <c r="I219" s="1">
        <v>1</v>
      </c>
      <c r="J219" s="1">
        <v>5</v>
      </c>
      <c r="K219" s="1">
        <v>5</v>
      </c>
      <c r="L219" s="1">
        <v>3</v>
      </c>
      <c r="M219" s="1">
        <v>18</v>
      </c>
      <c r="N219" s="1">
        <v>20</v>
      </c>
      <c r="O219" s="1">
        <v>27</v>
      </c>
      <c r="P219">
        <v>0.40578306878306897</v>
      </c>
      <c r="Q219">
        <v>0.52267676767676752</v>
      </c>
      <c r="R219">
        <v>4.6128571428571435E-2</v>
      </c>
    </row>
    <row r="220" spans="1:18">
      <c r="A220" s="1">
        <v>3</v>
      </c>
      <c r="B220" s="1">
        <v>1</v>
      </c>
      <c r="C220" s="1">
        <v>1</v>
      </c>
      <c r="D220" s="1">
        <v>1</v>
      </c>
      <c r="E220" s="1">
        <v>0</v>
      </c>
      <c r="F220" s="1">
        <v>13</v>
      </c>
      <c r="G220" s="1">
        <v>6</v>
      </c>
      <c r="H220" s="1">
        <v>3</v>
      </c>
      <c r="I220" s="1">
        <v>1</v>
      </c>
      <c r="J220" s="1">
        <v>5</v>
      </c>
      <c r="K220" s="1">
        <v>5</v>
      </c>
      <c r="L220" s="1">
        <v>3</v>
      </c>
      <c r="M220" s="1">
        <v>18</v>
      </c>
      <c r="N220" s="1">
        <v>20</v>
      </c>
      <c r="O220" s="1">
        <v>27</v>
      </c>
      <c r="P220">
        <v>0.66210317460317469</v>
      </c>
      <c r="Q220">
        <v>0.43537878787878787</v>
      </c>
      <c r="R220">
        <v>4.8514285714285718E-2</v>
      </c>
    </row>
    <row r="221" spans="1:18">
      <c r="A221" s="1">
        <v>4</v>
      </c>
      <c r="B221" s="1">
        <v>1</v>
      </c>
      <c r="C221" s="1">
        <v>0</v>
      </c>
      <c r="D221" s="1">
        <v>0</v>
      </c>
      <c r="E221" s="1">
        <v>0</v>
      </c>
      <c r="F221" s="1">
        <v>1</v>
      </c>
      <c r="G221" s="1">
        <v>6</v>
      </c>
      <c r="H221" s="1">
        <v>1</v>
      </c>
      <c r="I221" s="1">
        <v>1</v>
      </c>
      <c r="J221" s="1">
        <v>1</v>
      </c>
      <c r="K221" s="1">
        <v>1</v>
      </c>
      <c r="L221" s="1">
        <v>3</v>
      </c>
      <c r="M221" s="1">
        <v>18</v>
      </c>
      <c r="N221" s="1">
        <v>20</v>
      </c>
      <c r="O221" s="1">
        <v>27</v>
      </c>
      <c r="P221">
        <v>0.55128042328042326</v>
      </c>
      <c r="Q221">
        <v>0.56989898989898979</v>
      </c>
      <c r="R221">
        <v>5.5333333333333332E-2</v>
      </c>
    </row>
    <row r="222" spans="1:18">
      <c r="A222" s="1">
        <v>5</v>
      </c>
      <c r="B222" s="1">
        <v>1</v>
      </c>
      <c r="C222" s="1">
        <v>1</v>
      </c>
      <c r="D222" s="1">
        <v>0</v>
      </c>
      <c r="E222" s="1">
        <v>0</v>
      </c>
      <c r="F222" s="1">
        <v>8</v>
      </c>
      <c r="G222" s="1">
        <v>6</v>
      </c>
      <c r="H222" s="1">
        <v>2</v>
      </c>
      <c r="I222" s="1">
        <v>1</v>
      </c>
      <c r="J222" s="1">
        <v>3</v>
      </c>
      <c r="K222" s="1">
        <v>3</v>
      </c>
      <c r="L222" s="1">
        <v>3</v>
      </c>
      <c r="M222" s="1">
        <v>18</v>
      </c>
      <c r="N222" s="1">
        <v>20</v>
      </c>
      <c r="O222" s="1">
        <v>27</v>
      </c>
      <c r="P222">
        <v>0.54331481481481492</v>
      </c>
      <c r="Q222">
        <v>0.36805555555555558</v>
      </c>
      <c r="R222">
        <v>4.478095238095238E-2</v>
      </c>
    </row>
    <row r="223" spans="1:18">
      <c r="A223" s="1">
        <v>6</v>
      </c>
      <c r="B223" s="1">
        <v>1</v>
      </c>
      <c r="C223" s="1">
        <v>0</v>
      </c>
      <c r="D223" s="1">
        <v>0</v>
      </c>
      <c r="E223" s="1">
        <v>0</v>
      </c>
      <c r="F223" s="1">
        <v>2</v>
      </c>
      <c r="G223" s="1">
        <v>6</v>
      </c>
      <c r="H223" s="1">
        <v>1</v>
      </c>
      <c r="I223" s="1">
        <v>1</v>
      </c>
      <c r="J223" s="1">
        <v>1</v>
      </c>
      <c r="K223" s="1">
        <v>1</v>
      </c>
      <c r="L223" s="1">
        <v>3</v>
      </c>
      <c r="M223" s="1">
        <v>18</v>
      </c>
      <c r="N223" s="1">
        <v>20</v>
      </c>
      <c r="O223" s="1">
        <v>27</v>
      </c>
      <c r="P223">
        <v>0.61534920634920642</v>
      </c>
      <c r="Q223">
        <v>0.5271212121212121</v>
      </c>
      <c r="R223">
        <v>5.0752380952380965E-2</v>
      </c>
    </row>
    <row r="224" spans="1:18">
      <c r="A224" s="1">
        <v>7</v>
      </c>
      <c r="B224" s="1">
        <v>1</v>
      </c>
      <c r="C224" s="1">
        <v>1</v>
      </c>
      <c r="D224" s="1">
        <v>1</v>
      </c>
      <c r="E224" s="1">
        <v>0</v>
      </c>
      <c r="F224" s="1">
        <v>24</v>
      </c>
      <c r="G224" s="1">
        <v>18</v>
      </c>
      <c r="H224" s="1">
        <v>3</v>
      </c>
      <c r="I224" s="1">
        <v>1</v>
      </c>
      <c r="J224" s="1">
        <v>6</v>
      </c>
      <c r="K224" s="1">
        <v>7</v>
      </c>
      <c r="L224" s="1">
        <v>3</v>
      </c>
      <c r="M224" s="1">
        <v>18</v>
      </c>
      <c r="N224" s="1">
        <v>20</v>
      </c>
      <c r="O224" s="1">
        <v>27</v>
      </c>
      <c r="P224">
        <v>0.7516693121693121</v>
      </c>
      <c r="Q224">
        <v>0.67164141414141409</v>
      </c>
      <c r="R224">
        <v>4.5547619047619052E-2</v>
      </c>
    </row>
    <row r="225" spans="1:18">
      <c r="A225" s="1">
        <v>8</v>
      </c>
      <c r="B225" s="1">
        <v>1</v>
      </c>
      <c r="C225" s="1">
        <v>1</v>
      </c>
      <c r="D225" s="1">
        <v>1</v>
      </c>
      <c r="E225" s="1">
        <v>0</v>
      </c>
      <c r="F225" s="1">
        <v>26</v>
      </c>
      <c r="G225" s="1">
        <v>18</v>
      </c>
      <c r="H225" s="1">
        <v>3</v>
      </c>
      <c r="I225" s="1">
        <v>1</v>
      </c>
      <c r="J225" s="1">
        <v>6</v>
      </c>
      <c r="K225" s="1">
        <v>7</v>
      </c>
      <c r="L225" s="1">
        <v>3</v>
      </c>
      <c r="M225" s="1">
        <v>18</v>
      </c>
      <c r="N225" s="1">
        <v>20</v>
      </c>
      <c r="O225" s="1">
        <v>27</v>
      </c>
      <c r="P225">
        <v>0.59513227513227529</v>
      </c>
      <c r="Q225">
        <v>0.47434343434343429</v>
      </c>
      <c r="R225">
        <v>4.5919047619047623E-2</v>
      </c>
    </row>
    <row r="226" spans="1:18">
      <c r="A226" s="1">
        <v>9</v>
      </c>
      <c r="B226" s="1">
        <v>1</v>
      </c>
      <c r="C226" s="1">
        <v>1</v>
      </c>
      <c r="D226" s="1">
        <v>1</v>
      </c>
      <c r="E226" s="1">
        <v>0</v>
      </c>
      <c r="F226" s="1">
        <v>21</v>
      </c>
      <c r="G226" s="1">
        <v>18</v>
      </c>
      <c r="H226" s="1">
        <v>3</v>
      </c>
      <c r="I226" s="1">
        <v>1</v>
      </c>
      <c r="J226" s="1">
        <v>6</v>
      </c>
      <c r="K226" s="1">
        <v>7</v>
      </c>
      <c r="L226" s="1">
        <v>3</v>
      </c>
      <c r="M226" s="1">
        <v>18</v>
      </c>
      <c r="N226" s="1">
        <v>20</v>
      </c>
      <c r="O226" s="1">
        <v>27</v>
      </c>
      <c r="P226">
        <v>0.73859523809523797</v>
      </c>
      <c r="Q226">
        <v>0.65795454545454546</v>
      </c>
      <c r="R226">
        <v>4.9357142857142842E-2</v>
      </c>
    </row>
    <row r="227" spans="1:18">
      <c r="A227" s="1">
        <v>10</v>
      </c>
      <c r="B227" s="1">
        <v>1</v>
      </c>
      <c r="C227" s="1">
        <v>1</v>
      </c>
      <c r="D227" s="1">
        <v>1</v>
      </c>
      <c r="E227" s="1">
        <v>0</v>
      </c>
      <c r="F227" s="1">
        <v>25</v>
      </c>
      <c r="G227" s="1">
        <v>18</v>
      </c>
      <c r="H227" s="1">
        <v>3</v>
      </c>
      <c r="I227" s="1">
        <v>1</v>
      </c>
      <c r="J227" s="1">
        <v>6</v>
      </c>
      <c r="K227" s="1">
        <v>7</v>
      </c>
      <c r="L227" s="1">
        <v>3</v>
      </c>
      <c r="M227" s="1">
        <v>18</v>
      </c>
      <c r="N227" s="1">
        <v>20</v>
      </c>
      <c r="O227" s="1">
        <v>27</v>
      </c>
      <c r="P227">
        <v>1.1149153439153439</v>
      </c>
      <c r="Q227">
        <v>0.8552020202020203</v>
      </c>
      <c r="R227">
        <v>5.9657142857142839E-2</v>
      </c>
    </row>
    <row r="228" spans="1:18">
      <c r="A228" s="1">
        <v>11</v>
      </c>
      <c r="B228" s="1">
        <v>1</v>
      </c>
      <c r="C228" s="1">
        <v>1</v>
      </c>
      <c r="D228" s="1">
        <v>1</v>
      </c>
      <c r="E228" s="1">
        <v>0</v>
      </c>
      <c r="F228" s="1">
        <v>20</v>
      </c>
      <c r="G228" s="1">
        <v>18</v>
      </c>
      <c r="H228" s="1">
        <v>3</v>
      </c>
      <c r="I228" s="1">
        <v>1</v>
      </c>
      <c r="J228" s="1">
        <v>6</v>
      </c>
      <c r="K228" s="1">
        <v>7</v>
      </c>
      <c r="L228" s="1">
        <v>3</v>
      </c>
      <c r="M228" s="1">
        <v>18</v>
      </c>
      <c r="N228" s="1">
        <v>20</v>
      </c>
      <c r="O228" s="1">
        <v>27</v>
      </c>
      <c r="P228">
        <v>0.81266402116402126</v>
      </c>
      <c r="Q228">
        <v>0.7497222222222224</v>
      </c>
      <c r="R228">
        <v>4.9371428571428545E-2</v>
      </c>
    </row>
    <row r="229" spans="1:18">
      <c r="A229" s="1">
        <v>12</v>
      </c>
      <c r="B229" s="1">
        <v>1</v>
      </c>
      <c r="C229" s="1">
        <v>1</v>
      </c>
      <c r="D229" s="1">
        <v>1</v>
      </c>
      <c r="E229" s="1">
        <v>1</v>
      </c>
      <c r="F229" s="1">
        <v>18</v>
      </c>
      <c r="G229" s="1">
        <v>6</v>
      </c>
      <c r="H229" s="1">
        <v>3</v>
      </c>
      <c r="I229" s="1">
        <v>1</v>
      </c>
      <c r="J229" s="1">
        <v>5</v>
      </c>
      <c r="K229" s="1">
        <v>6</v>
      </c>
      <c r="L229" s="1">
        <v>3</v>
      </c>
      <c r="M229" s="1">
        <v>18</v>
      </c>
      <c r="N229" s="1">
        <v>20</v>
      </c>
      <c r="O229" s="1">
        <v>27</v>
      </c>
      <c r="P229">
        <v>0.78326984126984145</v>
      </c>
      <c r="Q229">
        <v>0.73606060606060597</v>
      </c>
      <c r="R229">
        <v>5.3828571428571462E-2</v>
      </c>
    </row>
    <row r="230" spans="1:18">
      <c r="A230" s="1">
        <v>13</v>
      </c>
      <c r="B230" s="1">
        <v>1</v>
      </c>
      <c r="C230" s="1">
        <v>1</v>
      </c>
      <c r="D230" s="1">
        <v>1</v>
      </c>
      <c r="E230" s="1">
        <v>1</v>
      </c>
      <c r="F230" s="1">
        <v>25</v>
      </c>
      <c r="G230" s="1">
        <v>18</v>
      </c>
      <c r="H230" s="1">
        <v>3</v>
      </c>
      <c r="I230" s="1">
        <v>1</v>
      </c>
      <c r="J230" s="1">
        <v>6</v>
      </c>
      <c r="K230" s="1">
        <v>7</v>
      </c>
      <c r="L230" s="1">
        <v>3</v>
      </c>
      <c r="M230" s="1">
        <v>18</v>
      </c>
      <c r="N230" s="1">
        <v>20</v>
      </c>
      <c r="O230" s="1">
        <v>27</v>
      </c>
      <c r="P230">
        <v>0.65387566137566133</v>
      </c>
      <c r="Q230">
        <v>0.53694444444444434</v>
      </c>
      <c r="R230">
        <v>4.9947619047619032E-2</v>
      </c>
    </row>
    <row r="231" spans="1:18">
      <c r="A231" s="1">
        <v>14</v>
      </c>
      <c r="B231" s="1">
        <v>1</v>
      </c>
      <c r="C231" s="1">
        <v>1</v>
      </c>
      <c r="D231" s="1">
        <v>1</v>
      </c>
      <c r="E231" s="1">
        <v>1</v>
      </c>
      <c r="F231" s="1">
        <v>14</v>
      </c>
      <c r="G231" s="1">
        <v>6</v>
      </c>
      <c r="H231" s="1">
        <v>3</v>
      </c>
      <c r="I231" s="1">
        <v>1</v>
      </c>
      <c r="J231" s="1">
        <v>5</v>
      </c>
      <c r="K231" s="1">
        <v>5</v>
      </c>
      <c r="L231" s="1">
        <v>3</v>
      </c>
      <c r="M231" s="1">
        <v>18</v>
      </c>
      <c r="N231" s="1">
        <v>20</v>
      </c>
      <c r="O231" s="1">
        <v>27</v>
      </c>
      <c r="P231">
        <v>0.46733862433862444</v>
      </c>
      <c r="Q231">
        <v>0.48691919191919192</v>
      </c>
      <c r="R231">
        <v>4.3923809523809552E-2</v>
      </c>
    </row>
    <row r="232" spans="1:18">
      <c r="A232" s="1">
        <v>15</v>
      </c>
      <c r="B232" s="1">
        <v>1</v>
      </c>
      <c r="C232" s="1">
        <v>1</v>
      </c>
      <c r="D232" s="1">
        <v>1</v>
      </c>
      <c r="E232" s="1">
        <v>0</v>
      </c>
      <c r="F232" s="1">
        <v>18</v>
      </c>
      <c r="G232" s="1">
        <v>6</v>
      </c>
      <c r="H232" s="1">
        <v>3</v>
      </c>
      <c r="I232" s="1">
        <v>1</v>
      </c>
      <c r="J232" s="1">
        <v>5</v>
      </c>
      <c r="K232" s="1">
        <v>6</v>
      </c>
      <c r="L232" s="1">
        <v>3</v>
      </c>
      <c r="M232" s="1">
        <v>18</v>
      </c>
      <c r="N232" s="1">
        <v>20</v>
      </c>
      <c r="O232" s="1">
        <v>27</v>
      </c>
      <c r="P232">
        <v>0.58223015873015882</v>
      </c>
      <c r="Q232">
        <v>0.61325757575757578</v>
      </c>
      <c r="R232">
        <v>5.0804761904761922E-2</v>
      </c>
    </row>
    <row r="233" spans="1:18">
      <c r="A233" s="1">
        <v>16</v>
      </c>
      <c r="B233" s="1">
        <v>1</v>
      </c>
      <c r="C233" s="1">
        <v>1</v>
      </c>
      <c r="D233" s="1">
        <v>1</v>
      </c>
      <c r="E233" s="1">
        <v>1</v>
      </c>
      <c r="F233" s="1">
        <v>21</v>
      </c>
      <c r="G233" s="1">
        <v>18</v>
      </c>
      <c r="H233" s="1">
        <v>3</v>
      </c>
      <c r="I233" s="1">
        <v>1</v>
      </c>
      <c r="J233" s="1">
        <v>6</v>
      </c>
      <c r="K233" s="1">
        <v>7</v>
      </c>
      <c r="L233" s="1">
        <v>3</v>
      </c>
      <c r="M233" s="1">
        <v>18</v>
      </c>
      <c r="N233" s="1">
        <v>20</v>
      </c>
      <c r="O233" s="1">
        <v>27</v>
      </c>
      <c r="P233">
        <v>0.72426455026455039</v>
      </c>
      <c r="Q233">
        <v>0.69414141414141417</v>
      </c>
      <c r="R233">
        <v>4.993333333333333E-2</v>
      </c>
    </row>
    <row r="234" spans="1:18">
      <c r="A234" s="1">
        <v>17</v>
      </c>
      <c r="B234" s="1">
        <v>1</v>
      </c>
      <c r="C234" s="1">
        <v>0</v>
      </c>
      <c r="D234" s="1">
        <v>0</v>
      </c>
      <c r="E234" s="1">
        <v>1</v>
      </c>
      <c r="F234" s="1">
        <v>1</v>
      </c>
      <c r="G234" s="1">
        <v>6</v>
      </c>
      <c r="H234" s="1">
        <v>1</v>
      </c>
      <c r="I234" s="1">
        <v>1</v>
      </c>
      <c r="J234" s="1">
        <v>1</v>
      </c>
      <c r="K234" s="1">
        <v>1</v>
      </c>
      <c r="L234" s="1">
        <v>3</v>
      </c>
      <c r="M234" s="1">
        <v>18</v>
      </c>
      <c r="N234" s="1">
        <v>20</v>
      </c>
      <c r="O234" s="1">
        <v>27</v>
      </c>
      <c r="P234">
        <v>0.44058465608465625</v>
      </c>
      <c r="Q234">
        <v>0.46957070707070708</v>
      </c>
      <c r="R234">
        <v>4.6795238095238091E-2</v>
      </c>
    </row>
    <row r="235" spans="1:18">
      <c r="A235" s="1">
        <v>18</v>
      </c>
      <c r="B235" s="1">
        <v>1</v>
      </c>
      <c r="C235" s="1">
        <v>1</v>
      </c>
      <c r="D235" s="1">
        <v>1</v>
      </c>
      <c r="E235" s="1">
        <v>0</v>
      </c>
      <c r="F235" s="1">
        <v>22</v>
      </c>
      <c r="G235" s="1">
        <v>18</v>
      </c>
      <c r="H235" s="1">
        <v>3</v>
      </c>
      <c r="I235" s="1">
        <v>1</v>
      </c>
      <c r="J235" s="1">
        <v>6</v>
      </c>
      <c r="K235" s="1">
        <v>7</v>
      </c>
      <c r="L235" s="1">
        <v>3</v>
      </c>
      <c r="M235" s="1">
        <v>18</v>
      </c>
      <c r="N235" s="1">
        <v>20</v>
      </c>
      <c r="O235" s="1">
        <v>27</v>
      </c>
      <c r="P235">
        <v>0.56547619047619058</v>
      </c>
      <c r="Q235">
        <v>0.48499999999999999</v>
      </c>
      <c r="R235">
        <v>5.6923809523809515E-2</v>
      </c>
    </row>
    <row r="236" spans="1:18">
      <c r="A236" s="1">
        <v>19</v>
      </c>
      <c r="B236" s="1">
        <v>1</v>
      </c>
      <c r="C236" s="1">
        <v>1</v>
      </c>
      <c r="D236" s="1">
        <v>1</v>
      </c>
      <c r="E236" s="1">
        <v>1</v>
      </c>
      <c r="F236" s="1">
        <v>26</v>
      </c>
      <c r="G236" s="1">
        <v>18</v>
      </c>
      <c r="H236" s="1">
        <v>3</v>
      </c>
      <c r="I236" s="1">
        <v>1</v>
      </c>
      <c r="J236" s="1">
        <v>6</v>
      </c>
      <c r="K236" s="1">
        <v>7</v>
      </c>
      <c r="L236" s="1">
        <v>3</v>
      </c>
      <c r="M236" s="1">
        <v>18</v>
      </c>
      <c r="N236" s="1">
        <v>20</v>
      </c>
      <c r="O236" s="1">
        <v>27</v>
      </c>
      <c r="P236">
        <v>0.71322486772486771</v>
      </c>
      <c r="Q236">
        <v>0.50497474747474735</v>
      </c>
      <c r="R236">
        <v>4.471904761904761E-2</v>
      </c>
    </row>
    <row r="237" spans="1:18">
      <c r="A237" s="1">
        <v>20</v>
      </c>
      <c r="B237" s="1">
        <v>1</v>
      </c>
      <c r="C237" s="1">
        <v>1</v>
      </c>
      <c r="D237" s="1">
        <v>1</v>
      </c>
      <c r="E237" s="1">
        <v>0</v>
      </c>
      <c r="F237" s="1">
        <v>17</v>
      </c>
      <c r="G237" s="1">
        <v>6</v>
      </c>
      <c r="H237" s="1">
        <v>3</v>
      </c>
      <c r="I237" s="1">
        <v>1</v>
      </c>
      <c r="J237" s="1">
        <v>5</v>
      </c>
      <c r="K237" s="1">
        <v>6</v>
      </c>
      <c r="L237" s="1">
        <v>3</v>
      </c>
      <c r="M237" s="1">
        <v>18</v>
      </c>
      <c r="N237" s="1">
        <v>20</v>
      </c>
      <c r="O237" s="1">
        <v>27</v>
      </c>
      <c r="P237">
        <v>0.49525925925925918</v>
      </c>
      <c r="Q237">
        <v>0.41404040404040399</v>
      </c>
      <c r="R237">
        <v>3.7471428571428579E-2</v>
      </c>
    </row>
    <row r="238" spans="1:18">
      <c r="A238" s="1">
        <v>21</v>
      </c>
      <c r="B238" s="1">
        <v>1</v>
      </c>
      <c r="C238" s="1">
        <v>1</v>
      </c>
      <c r="D238" s="1">
        <v>1</v>
      </c>
      <c r="E238" s="1">
        <v>0</v>
      </c>
      <c r="F238" s="1">
        <v>19</v>
      </c>
      <c r="G238" s="1">
        <v>6</v>
      </c>
      <c r="H238" s="1">
        <v>3</v>
      </c>
      <c r="I238" s="1">
        <v>1</v>
      </c>
      <c r="J238" s="1">
        <v>5</v>
      </c>
      <c r="K238" s="1">
        <v>6</v>
      </c>
      <c r="L238" s="1">
        <v>3</v>
      </c>
      <c r="M238" s="1">
        <v>18</v>
      </c>
      <c r="N238" s="1">
        <v>20</v>
      </c>
      <c r="O238" s="1">
        <v>27</v>
      </c>
      <c r="P238">
        <v>0.34443650793650782</v>
      </c>
      <c r="Q238">
        <v>0.44037878787878787</v>
      </c>
      <c r="R238">
        <v>4.3319047619047618E-2</v>
      </c>
    </row>
    <row r="239" spans="1:18">
      <c r="A239" s="1">
        <v>22</v>
      </c>
      <c r="B239" s="1">
        <v>1</v>
      </c>
      <c r="C239" s="1">
        <v>0</v>
      </c>
      <c r="D239" s="1">
        <v>0</v>
      </c>
      <c r="E239" s="1">
        <v>0</v>
      </c>
      <c r="F239" s="1">
        <v>3</v>
      </c>
      <c r="G239" s="1">
        <v>6</v>
      </c>
      <c r="H239" s="1">
        <v>1</v>
      </c>
      <c r="I239" s="1">
        <v>1</v>
      </c>
      <c r="J239" s="1">
        <v>1</v>
      </c>
      <c r="K239" s="1">
        <v>1</v>
      </c>
      <c r="L239" s="1">
        <v>3</v>
      </c>
      <c r="M239" s="1">
        <v>18</v>
      </c>
      <c r="N239" s="1">
        <v>20</v>
      </c>
      <c r="O239" s="1">
        <v>27</v>
      </c>
      <c r="P239">
        <v>0.41075661375661376</v>
      </c>
      <c r="Q239">
        <v>0.45489898989898964</v>
      </c>
      <c r="R239">
        <v>4.3523809523809534E-2</v>
      </c>
    </row>
    <row r="240" spans="1:18">
      <c r="A240" s="1">
        <v>23</v>
      </c>
      <c r="B240" s="1">
        <v>1</v>
      </c>
      <c r="C240" s="1">
        <v>1</v>
      </c>
      <c r="D240" s="1">
        <v>1</v>
      </c>
      <c r="E240" s="1">
        <v>1</v>
      </c>
      <c r="F240" s="1">
        <v>24</v>
      </c>
      <c r="G240" s="1">
        <v>18</v>
      </c>
      <c r="H240" s="1">
        <v>3</v>
      </c>
      <c r="I240" s="1">
        <v>1</v>
      </c>
      <c r="J240" s="1">
        <v>6</v>
      </c>
      <c r="K240" s="1">
        <v>7</v>
      </c>
      <c r="L240" s="1">
        <v>3</v>
      </c>
      <c r="M240" s="1">
        <v>18</v>
      </c>
      <c r="N240" s="1">
        <v>20</v>
      </c>
      <c r="O240" s="1">
        <v>27</v>
      </c>
      <c r="P240">
        <v>0.52707671957671975</v>
      </c>
      <c r="Q240">
        <v>0.51214646464646474</v>
      </c>
      <c r="R240">
        <v>4.5471428571428565E-2</v>
      </c>
    </row>
    <row r="241" spans="1:18">
      <c r="A241" s="1">
        <v>24</v>
      </c>
      <c r="B241" s="1">
        <v>1</v>
      </c>
      <c r="C241" s="1">
        <v>1</v>
      </c>
      <c r="D241" s="1">
        <v>1</v>
      </c>
      <c r="E241" s="1">
        <v>0</v>
      </c>
      <c r="F241" s="1">
        <v>16</v>
      </c>
      <c r="G241" s="1">
        <v>6</v>
      </c>
      <c r="H241" s="1">
        <v>3</v>
      </c>
      <c r="I241" s="1">
        <v>1</v>
      </c>
      <c r="J241" s="1">
        <v>5</v>
      </c>
      <c r="K241" s="1">
        <v>6</v>
      </c>
      <c r="L241" s="1">
        <v>3</v>
      </c>
      <c r="M241" s="1">
        <v>18</v>
      </c>
      <c r="N241" s="1">
        <v>20</v>
      </c>
      <c r="O241" s="1">
        <v>27</v>
      </c>
      <c r="P241">
        <v>0.61911111111111106</v>
      </c>
      <c r="Q241">
        <v>0.65303030303030307</v>
      </c>
      <c r="R241">
        <v>4.8538095238095234E-2</v>
      </c>
    </row>
    <row r="242" spans="1:18">
      <c r="A242" s="1">
        <v>25</v>
      </c>
      <c r="B242" s="1">
        <v>0</v>
      </c>
      <c r="C242" s="1">
        <v>1</v>
      </c>
      <c r="D242" s="1">
        <v>1</v>
      </c>
      <c r="E242" s="1">
        <v>0</v>
      </c>
      <c r="F242" s="1">
        <v>10</v>
      </c>
      <c r="G242" s="1">
        <v>6</v>
      </c>
      <c r="H242" s="1">
        <v>2</v>
      </c>
      <c r="I242" s="1">
        <v>1</v>
      </c>
      <c r="J242" s="1">
        <v>4</v>
      </c>
      <c r="K242" s="1">
        <v>4</v>
      </c>
      <c r="L242" s="1">
        <v>3</v>
      </c>
      <c r="M242" s="1">
        <v>18</v>
      </c>
      <c r="N242" s="1">
        <v>20</v>
      </c>
      <c r="O242" s="1">
        <v>27</v>
      </c>
      <c r="P242">
        <v>0.41114550264550254</v>
      </c>
      <c r="Q242">
        <v>0.52664141414141385</v>
      </c>
      <c r="R242">
        <v>4.6176190476190454E-2</v>
      </c>
    </row>
    <row r="243" spans="1:18">
      <c r="A243" s="1">
        <v>26</v>
      </c>
      <c r="B243" s="1">
        <v>0</v>
      </c>
      <c r="C243" s="1">
        <v>1</v>
      </c>
      <c r="D243" s="1">
        <v>0</v>
      </c>
      <c r="E243" s="1">
        <v>0</v>
      </c>
      <c r="F243" s="1">
        <v>6</v>
      </c>
      <c r="G243" s="1">
        <v>6</v>
      </c>
      <c r="H243" s="1">
        <v>1</v>
      </c>
      <c r="I243" s="1">
        <v>1</v>
      </c>
      <c r="J243" s="1">
        <v>2</v>
      </c>
      <c r="K243" s="1">
        <v>2</v>
      </c>
      <c r="L243" s="1">
        <v>3</v>
      </c>
      <c r="M243" s="1">
        <v>18</v>
      </c>
      <c r="N243" s="1">
        <v>20</v>
      </c>
      <c r="O243" s="1">
        <v>27</v>
      </c>
      <c r="P243">
        <v>0.83032275132275146</v>
      </c>
      <c r="Q243">
        <v>0.69752525252525255</v>
      </c>
      <c r="R243">
        <v>5.5876190476190454E-2</v>
      </c>
    </row>
    <row r="244" spans="1:18">
      <c r="A244" s="1">
        <v>27</v>
      </c>
      <c r="B244" s="1">
        <v>1</v>
      </c>
      <c r="C244" s="1">
        <v>1</v>
      </c>
      <c r="D244" s="1">
        <v>0</v>
      </c>
      <c r="E244" s="1">
        <v>0</v>
      </c>
      <c r="F244" s="1">
        <v>9</v>
      </c>
      <c r="G244" s="1">
        <v>6</v>
      </c>
      <c r="H244" s="1">
        <v>2</v>
      </c>
      <c r="I244" s="1">
        <v>1</v>
      </c>
      <c r="J244" s="1">
        <v>3</v>
      </c>
      <c r="K244" s="1">
        <v>3</v>
      </c>
      <c r="L244" s="1">
        <v>3</v>
      </c>
      <c r="M244" s="1">
        <v>18</v>
      </c>
      <c r="N244" s="1">
        <v>20</v>
      </c>
      <c r="O244" s="1">
        <v>27</v>
      </c>
      <c r="P244">
        <v>0.21664285714285722</v>
      </c>
      <c r="Q244">
        <v>0.3111363636363636</v>
      </c>
      <c r="R244">
        <v>4.0561904761904757E-2</v>
      </c>
    </row>
    <row r="245" spans="1:18">
      <c r="A245" s="1">
        <v>28</v>
      </c>
      <c r="B245" s="1">
        <v>1</v>
      </c>
      <c r="C245" s="1">
        <v>1</v>
      </c>
      <c r="D245" s="1">
        <v>0</v>
      </c>
      <c r="E245" s="1">
        <v>0</v>
      </c>
      <c r="F245" s="1">
        <v>7</v>
      </c>
      <c r="G245" s="1">
        <v>6</v>
      </c>
      <c r="H245" s="1">
        <v>2</v>
      </c>
      <c r="I245" s="1">
        <v>1</v>
      </c>
      <c r="J245" s="1">
        <v>3</v>
      </c>
      <c r="K245" s="1">
        <v>3</v>
      </c>
      <c r="L245" s="1">
        <v>3</v>
      </c>
      <c r="M245" s="1">
        <v>18</v>
      </c>
      <c r="N245" s="1">
        <v>20</v>
      </c>
      <c r="O245" s="1">
        <v>27</v>
      </c>
      <c r="P245">
        <v>0.58582010582010613</v>
      </c>
      <c r="Q245">
        <v>0.55111111111111122</v>
      </c>
      <c r="R245">
        <v>4.938095238095238E-2</v>
      </c>
    </row>
    <row r="246" spans="1:18">
      <c r="A246" s="1">
        <v>29</v>
      </c>
      <c r="B246" s="1">
        <v>1</v>
      </c>
      <c r="C246" s="1">
        <v>1</v>
      </c>
      <c r="D246" s="1">
        <v>1</v>
      </c>
      <c r="E246" s="1">
        <v>0</v>
      </c>
      <c r="F246" s="1">
        <v>23</v>
      </c>
      <c r="G246" s="1">
        <v>18</v>
      </c>
      <c r="H246" s="1">
        <v>3</v>
      </c>
      <c r="I246" s="1">
        <v>1</v>
      </c>
      <c r="J246" s="1">
        <v>6</v>
      </c>
      <c r="K246" s="1">
        <v>7</v>
      </c>
      <c r="L246" s="1">
        <v>3</v>
      </c>
      <c r="M246" s="1">
        <v>18</v>
      </c>
      <c r="N246" s="1">
        <v>20</v>
      </c>
      <c r="O246" s="1">
        <v>27</v>
      </c>
      <c r="P246">
        <v>0.31356878306878294</v>
      </c>
      <c r="Q246">
        <v>0.5092676767676767</v>
      </c>
      <c r="R246">
        <v>4.9433333333333336E-2</v>
      </c>
    </row>
    <row r="247" spans="1:18">
      <c r="A247" s="1">
        <v>30</v>
      </c>
      <c r="B247" s="1">
        <v>0</v>
      </c>
      <c r="C247" s="1">
        <v>1</v>
      </c>
      <c r="D247" s="1">
        <v>0</v>
      </c>
      <c r="E247" s="1">
        <v>0</v>
      </c>
      <c r="F247" s="1">
        <v>4</v>
      </c>
      <c r="G247" s="1">
        <v>6</v>
      </c>
      <c r="H247" s="1">
        <v>1</v>
      </c>
      <c r="I247" s="1">
        <v>1</v>
      </c>
      <c r="J247" s="1">
        <v>2</v>
      </c>
      <c r="K247" s="1">
        <v>2</v>
      </c>
      <c r="L247" s="1">
        <v>3</v>
      </c>
      <c r="M247" s="1">
        <v>18</v>
      </c>
      <c r="N247" s="1">
        <v>20</v>
      </c>
      <c r="O247" s="1">
        <v>27</v>
      </c>
      <c r="P247">
        <v>0.41846031746031748</v>
      </c>
      <c r="Q247">
        <v>0.54651515151515151</v>
      </c>
      <c r="R247">
        <v>5.2614285714285704E-2</v>
      </c>
    </row>
    <row r="248" spans="1:18">
      <c r="A248" s="1">
        <v>31</v>
      </c>
      <c r="B248" s="1">
        <v>1</v>
      </c>
      <c r="C248" s="1">
        <v>0</v>
      </c>
      <c r="D248" s="1">
        <v>0</v>
      </c>
      <c r="E248" s="1">
        <v>1</v>
      </c>
      <c r="F248" s="1">
        <v>3</v>
      </c>
      <c r="G248" s="1">
        <v>6</v>
      </c>
      <c r="H248" s="1">
        <v>1</v>
      </c>
      <c r="I248" s="1">
        <v>1</v>
      </c>
      <c r="J248" s="1">
        <v>1</v>
      </c>
      <c r="K248" s="1">
        <v>1</v>
      </c>
      <c r="L248" s="1">
        <v>3</v>
      </c>
      <c r="M248" s="1">
        <v>18</v>
      </c>
      <c r="N248" s="1">
        <v>20</v>
      </c>
      <c r="O248" s="1">
        <v>27</v>
      </c>
      <c r="P248">
        <v>0.55763756613756621</v>
      </c>
      <c r="Q248">
        <v>0.52467171717171723</v>
      </c>
      <c r="R248">
        <v>4.2728571428571428E-2</v>
      </c>
    </row>
    <row r="249" spans="1:18">
      <c r="A249" s="1">
        <v>32</v>
      </c>
      <c r="B249" s="1">
        <v>1</v>
      </c>
      <c r="C249" s="1">
        <v>1</v>
      </c>
      <c r="D249" s="1">
        <v>1</v>
      </c>
      <c r="E249" s="1">
        <v>1</v>
      </c>
      <c r="F249" s="1">
        <v>13</v>
      </c>
      <c r="G249" s="1">
        <v>6</v>
      </c>
      <c r="H249" s="1">
        <v>3</v>
      </c>
      <c r="I249" s="1">
        <v>1</v>
      </c>
      <c r="J249" s="1">
        <v>5</v>
      </c>
      <c r="K249" s="1">
        <v>5</v>
      </c>
      <c r="L249" s="1">
        <v>3</v>
      </c>
      <c r="M249" s="1">
        <v>18</v>
      </c>
      <c r="N249" s="1">
        <v>20</v>
      </c>
      <c r="O249" s="1">
        <v>27</v>
      </c>
      <c r="P249">
        <v>0.43110052910052932</v>
      </c>
      <c r="Q249">
        <v>0.33646464646464652</v>
      </c>
      <c r="R249">
        <v>3.9423809523809528E-2</v>
      </c>
    </row>
    <row r="250" spans="1:18">
      <c r="A250" s="1">
        <v>33</v>
      </c>
      <c r="B250" s="1">
        <v>0</v>
      </c>
      <c r="C250" s="1">
        <v>1</v>
      </c>
      <c r="D250" s="1">
        <v>1</v>
      </c>
      <c r="E250" s="1">
        <v>0</v>
      </c>
      <c r="F250" s="1">
        <v>12</v>
      </c>
      <c r="G250" s="1">
        <v>6</v>
      </c>
      <c r="H250" s="1">
        <v>2</v>
      </c>
      <c r="I250" s="1">
        <v>1</v>
      </c>
      <c r="J250" s="1">
        <v>4</v>
      </c>
      <c r="K250" s="1">
        <v>4</v>
      </c>
      <c r="L250" s="1">
        <v>3</v>
      </c>
      <c r="M250" s="1">
        <v>18</v>
      </c>
      <c r="N250" s="1">
        <v>20</v>
      </c>
      <c r="O250" s="1">
        <v>27</v>
      </c>
      <c r="P250">
        <v>0.41313492063492074</v>
      </c>
      <c r="Q250">
        <v>1.2918939393939395</v>
      </c>
      <c r="R250">
        <v>4.5447619047619077E-2</v>
      </c>
    </row>
    <row r="251" spans="1:18">
      <c r="A251" s="1">
        <v>34</v>
      </c>
      <c r="B251" s="1">
        <v>0</v>
      </c>
      <c r="C251" s="1">
        <v>1</v>
      </c>
      <c r="D251" s="1">
        <v>1</v>
      </c>
      <c r="E251" s="1">
        <v>1</v>
      </c>
      <c r="F251" s="1">
        <v>10</v>
      </c>
      <c r="G251" s="1">
        <v>6</v>
      </c>
      <c r="H251" s="1">
        <v>2</v>
      </c>
      <c r="I251" s="1">
        <v>1</v>
      </c>
      <c r="J251" s="1">
        <v>4</v>
      </c>
      <c r="K251" s="1">
        <v>4</v>
      </c>
      <c r="L251" s="1">
        <v>3</v>
      </c>
      <c r="M251" s="1">
        <v>18</v>
      </c>
      <c r="N251" s="1">
        <v>20</v>
      </c>
      <c r="O251" s="1">
        <v>27</v>
      </c>
      <c r="P251">
        <v>0.24088359788359792</v>
      </c>
      <c r="Q251">
        <v>0.26368686868686858</v>
      </c>
      <c r="R251">
        <v>5.7738095238095255E-2</v>
      </c>
    </row>
    <row r="252" spans="1:18">
      <c r="A252" s="1">
        <v>35</v>
      </c>
      <c r="B252" s="1">
        <v>1</v>
      </c>
      <c r="C252" s="1">
        <v>1</v>
      </c>
      <c r="D252" s="1">
        <v>0</v>
      </c>
      <c r="E252" s="1">
        <v>1</v>
      </c>
      <c r="F252" s="1">
        <v>8</v>
      </c>
      <c r="G252" s="1">
        <v>6</v>
      </c>
      <c r="H252" s="1">
        <v>2</v>
      </c>
      <c r="I252" s="1">
        <v>1</v>
      </c>
      <c r="J252" s="1">
        <v>3</v>
      </c>
      <c r="K252" s="1">
        <v>3</v>
      </c>
      <c r="L252" s="1">
        <v>3</v>
      </c>
      <c r="M252" s="1">
        <v>18</v>
      </c>
      <c r="N252" s="1">
        <v>20</v>
      </c>
      <c r="O252" s="1">
        <v>27</v>
      </c>
      <c r="P252">
        <v>0.4472037037037036</v>
      </c>
      <c r="Q252">
        <v>0.46184343434343444</v>
      </c>
      <c r="R252">
        <v>4.6523809523809516E-2</v>
      </c>
    </row>
    <row r="253" spans="1:18">
      <c r="A253" s="1">
        <v>36</v>
      </c>
      <c r="B253" s="1">
        <v>1</v>
      </c>
      <c r="C253" s="1">
        <v>1</v>
      </c>
      <c r="D253" s="1">
        <v>1</v>
      </c>
      <c r="E253" s="1">
        <v>1</v>
      </c>
      <c r="F253" s="1">
        <v>20</v>
      </c>
      <c r="G253" s="1">
        <v>18</v>
      </c>
      <c r="H253" s="1">
        <v>3</v>
      </c>
      <c r="I253" s="1">
        <v>1</v>
      </c>
      <c r="J253" s="1">
        <v>6</v>
      </c>
      <c r="K253" s="1">
        <v>7</v>
      </c>
      <c r="L253" s="1">
        <v>3</v>
      </c>
      <c r="M253" s="1">
        <v>18</v>
      </c>
      <c r="N253" s="1">
        <v>20</v>
      </c>
      <c r="O253" s="1">
        <v>27</v>
      </c>
      <c r="P253">
        <v>0.46209523809523795</v>
      </c>
      <c r="Q253">
        <v>0.54909090909090896</v>
      </c>
      <c r="R253">
        <v>4.7247619047619066E-2</v>
      </c>
    </row>
    <row r="254" spans="1:18">
      <c r="A254" s="1">
        <v>37</v>
      </c>
      <c r="B254" s="1">
        <v>1</v>
      </c>
      <c r="C254" s="1">
        <v>1</v>
      </c>
      <c r="D254" s="1">
        <v>1</v>
      </c>
      <c r="E254" s="1">
        <v>1</v>
      </c>
      <c r="F254" s="1">
        <v>23</v>
      </c>
      <c r="G254" s="1">
        <v>18</v>
      </c>
      <c r="H254" s="1">
        <v>3</v>
      </c>
      <c r="I254" s="1">
        <v>1</v>
      </c>
      <c r="J254" s="1">
        <v>6</v>
      </c>
      <c r="K254" s="1">
        <v>7</v>
      </c>
      <c r="L254" s="1">
        <v>3</v>
      </c>
      <c r="M254" s="1">
        <v>18</v>
      </c>
      <c r="N254" s="1">
        <v>20</v>
      </c>
      <c r="O254" s="1">
        <v>27</v>
      </c>
      <c r="P254">
        <v>0.43841534391534359</v>
      </c>
      <c r="Q254">
        <v>0.45542929292929268</v>
      </c>
      <c r="R254">
        <v>4.1780952380952391E-2</v>
      </c>
    </row>
    <row r="255" spans="1:18">
      <c r="A255" s="1">
        <v>38</v>
      </c>
      <c r="B255" s="1">
        <v>0</v>
      </c>
      <c r="C255" s="1">
        <v>1</v>
      </c>
      <c r="D255" s="1">
        <v>0</v>
      </c>
      <c r="E255" s="1">
        <v>1</v>
      </c>
      <c r="F255" s="1">
        <v>4</v>
      </c>
      <c r="G255" s="1">
        <v>6</v>
      </c>
      <c r="H255" s="1">
        <v>1</v>
      </c>
      <c r="I255" s="1">
        <v>1</v>
      </c>
      <c r="J255" s="1">
        <v>2</v>
      </c>
      <c r="K255" s="1">
        <v>2</v>
      </c>
      <c r="L255" s="1">
        <v>3</v>
      </c>
      <c r="M255" s="1">
        <v>18</v>
      </c>
      <c r="N255" s="1">
        <v>20</v>
      </c>
      <c r="O255" s="1">
        <v>27</v>
      </c>
      <c r="P255">
        <v>0.51330687830687849</v>
      </c>
      <c r="Q255">
        <v>0.29085858585858593</v>
      </c>
      <c r="R255">
        <v>4.7200000000000006E-2</v>
      </c>
    </row>
    <row r="256" spans="1:18">
      <c r="A256" s="1">
        <v>39</v>
      </c>
      <c r="B256" s="1">
        <v>1</v>
      </c>
      <c r="C256" s="1">
        <v>1</v>
      </c>
      <c r="D256" s="1">
        <v>1</v>
      </c>
      <c r="E256" s="1">
        <v>1</v>
      </c>
      <c r="F256" s="1">
        <v>22</v>
      </c>
      <c r="G256" s="1">
        <v>18</v>
      </c>
      <c r="H256" s="1">
        <v>3</v>
      </c>
      <c r="I256" s="1">
        <v>1</v>
      </c>
      <c r="J256" s="1">
        <v>6</v>
      </c>
      <c r="K256" s="1">
        <v>7</v>
      </c>
      <c r="L256" s="1">
        <v>3</v>
      </c>
      <c r="M256" s="1">
        <v>18</v>
      </c>
      <c r="N256" s="1">
        <v>20</v>
      </c>
      <c r="O256" s="1">
        <v>27</v>
      </c>
      <c r="P256">
        <v>0.47248412698412701</v>
      </c>
      <c r="Q256">
        <v>0.5508333333333334</v>
      </c>
      <c r="R256">
        <v>4.6385714285714287E-2</v>
      </c>
    </row>
    <row r="257" spans="1:18">
      <c r="A257" s="1">
        <v>40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</v>
      </c>
      <c r="J257" s="1">
        <v>0</v>
      </c>
      <c r="K257" s="1">
        <v>0</v>
      </c>
      <c r="L257" s="1">
        <v>3</v>
      </c>
      <c r="M257" s="1">
        <v>18</v>
      </c>
      <c r="N257" s="1">
        <v>20</v>
      </c>
      <c r="O257" s="1">
        <v>27</v>
      </c>
      <c r="P257">
        <v>0.3145185185185187</v>
      </c>
      <c r="Q257">
        <v>0.35262626262626268</v>
      </c>
      <c r="R257">
        <v>3.860952380952383E-2</v>
      </c>
    </row>
    <row r="258" spans="1:18">
      <c r="A258" s="1">
        <v>41</v>
      </c>
      <c r="B258" s="1">
        <v>1</v>
      </c>
      <c r="C258" s="1">
        <v>1</v>
      </c>
      <c r="D258" s="1">
        <v>0</v>
      </c>
      <c r="E258" s="1">
        <v>1</v>
      </c>
      <c r="F258" s="1">
        <v>9</v>
      </c>
      <c r="G258" s="1">
        <v>6</v>
      </c>
      <c r="H258" s="1">
        <v>2</v>
      </c>
      <c r="I258" s="1">
        <v>1</v>
      </c>
      <c r="J258" s="1">
        <v>3</v>
      </c>
      <c r="K258" s="1">
        <v>3</v>
      </c>
      <c r="L258" s="1">
        <v>3</v>
      </c>
      <c r="M258" s="1">
        <v>18</v>
      </c>
      <c r="N258" s="1">
        <v>20</v>
      </c>
      <c r="O258" s="1">
        <v>27</v>
      </c>
      <c r="P258">
        <v>0.3836957671957672</v>
      </c>
      <c r="Q258">
        <v>0.57532828282828274</v>
      </c>
      <c r="R258">
        <v>4.2880952380952388E-2</v>
      </c>
    </row>
    <row r="259" spans="1:18">
      <c r="A259" s="1">
        <v>42</v>
      </c>
      <c r="B259" s="1">
        <v>0</v>
      </c>
      <c r="C259" s="1">
        <v>0</v>
      </c>
      <c r="D259" s="1">
        <v>0</v>
      </c>
      <c r="E259" s="1">
        <v>1</v>
      </c>
      <c r="F259" s="1">
        <v>0</v>
      </c>
      <c r="G259" s="1">
        <v>0</v>
      </c>
      <c r="H259" s="1">
        <v>0</v>
      </c>
      <c r="I259" s="1">
        <v>1</v>
      </c>
      <c r="J259" s="1">
        <v>0</v>
      </c>
      <c r="K259" s="1">
        <v>0</v>
      </c>
      <c r="L259" s="1">
        <v>3</v>
      </c>
      <c r="M259" s="1">
        <v>18</v>
      </c>
      <c r="N259" s="1">
        <v>20</v>
      </c>
      <c r="O259" s="1">
        <v>27</v>
      </c>
      <c r="P259">
        <v>0.17430158730158724</v>
      </c>
      <c r="Q259">
        <v>0.33348484848484844</v>
      </c>
      <c r="R259">
        <v>5.0228571428571435E-2</v>
      </c>
    </row>
    <row r="260" spans="1:18">
      <c r="A260" s="1">
        <v>43</v>
      </c>
      <c r="B260" s="1">
        <v>1</v>
      </c>
      <c r="C260" s="1">
        <v>1</v>
      </c>
      <c r="D260" s="1">
        <v>0</v>
      </c>
      <c r="E260" s="1">
        <v>1</v>
      </c>
      <c r="F260" s="1">
        <v>7</v>
      </c>
      <c r="G260" s="1">
        <v>6</v>
      </c>
      <c r="H260" s="1">
        <v>2</v>
      </c>
      <c r="I260" s="1">
        <v>1</v>
      </c>
      <c r="J260" s="1">
        <v>3</v>
      </c>
      <c r="K260" s="1">
        <v>3</v>
      </c>
      <c r="L260" s="1">
        <v>3</v>
      </c>
      <c r="M260" s="1">
        <v>18</v>
      </c>
      <c r="N260" s="1">
        <v>20</v>
      </c>
      <c r="O260" s="1">
        <v>27</v>
      </c>
      <c r="P260">
        <v>0.5377645502645505</v>
      </c>
      <c r="Q260">
        <v>0.52255050505050515</v>
      </c>
      <c r="R260">
        <v>4.1419047619047605E-2</v>
      </c>
    </row>
    <row r="261" spans="1:18">
      <c r="A261" s="1">
        <v>44</v>
      </c>
      <c r="B261" s="1">
        <v>0</v>
      </c>
      <c r="C261" s="1">
        <v>1</v>
      </c>
      <c r="D261" s="1">
        <v>0</v>
      </c>
      <c r="E261" s="1">
        <v>0</v>
      </c>
      <c r="F261" s="1">
        <v>5</v>
      </c>
      <c r="G261" s="1">
        <v>6</v>
      </c>
      <c r="H261" s="1">
        <v>1</v>
      </c>
      <c r="I261" s="1">
        <v>1</v>
      </c>
      <c r="J261" s="1">
        <v>2</v>
      </c>
      <c r="K261" s="1">
        <v>2</v>
      </c>
      <c r="L261" s="1">
        <v>3</v>
      </c>
      <c r="M261" s="1">
        <v>18</v>
      </c>
      <c r="N261" s="1">
        <v>20</v>
      </c>
      <c r="O261" s="1">
        <v>27</v>
      </c>
      <c r="P261">
        <v>0.2969417989417989</v>
      </c>
      <c r="Q261">
        <v>0.30252525252525247</v>
      </c>
      <c r="R261">
        <v>5.385238095238095E-2</v>
      </c>
    </row>
    <row r="262" spans="1:18">
      <c r="A262" s="1">
        <v>45</v>
      </c>
      <c r="B262" s="1">
        <v>0</v>
      </c>
      <c r="C262" s="1">
        <v>1</v>
      </c>
      <c r="D262" s="1">
        <v>0</v>
      </c>
      <c r="E262" s="1">
        <v>1</v>
      </c>
      <c r="F262" s="1">
        <v>5</v>
      </c>
      <c r="G262" s="1">
        <v>6</v>
      </c>
      <c r="H262" s="1">
        <v>1</v>
      </c>
      <c r="I262" s="1">
        <v>1</v>
      </c>
      <c r="J262" s="1">
        <v>2</v>
      </c>
      <c r="K262" s="1">
        <v>2</v>
      </c>
      <c r="L262" s="1">
        <v>3</v>
      </c>
      <c r="M262" s="1">
        <v>18</v>
      </c>
      <c r="N262" s="1">
        <v>20</v>
      </c>
      <c r="O262" s="1">
        <v>27</v>
      </c>
      <c r="P262">
        <v>0.4332619047619044</v>
      </c>
      <c r="Q262">
        <v>0.46795454545454535</v>
      </c>
      <c r="R262">
        <v>4.5766666666666671E-2</v>
      </c>
    </row>
    <row r="263" spans="1:18">
      <c r="A263" s="1">
        <v>46</v>
      </c>
      <c r="B263" s="1">
        <v>0</v>
      </c>
      <c r="C263" s="1">
        <v>1</v>
      </c>
      <c r="D263" s="1">
        <v>0</v>
      </c>
      <c r="E263" s="1">
        <v>1</v>
      </c>
      <c r="F263" s="1">
        <v>6</v>
      </c>
      <c r="G263" s="1">
        <v>6</v>
      </c>
      <c r="H263" s="1">
        <v>1</v>
      </c>
      <c r="I263" s="1">
        <v>1</v>
      </c>
      <c r="J263" s="1">
        <v>2</v>
      </c>
      <c r="K263" s="1">
        <v>2</v>
      </c>
      <c r="L263" s="1">
        <v>3</v>
      </c>
      <c r="M263" s="1">
        <v>18</v>
      </c>
      <c r="N263" s="1">
        <v>20</v>
      </c>
      <c r="O263" s="1">
        <v>27</v>
      </c>
      <c r="P263">
        <v>0.50243915343915369</v>
      </c>
      <c r="Q263">
        <v>0.43247474747474757</v>
      </c>
      <c r="R263">
        <v>4.4557142857142865E-2</v>
      </c>
    </row>
    <row r="264" spans="1:18">
      <c r="A264" s="1">
        <v>47</v>
      </c>
      <c r="B264" s="1">
        <v>1</v>
      </c>
      <c r="C264" s="1">
        <v>1</v>
      </c>
      <c r="D264" s="1">
        <v>1</v>
      </c>
      <c r="E264" s="1">
        <v>1</v>
      </c>
      <c r="F264" s="1">
        <v>16</v>
      </c>
      <c r="G264" s="1">
        <v>6</v>
      </c>
      <c r="H264" s="1">
        <v>3</v>
      </c>
      <c r="I264" s="1">
        <v>1</v>
      </c>
      <c r="J264" s="1">
        <v>5</v>
      </c>
      <c r="K264" s="1">
        <v>6</v>
      </c>
      <c r="L264" s="1">
        <v>3</v>
      </c>
      <c r="M264" s="1">
        <v>18</v>
      </c>
      <c r="N264" s="1">
        <v>20</v>
      </c>
      <c r="O264" s="1">
        <v>27</v>
      </c>
      <c r="P264">
        <v>0.69304497354497363</v>
      </c>
      <c r="Q264">
        <v>0.59517676767676797</v>
      </c>
      <c r="R264">
        <v>5.3052380952380976E-2</v>
      </c>
    </row>
    <row r="265" spans="1:18">
      <c r="A265" s="1">
        <v>48</v>
      </c>
      <c r="B265" s="1">
        <v>0</v>
      </c>
      <c r="C265" s="1">
        <v>1</v>
      </c>
      <c r="D265" s="1">
        <v>1</v>
      </c>
      <c r="E265" s="1">
        <v>1</v>
      </c>
      <c r="F265" s="1">
        <v>12</v>
      </c>
      <c r="G265" s="1">
        <v>6</v>
      </c>
      <c r="H265" s="1">
        <v>2</v>
      </c>
      <c r="I265" s="1">
        <v>1</v>
      </c>
      <c r="J265" s="1">
        <v>4</v>
      </c>
      <c r="K265" s="1">
        <v>4</v>
      </c>
      <c r="L265" s="1">
        <v>3</v>
      </c>
      <c r="M265" s="1">
        <v>18</v>
      </c>
      <c r="N265" s="1">
        <v>20</v>
      </c>
      <c r="O265" s="1">
        <v>27</v>
      </c>
      <c r="P265">
        <v>0.23650793650793656</v>
      </c>
      <c r="Q265">
        <v>0.11424242424242424</v>
      </c>
      <c r="R265">
        <v>3.6847619047619053E-2</v>
      </c>
    </row>
    <row r="266" spans="1:18">
      <c r="A266" s="1">
        <v>49</v>
      </c>
      <c r="B266" s="1">
        <v>1</v>
      </c>
      <c r="C266" s="1">
        <v>0</v>
      </c>
      <c r="D266" s="1">
        <v>0</v>
      </c>
      <c r="E266" s="1">
        <v>1</v>
      </c>
      <c r="F266" s="1">
        <v>2</v>
      </c>
      <c r="G266" s="1">
        <v>6</v>
      </c>
      <c r="H266" s="1">
        <v>1</v>
      </c>
      <c r="I266" s="1">
        <v>1</v>
      </c>
      <c r="J266" s="1">
        <v>1</v>
      </c>
      <c r="K266" s="1">
        <v>1</v>
      </c>
      <c r="L266" s="1">
        <v>3</v>
      </c>
      <c r="M266" s="1">
        <v>18</v>
      </c>
      <c r="N266" s="1">
        <v>20</v>
      </c>
      <c r="O266" s="1">
        <v>27</v>
      </c>
      <c r="P266">
        <v>0.50139947089947079</v>
      </c>
      <c r="Q266">
        <v>0.48512626262626263</v>
      </c>
      <c r="R266">
        <v>5.5552380952380923E-2</v>
      </c>
    </row>
    <row r="267" spans="1:18">
      <c r="A267" s="1">
        <v>50</v>
      </c>
      <c r="B267" s="1">
        <v>1</v>
      </c>
      <c r="C267" s="1">
        <v>1</v>
      </c>
      <c r="D267" s="1">
        <v>1</v>
      </c>
      <c r="E267" s="1">
        <v>1</v>
      </c>
      <c r="F267" s="1">
        <v>17</v>
      </c>
      <c r="G267" s="1">
        <v>6</v>
      </c>
      <c r="H267" s="1">
        <v>3</v>
      </c>
      <c r="I267" s="1">
        <v>1</v>
      </c>
      <c r="J267" s="1">
        <v>5</v>
      </c>
      <c r="K267" s="1">
        <v>6</v>
      </c>
      <c r="L267" s="1">
        <v>3</v>
      </c>
      <c r="M267" s="1">
        <v>18</v>
      </c>
      <c r="N267" s="1">
        <v>20</v>
      </c>
      <c r="O267" s="1">
        <v>27</v>
      </c>
      <c r="P267">
        <v>0.41486243386243388</v>
      </c>
      <c r="Q267">
        <v>0.3405555555555555</v>
      </c>
      <c r="R267">
        <v>4.3352380952380955E-2</v>
      </c>
    </row>
    <row r="268" spans="1:18">
      <c r="A268" s="1">
        <v>51</v>
      </c>
      <c r="B268" s="1">
        <v>0</v>
      </c>
      <c r="C268" s="1">
        <v>1</v>
      </c>
      <c r="D268" s="1">
        <v>1</v>
      </c>
      <c r="E268" s="1">
        <v>0</v>
      </c>
      <c r="F268" s="1">
        <v>11</v>
      </c>
      <c r="G268" s="1">
        <v>6</v>
      </c>
      <c r="H268" s="1">
        <v>2</v>
      </c>
      <c r="I268" s="1">
        <v>1</v>
      </c>
      <c r="J268" s="1">
        <v>4</v>
      </c>
      <c r="K268" s="1">
        <v>4</v>
      </c>
      <c r="L268" s="1">
        <v>3</v>
      </c>
      <c r="M268" s="1">
        <v>18</v>
      </c>
      <c r="N268" s="1">
        <v>20</v>
      </c>
      <c r="O268" s="1">
        <v>27</v>
      </c>
      <c r="P268">
        <v>0.44403968253968251</v>
      </c>
      <c r="Q268">
        <v>0.51507575757575741</v>
      </c>
      <c r="R268">
        <v>4.3247619047619042E-2</v>
      </c>
    </row>
    <row r="269" spans="1:18">
      <c r="A269" s="1">
        <v>52</v>
      </c>
      <c r="B269" s="1">
        <v>0</v>
      </c>
      <c r="C269" s="1">
        <v>1</v>
      </c>
      <c r="D269" s="1">
        <v>1</v>
      </c>
      <c r="E269" s="1">
        <v>1</v>
      </c>
      <c r="F269" s="1">
        <v>11</v>
      </c>
      <c r="G269" s="1">
        <v>6</v>
      </c>
      <c r="H269" s="1">
        <v>2</v>
      </c>
      <c r="I269" s="1">
        <v>1</v>
      </c>
      <c r="J269" s="1">
        <v>4</v>
      </c>
      <c r="K269" s="1">
        <v>4</v>
      </c>
      <c r="L269" s="1">
        <v>3</v>
      </c>
      <c r="M269" s="1">
        <v>18</v>
      </c>
      <c r="N269" s="1">
        <v>20</v>
      </c>
      <c r="O269" s="1">
        <v>27</v>
      </c>
      <c r="P269">
        <v>0.40035978835978853</v>
      </c>
      <c r="Q269">
        <v>0.37050505050505061</v>
      </c>
      <c r="R269">
        <v>5.3904761904761914E-2</v>
      </c>
    </row>
    <row r="270" spans="1:18">
      <c r="A270" s="1">
        <v>53</v>
      </c>
      <c r="B270" s="1">
        <v>1</v>
      </c>
      <c r="C270" s="1">
        <v>1</v>
      </c>
      <c r="D270" s="1">
        <v>1</v>
      </c>
      <c r="E270" s="1">
        <v>1</v>
      </c>
      <c r="F270" s="1">
        <v>15</v>
      </c>
      <c r="G270" s="1">
        <v>6</v>
      </c>
      <c r="H270" s="1">
        <v>3</v>
      </c>
      <c r="I270" s="1">
        <v>1</v>
      </c>
      <c r="J270" s="1">
        <v>5</v>
      </c>
      <c r="K270" s="1">
        <v>5</v>
      </c>
      <c r="L270" s="1">
        <v>3</v>
      </c>
      <c r="M270" s="1">
        <v>18</v>
      </c>
      <c r="N270" s="1">
        <v>20</v>
      </c>
      <c r="O270" s="1">
        <v>27</v>
      </c>
      <c r="P270">
        <v>0.36953703703703716</v>
      </c>
      <c r="Q270">
        <v>0.51775252525252535</v>
      </c>
      <c r="R270">
        <v>4.1309523809523817E-2</v>
      </c>
    </row>
    <row r="271" spans="1:18">
      <c r="A271" s="1">
        <v>54</v>
      </c>
      <c r="B271" s="1">
        <v>1</v>
      </c>
      <c r="C271" s="1">
        <v>1</v>
      </c>
      <c r="D271" s="1">
        <v>1</v>
      </c>
      <c r="E271" s="1">
        <v>1</v>
      </c>
      <c r="F271" s="1">
        <v>19</v>
      </c>
      <c r="G271" s="1">
        <v>6</v>
      </c>
      <c r="H271" s="1">
        <v>3</v>
      </c>
      <c r="I271" s="1">
        <v>1</v>
      </c>
      <c r="J271" s="1">
        <v>5</v>
      </c>
      <c r="K271" s="1">
        <v>6</v>
      </c>
      <c r="L271" s="1">
        <v>3</v>
      </c>
      <c r="M271" s="1">
        <v>18</v>
      </c>
      <c r="N271" s="1">
        <v>20</v>
      </c>
      <c r="O271" s="1">
        <v>27</v>
      </c>
      <c r="P271">
        <v>0.45585714285714296</v>
      </c>
      <c r="Q271">
        <v>0.435</v>
      </c>
      <c r="R271">
        <v>4.7109523809523789E-2</v>
      </c>
    </row>
    <row r="272" spans="1:18">
      <c r="A272" s="1">
        <v>55</v>
      </c>
      <c r="B272" s="1">
        <v>0</v>
      </c>
      <c r="C272" s="1">
        <v>1</v>
      </c>
      <c r="D272" s="1">
        <v>1</v>
      </c>
      <c r="E272" s="1">
        <v>0</v>
      </c>
      <c r="F272" s="1">
        <v>11</v>
      </c>
      <c r="G272" s="1">
        <v>6</v>
      </c>
      <c r="H272" s="1">
        <v>2</v>
      </c>
      <c r="I272" s="1">
        <v>2</v>
      </c>
      <c r="J272" s="1">
        <v>4</v>
      </c>
      <c r="K272" s="1">
        <v>4</v>
      </c>
      <c r="L272" s="1">
        <v>3</v>
      </c>
      <c r="M272" s="1">
        <v>18</v>
      </c>
      <c r="N272" s="1">
        <v>20</v>
      </c>
      <c r="O272" s="1">
        <v>27</v>
      </c>
      <c r="P272">
        <v>0.4593201058201058</v>
      </c>
      <c r="Q272">
        <v>0.30497474747474751</v>
      </c>
      <c r="R272">
        <v>4.4971428571428565E-2</v>
      </c>
    </row>
    <row r="273" spans="1:18">
      <c r="A273" s="1">
        <v>56</v>
      </c>
      <c r="B273" s="1">
        <v>0</v>
      </c>
      <c r="C273" s="1">
        <v>1</v>
      </c>
      <c r="D273" s="1">
        <v>1</v>
      </c>
      <c r="E273" s="1">
        <v>0</v>
      </c>
      <c r="F273" s="1">
        <v>10</v>
      </c>
      <c r="G273" s="1">
        <v>6</v>
      </c>
      <c r="H273" s="1">
        <v>2</v>
      </c>
      <c r="I273" s="1">
        <v>2</v>
      </c>
      <c r="J273" s="1">
        <v>4</v>
      </c>
      <c r="K273" s="1">
        <v>4</v>
      </c>
      <c r="L273" s="1">
        <v>3</v>
      </c>
      <c r="M273" s="1">
        <v>18</v>
      </c>
      <c r="N273" s="1">
        <v>20</v>
      </c>
      <c r="O273" s="1">
        <v>27</v>
      </c>
      <c r="P273">
        <v>0.27564021164021163</v>
      </c>
      <c r="Q273">
        <v>0.28676767676767678</v>
      </c>
      <c r="R273">
        <v>4.1023809523809539E-2</v>
      </c>
    </row>
    <row r="274" spans="1:18">
      <c r="A274" s="1">
        <v>57</v>
      </c>
      <c r="B274" s="1">
        <v>1</v>
      </c>
      <c r="C274" s="1">
        <v>1</v>
      </c>
      <c r="D274" s="1">
        <v>1</v>
      </c>
      <c r="E274" s="1">
        <v>0</v>
      </c>
      <c r="F274" s="1">
        <v>20</v>
      </c>
      <c r="G274" s="1">
        <v>18</v>
      </c>
      <c r="H274" s="1">
        <v>3</v>
      </c>
      <c r="I274" s="1">
        <v>2</v>
      </c>
      <c r="J274" s="1">
        <v>6</v>
      </c>
      <c r="K274" s="1">
        <v>7</v>
      </c>
      <c r="L274" s="1">
        <v>3</v>
      </c>
      <c r="M274" s="1">
        <v>18</v>
      </c>
      <c r="N274" s="1">
        <v>20</v>
      </c>
      <c r="O274" s="1">
        <v>27</v>
      </c>
      <c r="P274">
        <v>0.39196031746031729</v>
      </c>
      <c r="Q274">
        <v>0.55310606060606071</v>
      </c>
      <c r="R274">
        <v>4.5971428571428587E-2</v>
      </c>
    </row>
    <row r="275" spans="1:18">
      <c r="A275" s="1">
        <v>58</v>
      </c>
      <c r="B275" s="1">
        <v>1</v>
      </c>
      <c r="C275" s="1">
        <v>1</v>
      </c>
      <c r="D275" s="1">
        <v>1</v>
      </c>
      <c r="E275" s="1">
        <v>0</v>
      </c>
      <c r="F275" s="1">
        <v>25</v>
      </c>
      <c r="G275" s="1">
        <v>18</v>
      </c>
      <c r="H275" s="1">
        <v>3</v>
      </c>
      <c r="I275" s="1">
        <v>2</v>
      </c>
      <c r="J275" s="1">
        <v>6</v>
      </c>
      <c r="K275" s="1">
        <v>7</v>
      </c>
      <c r="L275" s="1">
        <v>3</v>
      </c>
      <c r="M275" s="1">
        <v>18</v>
      </c>
      <c r="N275" s="1">
        <v>20</v>
      </c>
      <c r="O275" s="1">
        <v>27</v>
      </c>
      <c r="P275">
        <v>0.54113756613756614</v>
      </c>
      <c r="Q275">
        <v>0.51398989898989911</v>
      </c>
      <c r="R275">
        <v>5.3690476190476191E-2</v>
      </c>
    </row>
    <row r="276" spans="1:18">
      <c r="A276" s="1">
        <v>59</v>
      </c>
      <c r="B276" s="1">
        <v>1</v>
      </c>
      <c r="C276" s="1">
        <v>1</v>
      </c>
      <c r="D276" s="1">
        <v>1</v>
      </c>
      <c r="E276" s="1">
        <v>0</v>
      </c>
      <c r="F276" s="1">
        <v>17</v>
      </c>
      <c r="G276" s="1">
        <v>6</v>
      </c>
      <c r="H276" s="1">
        <v>3</v>
      </c>
      <c r="I276" s="1">
        <v>2</v>
      </c>
      <c r="J276" s="1">
        <v>5</v>
      </c>
      <c r="K276" s="1">
        <v>6</v>
      </c>
      <c r="L276" s="1">
        <v>3</v>
      </c>
      <c r="M276" s="1">
        <v>18</v>
      </c>
      <c r="N276" s="1">
        <v>20</v>
      </c>
      <c r="O276" s="1">
        <v>27</v>
      </c>
      <c r="P276">
        <v>0.35602910052910047</v>
      </c>
      <c r="Q276">
        <v>0.35941919191919197</v>
      </c>
      <c r="R276">
        <v>3.8795238095238105E-2</v>
      </c>
    </row>
    <row r="277" spans="1:18">
      <c r="A277" s="1">
        <v>60</v>
      </c>
      <c r="B277" s="1">
        <v>1</v>
      </c>
      <c r="C277" s="1">
        <v>1</v>
      </c>
      <c r="D277" s="1">
        <v>1</v>
      </c>
      <c r="E277" s="1">
        <v>0</v>
      </c>
      <c r="F277" s="1">
        <v>23</v>
      </c>
      <c r="G277" s="1">
        <v>18</v>
      </c>
      <c r="H277" s="1">
        <v>3</v>
      </c>
      <c r="I277" s="1">
        <v>2</v>
      </c>
      <c r="J277" s="1">
        <v>6</v>
      </c>
      <c r="K277" s="1">
        <v>7</v>
      </c>
      <c r="L277" s="1">
        <v>3</v>
      </c>
      <c r="M277" s="1">
        <v>18</v>
      </c>
      <c r="N277" s="1">
        <v>20</v>
      </c>
      <c r="O277" s="1">
        <v>27</v>
      </c>
      <c r="P277">
        <v>0.55520634920634915</v>
      </c>
      <c r="Q277">
        <v>0.48212121212121201</v>
      </c>
      <c r="R277">
        <v>4.1352380952380967E-2</v>
      </c>
    </row>
    <row r="278" spans="1:18">
      <c r="A278" s="1">
        <v>61</v>
      </c>
      <c r="B278" s="1">
        <v>0</v>
      </c>
      <c r="C278" s="1">
        <v>1</v>
      </c>
      <c r="D278" s="1">
        <v>0</v>
      </c>
      <c r="E278" s="1">
        <v>0</v>
      </c>
      <c r="F278" s="1">
        <v>6</v>
      </c>
      <c r="G278" s="1">
        <v>6</v>
      </c>
      <c r="H278" s="1">
        <v>1</v>
      </c>
      <c r="I278" s="1">
        <v>2</v>
      </c>
      <c r="J278" s="1">
        <v>2</v>
      </c>
      <c r="K278" s="1">
        <v>2</v>
      </c>
      <c r="L278" s="1">
        <v>3</v>
      </c>
      <c r="M278" s="1">
        <v>18</v>
      </c>
      <c r="N278" s="1">
        <v>20</v>
      </c>
      <c r="O278" s="1">
        <v>27</v>
      </c>
      <c r="P278">
        <v>0.57866931216931228</v>
      </c>
      <c r="Q278">
        <v>0.43664141414141416</v>
      </c>
      <c r="R278">
        <v>4.1723809523809517E-2</v>
      </c>
    </row>
    <row r="279" spans="1:18">
      <c r="A279" s="1">
        <v>62</v>
      </c>
      <c r="B279" s="1">
        <v>0</v>
      </c>
      <c r="C279" s="1">
        <v>1</v>
      </c>
      <c r="D279" s="1">
        <v>0</v>
      </c>
      <c r="E279" s="1">
        <v>0</v>
      </c>
      <c r="F279" s="1">
        <v>5</v>
      </c>
      <c r="G279" s="1">
        <v>6</v>
      </c>
      <c r="H279" s="1">
        <v>1</v>
      </c>
      <c r="I279" s="1">
        <v>2</v>
      </c>
      <c r="J279" s="1">
        <v>2</v>
      </c>
      <c r="K279" s="1">
        <v>2</v>
      </c>
      <c r="L279" s="1">
        <v>3</v>
      </c>
      <c r="M279" s="1">
        <v>18</v>
      </c>
      <c r="N279" s="1">
        <v>20</v>
      </c>
      <c r="O279" s="1">
        <v>27</v>
      </c>
      <c r="P279">
        <v>0.42784656084656042</v>
      </c>
      <c r="Q279">
        <v>0.34025252525252497</v>
      </c>
      <c r="R279">
        <v>6.0666666666666647E-2</v>
      </c>
    </row>
    <row r="280" spans="1:18">
      <c r="A280" s="1">
        <v>63</v>
      </c>
      <c r="B280" s="1">
        <v>0</v>
      </c>
      <c r="C280" s="1">
        <v>1</v>
      </c>
      <c r="D280" s="1">
        <v>0</v>
      </c>
      <c r="E280" s="1">
        <v>1</v>
      </c>
      <c r="F280" s="1">
        <v>5</v>
      </c>
      <c r="G280" s="1">
        <v>6</v>
      </c>
      <c r="H280" s="1">
        <v>1</v>
      </c>
      <c r="I280" s="1">
        <v>2</v>
      </c>
      <c r="J280" s="1">
        <v>2</v>
      </c>
      <c r="K280" s="1">
        <v>2</v>
      </c>
      <c r="L280" s="1">
        <v>3</v>
      </c>
      <c r="M280" s="1">
        <v>18</v>
      </c>
      <c r="N280" s="1">
        <v>20</v>
      </c>
      <c r="O280" s="1">
        <v>27</v>
      </c>
      <c r="P280">
        <v>0.41988095238095241</v>
      </c>
      <c r="Q280">
        <v>0.54568181818181816</v>
      </c>
      <c r="R280">
        <v>4.6890476190476198E-2</v>
      </c>
    </row>
    <row r="281" spans="1:18">
      <c r="A281" s="1">
        <v>64</v>
      </c>
      <c r="B281" s="1">
        <v>1</v>
      </c>
      <c r="C281" s="1">
        <v>1</v>
      </c>
      <c r="D281" s="1">
        <v>0</v>
      </c>
      <c r="E281" s="1">
        <v>0</v>
      </c>
      <c r="F281" s="1">
        <v>9</v>
      </c>
      <c r="G281" s="1">
        <v>6</v>
      </c>
      <c r="H281" s="1">
        <v>2</v>
      </c>
      <c r="I281" s="1">
        <v>2</v>
      </c>
      <c r="J281" s="1">
        <v>3</v>
      </c>
      <c r="K281" s="1">
        <v>3</v>
      </c>
      <c r="L281" s="1">
        <v>3</v>
      </c>
      <c r="M281" s="1">
        <v>18</v>
      </c>
      <c r="N281" s="1">
        <v>20</v>
      </c>
      <c r="O281" s="1">
        <v>27</v>
      </c>
      <c r="P281">
        <v>0.60048677248677229</v>
      </c>
      <c r="Q281">
        <v>0.55838383838383832</v>
      </c>
      <c r="R281">
        <v>5.0580952380952393E-2</v>
      </c>
    </row>
    <row r="282" spans="1:18">
      <c r="A282" s="1">
        <v>65</v>
      </c>
      <c r="B282" s="1">
        <v>1</v>
      </c>
      <c r="C282" s="1">
        <v>1</v>
      </c>
      <c r="D282" s="1">
        <v>1</v>
      </c>
      <c r="E282" s="1">
        <v>0</v>
      </c>
      <c r="F282" s="1">
        <v>15</v>
      </c>
      <c r="G282" s="1">
        <v>6</v>
      </c>
      <c r="H282" s="1">
        <v>3</v>
      </c>
      <c r="I282" s="1">
        <v>2</v>
      </c>
      <c r="J282" s="1">
        <v>5</v>
      </c>
      <c r="K282" s="1">
        <v>5</v>
      </c>
      <c r="L282" s="1">
        <v>3</v>
      </c>
      <c r="M282" s="1">
        <v>18</v>
      </c>
      <c r="N282" s="1">
        <v>20</v>
      </c>
      <c r="O282" s="1">
        <v>27</v>
      </c>
      <c r="P282">
        <v>0.32394973544973532</v>
      </c>
      <c r="Q282">
        <v>0.4429040404040403</v>
      </c>
      <c r="R282">
        <v>4.9633333333333335E-2</v>
      </c>
    </row>
    <row r="283" spans="1:18">
      <c r="A283" s="1">
        <v>66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2</v>
      </c>
      <c r="J283" s="1">
        <v>0</v>
      </c>
      <c r="K283" s="1">
        <v>0</v>
      </c>
      <c r="L283" s="1">
        <v>3</v>
      </c>
      <c r="M283" s="1">
        <v>18</v>
      </c>
      <c r="N283" s="1">
        <v>20</v>
      </c>
      <c r="O283" s="1">
        <v>27</v>
      </c>
      <c r="P283">
        <v>0.38026984126984126</v>
      </c>
      <c r="Q283">
        <v>0.33106060606060606</v>
      </c>
      <c r="R283">
        <v>4.7885714285714295E-2</v>
      </c>
    </row>
    <row r="284" spans="1:18">
      <c r="A284" s="1">
        <v>67</v>
      </c>
      <c r="B284" s="1">
        <v>1</v>
      </c>
      <c r="C284" s="1">
        <v>1</v>
      </c>
      <c r="D284" s="1">
        <v>1</v>
      </c>
      <c r="E284" s="1">
        <v>0</v>
      </c>
      <c r="F284" s="1">
        <v>18</v>
      </c>
      <c r="G284" s="1">
        <v>6</v>
      </c>
      <c r="H284" s="1">
        <v>3</v>
      </c>
      <c r="I284" s="1">
        <v>2</v>
      </c>
      <c r="J284" s="1">
        <v>5</v>
      </c>
      <c r="K284" s="1">
        <v>6</v>
      </c>
      <c r="L284" s="1">
        <v>3</v>
      </c>
      <c r="M284" s="1">
        <v>18</v>
      </c>
      <c r="N284" s="1">
        <v>20</v>
      </c>
      <c r="O284" s="1">
        <v>27</v>
      </c>
      <c r="P284">
        <v>0.38944708994709004</v>
      </c>
      <c r="Q284">
        <v>0.53830808080808101</v>
      </c>
      <c r="R284">
        <v>4.9623809523809501E-2</v>
      </c>
    </row>
    <row r="285" spans="1:18">
      <c r="A285" s="1">
        <v>68</v>
      </c>
      <c r="B285" s="1">
        <v>1</v>
      </c>
      <c r="C285" s="1">
        <v>1</v>
      </c>
      <c r="D285" s="1">
        <v>0</v>
      </c>
      <c r="E285" s="1">
        <v>0</v>
      </c>
      <c r="F285" s="1">
        <v>8</v>
      </c>
      <c r="G285" s="1">
        <v>6</v>
      </c>
      <c r="H285" s="1">
        <v>2</v>
      </c>
      <c r="I285" s="1">
        <v>2</v>
      </c>
      <c r="J285" s="1">
        <v>3</v>
      </c>
      <c r="K285" s="1">
        <v>3</v>
      </c>
      <c r="L285" s="1">
        <v>3</v>
      </c>
      <c r="M285" s="1">
        <v>18</v>
      </c>
      <c r="N285" s="1">
        <v>20</v>
      </c>
      <c r="O285" s="1">
        <v>27</v>
      </c>
      <c r="P285">
        <v>0.48005291005291034</v>
      </c>
      <c r="Q285">
        <v>0.43737373737373741</v>
      </c>
      <c r="R285">
        <v>4.541904761904763E-2</v>
      </c>
    </row>
    <row r="286" spans="1:18">
      <c r="A286" s="1">
        <v>69</v>
      </c>
      <c r="B286" s="1">
        <v>0</v>
      </c>
      <c r="C286" s="1">
        <v>1</v>
      </c>
      <c r="D286" s="1">
        <v>0</v>
      </c>
      <c r="E286" s="1">
        <v>0</v>
      </c>
      <c r="F286" s="1">
        <v>4</v>
      </c>
      <c r="G286" s="1">
        <v>6</v>
      </c>
      <c r="H286" s="1">
        <v>1</v>
      </c>
      <c r="I286" s="1">
        <v>2</v>
      </c>
      <c r="J286" s="1">
        <v>2</v>
      </c>
      <c r="K286" s="1">
        <v>2</v>
      </c>
      <c r="L286" s="1">
        <v>3</v>
      </c>
      <c r="M286" s="1">
        <v>18</v>
      </c>
      <c r="N286" s="1">
        <v>20</v>
      </c>
      <c r="O286" s="1">
        <v>27</v>
      </c>
      <c r="P286">
        <v>0.31780158730158731</v>
      </c>
      <c r="Q286">
        <v>0.25734848484848483</v>
      </c>
      <c r="R286">
        <v>5.2342857142857128E-2</v>
      </c>
    </row>
    <row r="287" spans="1:18">
      <c r="A287" s="1">
        <v>70</v>
      </c>
      <c r="B287" s="1">
        <v>1</v>
      </c>
      <c r="C287" s="1">
        <v>1</v>
      </c>
      <c r="D287" s="1">
        <v>1</v>
      </c>
      <c r="E287" s="1">
        <v>0</v>
      </c>
      <c r="F287" s="1">
        <v>21</v>
      </c>
      <c r="G287" s="1">
        <v>18</v>
      </c>
      <c r="H287" s="1">
        <v>3</v>
      </c>
      <c r="I287" s="1">
        <v>2</v>
      </c>
      <c r="J287" s="1">
        <v>6</v>
      </c>
      <c r="K287" s="1">
        <v>7</v>
      </c>
      <c r="L287" s="1">
        <v>3</v>
      </c>
      <c r="M287" s="1">
        <v>18</v>
      </c>
      <c r="N287" s="1">
        <v>20</v>
      </c>
      <c r="O287" s="1">
        <v>27</v>
      </c>
      <c r="P287">
        <v>0.50983597883597909</v>
      </c>
      <c r="Q287">
        <v>0.42914141414141421</v>
      </c>
      <c r="R287">
        <v>5.2295238095238089E-2</v>
      </c>
    </row>
    <row r="288" spans="1:18">
      <c r="A288" s="1">
        <v>71</v>
      </c>
      <c r="B288" s="1">
        <v>1</v>
      </c>
      <c r="C288" s="1">
        <v>0</v>
      </c>
      <c r="D288" s="1">
        <v>0</v>
      </c>
      <c r="E288" s="1">
        <v>0</v>
      </c>
      <c r="F288" s="1">
        <v>2</v>
      </c>
      <c r="G288" s="1">
        <v>6</v>
      </c>
      <c r="H288" s="1">
        <v>1</v>
      </c>
      <c r="I288" s="1">
        <v>2</v>
      </c>
      <c r="J288" s="1">
        <v>1</v>
      </c>
      <c r="K288" s="1">
        <v>1</v>
      </c>
      <c r="L288" s="1">
        <v>3</v>
      </c>
      <c r="M288" s="1">
        <v>18</v>
      </c>
      <c r="N288" s="1">
        <v>20</v>
      </c>
      <c r="O288" s="1">
        <v>27</v>
      </c>
      <c r="P288">
        <v>0.49758465608465613</v>
      </c>
      <c r="Q288">
        <v>0.49911616161616157</v>
      </c>
      <c r="R288">
        <v>6.2480952380952401E-2</v>
      </c>
    </row>
    <row r="289" spans="1:18">
      <c r="A289" s="1">
        <v>72</v>
      </c>
      <c r="B289" s="1">
        <v>1</v>
      </c>
      <c r="C289" s="1">
        <v>1</v>
      </c>
      <c r="D289" s="1">
        <v>1</v>
      </c>
      <c r="E289" s="1">
        <v>0</v>
      </c>
      <c r="F289" s="1">
        <v>24</v>
      </c>
      <c r="G289" s="1">
        <v>18</v>
      </c>
      <c r="H289" s="1">
        <v>3</v>
      </c>
      <c r="I289" s="1">
        <v>2</v>
      </c>
      <c r="J289" s="1">
        <v>6</v>
      </c>
      <c r="K289" s="1">
        <v>7</v>
      </c>
      <c r="L289" s="1">
        <v>3</v>
      </c>
      <c r="M289" s="1">
        <v>18</v>
      </c>
      <c r="N289" s="1">
        <v>20</v>
      </c>
      <c r="O289" s="1">
        <v>27</v>
      </c>
      <c r="P289">
        <v>0.41104761904761894</v>
      </c>
      <c r="Q289">
        <v>0.50545454545454538</v>
      </c>
      <c r="R289">
        <v>4.8466666666666679E-2</v>
      </c>
    </row>
    <row r="290" spans="1:18">
      <c r="A290" s="1">
        <v>73</v>
      </c>
      <c r="B290" s="1">
        <v>1</v>
      </c>
      <c r="C290" s="1">
        <v>1</v>
      </c>
      <c r="D290" s="1">
        <v>1</v>
      </c>
      <c r="E290" s="1">
        <v>0</v>
      </c>
      <c r="F290" s="1">
        <v>14</v>
      </c>
      <c r="G290" s="1">
        <v>6</v>
      </c>
      <c r="H290" s="1">
        <v>3</v>
      </c>
      <c r="I290" s="1">
        <v>2</v>
      </c>
      <c r="J290" s="1">
        <v>5</v>
      </c>
      <c r="K290" s="1">
        <v>5</v>
      </c>
      <c r="L290" s="1">
        <v>3</v>
      </c>
      <c r="M290" s="1">
        <v>18</v>
      </c>
      <c r="N290" s="1">
        <v>20</v>
      </c>
      <c r="O290" s="1">
        <v>27</v>
      </c>
      <c r="P290">
        <v>0.62879629629629619</v>
      </c>
      <c r="Q290">
        <v>0.59724747474747464</v>
      </c>
      <c r="R290">
        <v>5.9100000000000014E-2</v>
      </c>
    </row>
    <row r="291" spans="1:18">
      <c r="A291" s="1">
        <v>74</v>
      </c>
      <c r="B291" s="1">
        <v>1</v>
      </c>
      <c r="C291" s="1">
        <v>1</v>
      </c>
      <c r="D291" s="1">
        <v>1</v>
      </c>
      <c r="E291" s="1">
        <v>0</v>
      </c>
      <c r="F291" s="1">
        <v>13</v>
      </c>
      <c r="G291" s="1">
        <v>6</v>
      </c>
      <c r="H291" s="1">
        <v>3</v>
      </c>
      <c r="I291" s="1">
        <v>2</v>
      </c>
      <c r="J291" s="1">
        <v>5</v>
      </c>
      <c r="K291" s="1">
        <v>5</v>
      </c>
      <c r="L291" s="1">
        <v>3</v>
      </c>
      <c r="M291" s="1">
        <v>18</v>
      </c>
      <c r="N291" s="1">
        <v>20</v>
      </c>
      <c r="O291" s="1">
        <v>27</v>
      </c>
      <c r="P291">
        <v>0.49940211640211629</v>
      </c>
      <c r="Q291">
        <v>0.39267676767676768</v>
      </c>
      <c r="R291">
        <v>4.6400000000000011E-2</v>
      </c>
    </row>
    <row r="292" spans="1:18">
      <c r="A292" s="1">
        <v>75</v>
      </c>
      <c r="B292" s="1">
        <v>0</v>
      </c>
      <c r="C292" s="1">
        <v>1</v>
      </c>
      <c r="D292" s="1">
        <v>0</v>
      </c>
      <c r="E292" s="1">
        <v>1</v>
      </c>
      <c r="F292" s="1">
        <v>6</v>
      </c>
      <c r="G292" s="1">
        <v>6</v>
      </c>
      <c r="H292" s="1">
        <v>1</v>
      </c>
      <c r="I292" s="1">
        <v>2</v>
      </c>
      <c r="J292" s="1">
        <v>2</v>
      </c>
      <c r="K292" s="1">
        <v>2</v>
      </c>
      <c r="L292" s="1">
        <v>3</v>
      </c>
      <c r="M292" s="1">
        <v>18</v>
      </c>
      <c r="N292" s="1">
        <v>20</v>
      </c>
      <c r="O292" s="1">
        <v>27</v>
      </c>
      <c r="P292">
        <v>0.40715079365079354</v>
      </c>
      <c r="Q292">
        <v>0.30537878787878792</v>
      </c>
      <c r="R292">
        <v>5.5209523809523819E-2</v>
      </c>
    </row>
    <row r="293" spans="1:18">
      <c r="A293" s="1">
        <v>76</v>
      </c>
      <c r="B293" s="1">
        <v>1</v>
      </c>
      <c r="C293" s="1">
        <v>0</v>
      </c>
      <c r="D293" s="1">
        <v>0</v>
      </c>
      <c r="E293" s="1">
        <v>0</v>
      </c>
      <c r="F293" s="1">
        <v>1</v>
      </c>
      <c r="G293" s="1">
        <v>6</v>
      </c>
      <c r="H293" s="1">
        <v>1</v>
      </c>
      <c r="I293" s="1">
        <v>2</v>
      </c>
      <c r="J293" s="1">
        <v>1</v>
      </c>
      <c r="K293" s="1">
        <v>1</v>
      </c>
      <c r="L293" s="1">
        <v>3</v>
      </c>
      <c r="M293" s="1">
        <v>18</v>
      </c>
      <c r="N293" s="1">
        <v>20</v>
      </c>
      <c r="O293" s="1">
        <v>27</v>
      </c>
      <c r="P293">
        <v>0.35489947089947116</v>
      </c>
      <c r="Q293">
        <v>0.41717171717171747</v>
      </c>
      <c r="R293">
        <v>4.9157142857142865E-2</v>
      </c>
    </row>
    <row r="294" spans="1:18">
      <c r="A294" s="1">
        <v>77</v>
      </c>
      <c r="B294" s="1">
        <v>0</v>
      </c>
      <c r="C294" s="1">
        <v>0</v>
      </c>
      <c r="D294" s="1">
        <v>0</v>
      </c>
      <c r="E294" s="1">
        <v>1</v>
      </c>
      <c r="F294" s="1">
        <v>0</v>
      </c>
      <c r="G294" s="1">
        <v>0</v>
      </c>
      <c r="H294" s="1">
        <v>0</v>
      </c>
      <c r="I294" s="1">
        <v>2</v>
      </c>
      <c r="J294" s="1">
        <v>0</v>
      </c>
      <c r="K294" s="1">
        <v>0</v>
      </c>
      <c r="L294" s="1">
        <v>3</v>
      </c>
      <c r="M294" s="1">
        <v>18</v>
      </c>
      <c r="N294" s="1">
        <v>20</v>
      </c>
      <c r="O294" s="1">
        <v>27</v>
      </c>
      <c r="P294">
        <v>0.20979100529100517</v>
      </c>
      <c r="Q294">
        <v>0.43169191919191907</v>
      </c>
      <c r="R294">
        <v>5.2876190476190486E-2</v>
      </c>
    </row>
    <row r="295" spans="1:18">
      <c r="A295" s="1">
        <v>78</v>
      </c>
      <c r="B295" s="1">
        <v>1</v>
      </c>
      <c r="C295" s="1">
        <v>0</v>
      </c>
      <c r="D295" s="1">
        <v>0</v>
      </c>
      <c r="E295" s="1">
        <v>1</v>
      </c>
      <c r="F295" s="1">
        <v>1</v>
      </c>
      <c r="G295" s="1">
        <v>6</v>
      </c>
      <c r="H295" s="1">
        <v>1</v>
      </c>
      <c r="I295" s="1">
        <v>2</v>
      </c>
      <c r="J295" s="1">
        <v>1</v>
      </c>
      <c r="K295" s="1">
        <v>1</v>
      </c>
      <c r="L295" s="1">
        <v>3</v>
      </c>
      <c r="M295" s="1">
        <v>18</v>
      </c>
      <c r="N295" s="1">
        <v>20</v>
      </c>
      <c r="O295" s="1">
        <v>27</v>
      </c>
      <c r="P295">
        <v>0.48182539682539705</v>
      </c>
      <c r="Q295">
        <v>0.5143939393939394</v>
      </c>
      <c r="R295">
        <v>5.894761904761904E-2</v>
      </c>
    </row>
    <row r="296" spans="1:18">
      <c r="A296" s="1">
        <v>79</v>
      </c>
      <c r="B296" s="1">
        <v>1</v>
      </c>
      <c r="C296" s="1">
        <v>1</v>
      </c>
      <c r="D296" s="1">
        <v>1</v>
      </c>
      <c r="E296" s="1">
        <v>0</v>
      </c>
      <c r="F296" s="1">
        <v>16</v>
      </c>
      <c r="G296" s="1">
        <v>6</v>
      </c>
      <c r="H296" s="1">
        <v>3</v>
      </c>
      <c r="I296" s="1">
        <v>2</v>
      </c>
      <c r="J296" s="1">
        <v>5</v>
      </c>
      <c r="K296" s="1">
        <v>6</v>
      </c>
      <c r="L296" s="1">
        <v>3</v>
      </c>
      <c r="M296" s="1">
        <v>18</v>
      </c>
      <c r="N296" s="1">
        <v>20</v>
      </c>
      <c r="O296" s="1">
        <v>27</v>
      </c>
      <c r="P296">
        <v>0.84814550264550248</v>
      </c>
      <c r="Q296">
        <v>0.664368686868687</v>
      </c>
      <c r="R296">
        <v>5.0433333333333351E-2</v>
      </c>
    </row>
    <row r="297" spans="1:18">
      <c r="A297" s="1">
        <v>80</v>
      </c>
      <c r="B297" s="1">
        <v>1</v>
      </c>
      <c r="C297" s="1">
        <v>1</v>
      </c>
      <c r="D297" s="1">
        <v>1</v>
      </c>
      <c r="E297" s="1">
        <v>1</v>
      </c>
      <c r="F297" s="1">
        <v>23</v>
      </c>
      <c r="G297" s="1">
        <v>18</v>
      </c>
      <c r="H297" s="1">
        <v>3</v>
      </c>
      <c r="I297" s="1">
        <v>2</v>
      </c>
      <c r="J297" s="1">
        <v>6</v>
      </c>
      <c r="K297" s="1">
        <v>7</v>
      </c>
      <c r="L297" s="1">
        <v>3</v>
      </c>
      <c r="M297" s="1">
        <v>18</v>
      </c>
      <c r="N297" s="1">
        <v>20</v>
      </c>
      <c r="O297" s="1">
        <v>27</v>
      </c>
      <c r="P297">
        <v>0.41589417989418009</v>
      </c>
      <c r="Q297">
        <v>0.39343434343434341</v>
      </c>
      <c r="R297">
        <v>4.883333333333334E-2</v>
      </c>
    </row>
    <row r="298" spans="1:18">
      <c r="A298" s="1">
        <v>81</v>
      </c>
      <c r="B298" s="1">
        <v>1</v>
      </c>
      <c r="C298" s="1">
        <v>1</v>
      </c>
      <c r="D298" s="1">
        <v>0</v>
      </c>
      <c r="E298" s="1">
        <v>0</v>
      </c>
      <c r="F298" s="1">
        <v>7</v>
      </c>
      <c r="G298" s="1">
        <v>6</v>
      </c>
      <c r="H298" s="1">
        <v>2</v>
      </c>
      <c r="I298" s="1">
        <v>2</v>
      </c>
      <c r="J298" s="1">
        <v>3</v>
      </c>
      <c r="K298" s="1">
        <v>3</v>
      </c>
      <c r="L298" s="1">
        <v>3</v>
      </c>
      <c r="M298" s="1">
        <v>18</v>
      </c>
      <c r="N298" s="1">
        <v>20</v>
      </c>
      <c r="O298" s="1">
        <v>27</v>
      </c>
      <c r="P298">
        <v>0.57364285714285701</v>
      </c>
      <c r="Q298">
        <v>0.47886363636363621</v>
      </c>
      <c r="R298">
        <v>5.0280952380952371E-2</v>
      </c>
    </row>
    <row r="299" spans="1:18">
      <c r="A299" s="1">
        <v>82</v>
      </c>
      <c r="B299" s="1">
        <v>1</v>
      </c>
      <c r="C299" s="1">
        <v>1</v>
      </c>
      <c r="D299" s="1">
        <v>1</v>
      </c>
      <c r="E299" s="1">
        <v>1</v>
      </c>
      <c r="F299" s="1">
        <v>21</v>
      </c>
      <c r="G299" s="1">
        <v>18</v>
      </c>
      <c r="H299" s="1">
        <v>3</v>
      </c>
      <c r="I299" s="1">
        <v>2</v>
      </c>
      <c r="J299" s="1">
        <v>6</v>
      </c>
      <c r="K299" s="1">
        <v>7</v>
      </c>
      <c r="L299" s="1">
        <v>3</v>
      </c>
      <c r="M299" s="1">
        <v>18</v>
      </c>
      <c r="N299" s="1">
        <v>20</v>
      </c>
      <c r="O299" s="1">
        <v>27</v>
      </c>
      <c r="P299">
        <v>0.57424867724867723</v>
      </c>
      <c r="Q299">
        <v>0.55792929292929305</v>
      </c>
      <c r="R299">
        <v>3.9809523809523822E-2</v>
      </c>
    </row>
    <row r="300" spans="1:18">
      <c r="A300" s="1">
        <v>83</v>
      </c>
      <c r="B300" s="1">
        <v>1</v>
      </c>
      <c r="C300" s="1">
        <v>1</v>
      </c>
      <c r="D300" s="1">
        <v>1</v>
      </c>
      <c r="E300" s="1">
        <v>1</v>
      </c>
      <c r="F300" s="1">
        <v>18</v>
      </c>
      <c r="G300" s="1">
        <v>6</v>
      </c>
      <c r="H300" s="1">
        <v>3</v>
      </c>
      <c r="I300" s="1">
        <v>2</v>
      </c>
      <c r="J300" s="1">
        <v>5</v>
      </c>
      <c r="K300" s="1">
        <v>6</v>
      </c>
      <c r="L300" s="1">
        <v>3</v>
      </c>
      <c r="M300" s="1">
        <v>18</v>
      </c>
      <c r="N300" s="1">
        <v>20</v>
      </c>
      <c r="O300" s="1">
        <v>27</v>
      </c>
      <c r="P300">
        <v>0.44485449735449745</v>
      </c>
      <c r="Q300">
        <v>0.4569949494949494</v>
      </c>
      <c r="R300">
        <v>4.4114285714285717E-2</v>
      </c>
    </row>
    <row r="301" spans="1:18">
      <c r="A301" s="1">
        <v>84</v>
      </c>
      <c r="B301" s="1">
        <v>1</v>
      </c>
      <c r="C301" s="1">
        <v>1</v>
      </c>
      <c r="D301" s="1">
        <v>1</v>
      </c>
      <c r="E301" s="1">
        <v>1</v>
      </c>
      <c r="F301" s="1">
        <v>24</v>
      </c>
      <c r="G301" s="1">
        <v>18</v>
      </c>
      <c r="H301" s="1">
        <v>3</v>
      </c>
      <c r="I301" s="1">
        <v>2</v>
      </c>
      <c r="J301" s="1">
        <v>6</v>
      </c>
      <c r="K301" s="1">
        <v>7</v>
      </c>
      <c r="L301" s="1">
        <v>3</v>
      </c>
      <c r="M301" s="1">
        <v>18</v>
      </c>
      <c r="N301" s="1">
        <v>20</v>
      </c>
      <c r="O301" s="1">
        <v>27</v>
      </c>
      <c r="P301">
        <v>0.44403174603174617</v>
      </c>
      <c r="Q301">
        <v>0.39242424242424251</v>
      </c>
      <c r="R301">
        <v>4.4947619047619014E-2</v>
      </c>
    </row>
    <row r="302" spans="1:18">
      <c r="A302" s="1">
        <v>85</v>
      </c>
      <c r="B302" s="1">
        <v>1</v>
      </c>
      <c r="C302" s="1">
        <v>1</v>
      </c>
      <c r="D302" s="1">
        <v>1</v>
      </c>
      <c r="E302" s="1">
        <v>1</v>
      </c>
      <c r="F302" s="1">
        <v>20</v>
      </c>
      <c r="G302" s="1">
        <v>18</v>
      </c>
      <c r="H302" s="1">
        <v>3</v>
      </c>
      <c r="I302" s="1">
        <v>2</v>
      </c>
      <c r="J302" s="1">
        <v>6</v>
      </c>
      <c r="K302" s="1">
        <v>7</v>
      </c>
      <c r="L302" s="1">
        <v>3</v>
      </c>
      <c r="M302" s="1">
        <v>18</v>
      </c>
      <c r="N302" s="1">
        <v>20</v>
      </c>
      <c r="O302" s="1">
        <v>27</v>
      </c>
      <c r="P302">
        <v>0.40035185185185185</v>
      </c>
      <c r="Q302">
        <v>0.47421717171717165</v>
      </c>
      <c r="R302">
        <v>4.6699999999999985E-2</v>
      </c>
    </row>
    <row r="303" spans="1:18">
      <c r="A303" s="1">
        <v>86</v>
      </c>
      <c r="B303" s="1">
        <v>1</v>
      </c>
      <c r="C303" s="1">
        <v>1</v>
      </c>
      <c r="D303" s="1">
        <v>1</v>
      </c>
      <c r="E303" s="1">
        <v>1</v>
      </c>
      <c r="F303" s="1">
        <v>17</v>
      </c>
      <c r="G303" s="1">
        <v>6</v>
      </c>
      <c r="H303" s="1">
        <v>3</v>
      </c>
      <c r="I303" s="1">
        <v>2</v>
      </c>
      <c r="J303" s="1">
        <v>5</v>
      </c>
      <c r="K303" s="1">
        <v>6</v>
      </c>
      <c r="L303" s="1">
        <v>3</v>
      </c>
      <c r="M303" s="1">
        <v>18</v>
      </c>
      <c r="N303" s="1">
        <v>20</v>
      </c>
      <c r="O303" s="1">
        <v>27</v>
      </c>
      <c r="P303">
        <v>0.38810052910052928</v>
      </c>
      <c r="Q303">
        <v>0.37601010101010091</v>
      </c>
      <c r="R303">
        <v>4.3295238095238088E-2</v>
      </c>
    </row>
    <row r="304" spans="1:18">
      <c r="A304" s="1">
        <v>87</v>
      </c>
      <c r="B304" s="1">
        <v>0</v>
      </c>
      <c r="C304" s="1">
        <v>1</v>
      </c>
      <c r="D304" s="1">
        <v>1</v>
      </c>
      <c r="E304" s="1">
        <v>0</v>
      </c>
      <c r="F304" s="1">
        <v>12</v>
      </c>
      <c r="G304" s="1">
        <v>6</v>
      </c>
      <c r="H304" s="1">
        <v>2</v>
      </c>
      <c r="I304" s="1">
        <v>2</v>
      </c>
      <c r="J304" s="1">
        <v>4</v>
      </c>
      <c r="K304" s="1">
        <v>4</v>
      </c>
      <c r="L304" s="1">
        <v>3</v>
      </c>
      <c r="M304" s="1">
        <v>18</v>
      </c>
      <c r="N304" s="1">
        <v>20</v>
      </c>
      <c r="O304" s="1">
        <v>27</v>
      </c>
      <c r="P304">
        <v>0.34442063492063468</v>
      </c>
      <c r="Q304">
        <v>0.38507575757575763</v>
      </c>
      <c r="R304">
        <v>5.1257142857142855E-2</v>
      </c>
    </row>
    <row r="305" spans="1:18">
      <c r="A305" s="1">
        <v>88</v>
      </c>
      <c r="B305" s="1">
        <v>1</v>
      </c>
      <c r="C305" s="1">
        <v>1</v>
      </c>
      <c r="D305" s="1">
        <v>1</v>
      </c>
      <c r="E305" s="1">
        <v>1</v>
      </c>
      <c r="F305" s="1">
        <v>15</v>
      </c>
      <c r="G305" s="1">
        <v>6</v>
      </c>
      <c r="H305" s="1">
        <v>3</v>
      </c>
      <c r="I305" s="1">
        <v>2</v>
      </c>
      <c r="J305" s="1">
        <v>5</v>
      </c>
      <c r="K305" s="1">
        <v>5</v>
      </c>
      <c r="L305" s="1">
        <v>3</v>
      </c>
      <c r="M305" s="1">
        <v>18</v>
      </c>
      <c r="N305" s="1">
        <v>20</v>
      </c>
      <c r="O305" s="1">
        <v>27</v>
      </c>
      <c r="P305">
        <v>0.55216931216931209</v>
      </c>
      <c r="Q305">
        <v>0.5141414141414139</v>
      </c>
      <c r="R305">
        <v>4.515714285714284E-2</v>
      </c>
    </row>
    <row r="306" spans="1:18">
      <c r="A306" s="1">
        <v>89</v>
      </c>
      <c r="B306" s="1">
        <v>1</v>
      </c>
      <c r="C306" s="1">
        <v>0</v>
      </c>
      <c r="D306" s="1">
        <v>0</v>
      </c>
      <c r="E306" s="1">
        <v>0</v>
      </c>
      <c r="F306" s="1">
        <v>3</v>
      </c>
      <c r="G306" s="1">
        <v>6</v>
      </c>
      <c r="H306" s="1">
        <v>1</v>
      </c>
      <c r="I306" s="1">
        <v>2</v>
      </c>
      <c r="J306" s="1">
        <v>1</v>
      </c>
      <c r="K306" s="1">
        <v>1</v>
      </c>
      <c r="L306" s="1">
        <v>3</v>
      </c>
      <c r="M306" s="1">
        <v>18</v>
      </c>
      <c r="N306" s="1">
        <v>20</v>
      </c>
      <c r="O306" s="1">
        <v>27</v>
      </c>
      <c r="P306">
        <v>0.48563227513227514</v>
      </c>
      <c r="Q306">
        <v>0.37775252525252534</v>
      </c>
      <c r="R306">
        <v>4.0947619047619031E-2</v>
      </c>
    </row>
    <row r="307" spans="1:18">
      <c r="A307" s="1">
        <v>90</v>
      </c>
      <c r="B307" s="1">
        <v>1</v>
      </c>
      <c r="C307" s="1">
        <v>1</v>
      </c>
      <c r="D307" s="1">
        <v>1</v>
      </c>
      <c r="E307" s="1">
        <v>1</v>
      </c>
      <c r="F307" s="1">
        <v>16</v>
      </c>
      <c r="G307" s="1">
        <v>6</v>
      </c>
      <c r="H307" s="1">
        <v>3</v>
      </c>
      <c r="I307" s="1">
        <v>2</v>
      </c>
      <c r="J307" s="1">
        <v>5</v>
      </c>
      <c r="K307" s="1">
        <v>6</v>
      </c>
      <c r="L307" s="1">
        <v>3</v>
      </c>
      <c r="M307" s="1">
        <v>18</v>
      </c>
      <c r="N307" s="1">
        <v>20</v>
      </c>
      <c r="O307" s="1">
        <v>27</v>
      </c>
      <c r="P307">
        <v>0.52052380952380972</v>
      </c>
      <c r="Q307">
        <v>0.60681818181818192</v>
      </c>
      <c r="R307">
        <v>5.0404761904761904E-2</v>
      </c>
    </row>
    <row r="308" spans="1:18">
      <c r="A308" s="1">
        <v>91</v>
      </c>
      <c r="B308" s="1">
        <v>1</v>
      </c>
      <c r="C308" s="1">
        <v>1</v>
      </c>
      <c r="D308" s="1">
        <v>1</v>
      </c>
      <c r="E308" s="1">
        <v>0</v>
      </c>
      <c r="F308" s="1">
        <v>22</v>
      </c>
      <c r="G308" s="1">
        <v>18</v>
      </c>
      <c r="H308" s="1">
        <v>3</v>
      </c>
      <c r="I308" s="1">
        <v>2</v>
      </c>
      <c r="J308" s="1">
        <v>6</v>
      </c>
      <c r="K308" s="1">
        <v>7</v>
      </c>
      <c r="L308" s="1">
        <v>3</v>
      </c>
      <c r="M308" s="1">
        <v>18</v>
      </c>
      <c r="N308" s="1">
        <v>20</v>
      </c>
      <c r="O308" s="1">
        <v>27</v>
      </c>
      <c r="P308">
        <v>0.45970105820105839</v>
      </c>
      <c r="Q308">
        <v>0.36861111111111106</v>
      </c>
      <c r="R308">
        <v>4.9890476190476207E-2</v>
      </c>
    </row>
    <row r="309" spans="1:18">
      <c r="A309" s="1">
        <v>92</v>
      </c>
      <c r="B309" s="1">
        <v>1</v>
      </c>
      <c r="C309" s="1">
        <v>1</v>
      </c>
      <c r="D309" s="1">
        <v>0</v>
      </c>
      <c r="E309" s="1">
        <v>1</v>
      </c>
      <c r="F309" s="1">
        <v>7</v>
      </c>
      <c r="G309" s="1">
        <v>6</v>
      </c>
      <c r="H309" s="1">
        <v>2</v>
      </c>
      <c r="I309" s="1">
        <v>2</v>
      </c>
      <c r="J309" s="1">
        <v>3</v>
      </c>
      <c r="K309" s="1">
        <v>3</v>
      </c>
      <c r="L309" s="1">
        <v>3</v>
      </c>
      <c r="M309" s="1">
        <v>18</v>
      </c>
      <c r="N309" s="1">
        <v>20</v>
      </c>
      <c r="O309" s="1">
        <v>27</v>
      </c>
      <c r="P309">
        <v>0.63887830687830693</v>
      </c>
      <c r="Q309">
        <v>0.56858585858585864</v>
      </c>
      <c r="R309">
        <v>4.4947619047619035E-2</v>
      </c>
    </row>
    <row r="310" spans="1:18">
      <c r="A310" s="1">
        <v>93</v>
      </c>
      <c r="B310" s="1">
        <v>0</v>
      </c>
      <c r="C310" s="1">
        <v>1</v>
      </c>
      <c r="D310" s="1">
        <v>1</v>
      </c>
      <c r="E310" s="1">
        <v>1</v>
      </c>
      <c r="F310" s="1">
        <v>11</v>
      </c>
      <c r="G310" s="1">
        <v>6</v>
      </c>
      <c r="H310" s="1">
        <v>2</v>
      </c>
      <c r="I310" s="1">
        <v>2</v>
      </c>
      <c r="J310" s="1">
        <v>4</v>
      </c>
      <c r="K310" s="1">
        <v>4</v>
      </c>
      <c r="L310" s="1">
        <v>3</v>
      </c>
      <c r="M310" s="1">
        <v>18</v>
      </c>
      <c r="N310" s="1">
        <v>20</v>
      </c>
      <c r="O310" s="1">
        <v>27</v>
      </c>
      <c r="P310">
        <v>0.60805555555555557</v>
      </c>
      <c r="Q310">
        <v>0.55128787878787899</v>
      </c>
      <c r="R310">
        <v>5.2528571428571424E-2</v>
      </c>
    </row>
    <row r="311" spans="1:18">
      <c r="A311" s="1">
        <v>94</v>
      </c>
      <c r="B311" s="1">
        <v>1</v>
      </c>
      <c r="C311" s="1">
        <v>0</v>
      </c>
      <c r="D311" s="1">
        <v>0</v>
      </c>
      <c r="E311" s="1">
        <v>1</v>
      </c>
      <c r="F311" s="1">
        <v>3</v>
      </c>
      <c r="G311" s="1">
        <v>6</v>
      </c>
      <c r="H311" s="1">
        <v>1</v>
      </c>
      <c r="I311" s="1">
        <v>2</v>
      </c>
      <c r="J311" s="1">
        <v>1</v>
      </c>
      <c r="K311" s="1">
        <v>1</v>
      </c>
      <c r="L311" s="1">
        <v>3</v>
      </c>
      <c r="M311" s="1">
        <v>18</v>
      </c>
      <c r="N311" s="1">
        <v>20</v>
      </c>
      <c r="O311" s="1">
        <v>27</v>
      </c>
      <c r="P311">
        <v>0.18437566137566133</v>
      </c>
      <c r="Q311">
        <v>0.56489898989898968</v>
      </c>
      <c r="R311">
        <v>4.3457142857142875E-2</v>
      </c>
    </row>
    <row r="312" spans="1:18">
      <c r="A312" s="1">
        <v>95</v>
      </c>
      <c r="B312" s="1">
        <v>1</v>
      </c>
      <c r="C312" s="1">
        <v>1</v>
      </c>
      <c r="D312" s="1">
        <v>0</v>
      </c>
      <c r="E312" s="1">
        <v>1</v>
      </c>
      <c r="F312" s="1">
        <v>8</v>
      </c>
      <c r="G312" s="1">
        <v>6</v>
      </c>
      <c r="H312" s="1">
        <v>2</v>
      </c>
      <c r="I312" s="1">
        <v>2</v>
      </c>
      <c r="J312" s="1">
        <v>3</v>
      </c>
      <c r="K312" s="1">
        <v>3</v>
      </c>
      <c r="L312" s="1">
        <v>3</v>
      </c>
      <c r="M312" s="1">
        <v>18</v>
      </c>
      <c r="N312" s="1">
        <v>20</v>
      </c>
      <c r="O312" s="1">
        <v>27</v>
      </c>
      <c r="P312">
        <v>0.46926719576719578</v>
      </c>
      <c r="Q312">
        <v>0.47578282828282831</v>
      </c>
      <c r="R312">
        <v>4.3776190476190489E-2</v>
      </c>
    </row>
    <row r="313" spans="1:18">
      <c r="A313" s="1">
        <v>96</v>
      </c>
      <c r="B313" s="1">
        <v>1</v>
      </c>
      <c r="C313" s="1">
        <v>1</v>
      </c>
      <c r="D313" s="1">
        <v>0</v>
      </c>
      <c r="E313" s="1">
        <v>1</v>
      </c>
      <c r="F313" s="1">
        <v>9</v>
      </c>
      <c r="G313" s="1">
        <v>6</v>
      </c>
      <c r="H313" s="1">
        <v>2</v>
      </c>
      <c r="I313" s="1">
        <v>2</v>
      </c>
      <c r="J313" s="1">
        <v>3</v>
      </c>
      <c r="K313" s="1">
        <v>3</v>
      </c>
      <c r="L313" s="1">
        <v>3</v>
      </c>
      <c r="M313" s="1">
        <v>18</v>
      </c>
      <c r="N313" s="1">
        <v>20</v>
      </c>
      <c r="O313" s="1">
        <v>27</v>
      </c>
      <c r="P313">
        <v>0.59701587301587289</v>
      </c>
      <c r="Q313">
        <v>0.58212121212121204</v>
      </c>
      <c r="R313">
        <v>4.7657142857142877E-2</v>
      </c>
    </row>
    <row r="314" spans="1:18">
      <c r="A314" s="1">
        <v>97</v>
      </c>
      <c r="B314" s="1">
        <v>1</v>
      </c>
      <c r="C314" s="1">
        <v>1</v>
      </c>
      <c r="D314" s="1">
        <v>1</v>
      </c>
      <c r="E314" s="1">
        <v>1</v>
      </c>
      <c r="F314" s="1">
        <v>19</v>
      </c>
      <c r="G314" s="1">
        <v>6</v>
      </c>
      <c r="H314" s="1">
        <v>3</v>
      </c>
      <c r="I314" s="1">
        <v>2</v>
      </c>
      <c r="J314" s="1">
        <v>5</v>
      </c>
      <c r="K314" s="1">
        <v>6</v>
      </c>
      <c r="L314" s="1">
        <v>3</v>
      </c>
      <c r="M314" s="1">
        <v>18</v>
      </c>
      <c r="N314" s="1">
        <v>20</v>
      </c>
      <c r="O314" s="1">
        <v>27</v>
      </c>
      <c r="P314">
        <v>0.41619312169312167</v>
      </c>
      <c r="Q314">
        <v>0.43027777777777776</v>
      </c>
      <c r="R314">
        <v>5.343333333333336E-2</v>
      </c>
    </row>
    <row r="315" spans="1:18">
      <c r="A315" s="1">
        <v>98</v>
      </c>
      <c r="B315" s="1">
        <v>1</v>
      </c>
      <c r="C315" s="1">
        <v>1</v>
      </c>
      <c r="D315" s="1">
        <v>1</v>
      </c>
      <c r="E315" s="1">
        <v>1</v>
      </c>
      <c r="F315" s="1">
        <v>25</v>
      </c>
      <c r="G315" s="1">
        <v>18</v>
      </c>
      <c r="H315" s="1">
        <v>3</v>
      </c>
      <c r="I315" s="1">
        <v>2</v>
      </c>
      <c r="J315" s="1">
        <v>6</v>
      </c>
      <c r="K315" s="1">
        <v>7</v>
      </c>
      <c r="L315" s="1">
        <v>3</v>
      </c>
      <c r="M315" s="1">
        <v>18</v>
      </c>
      <c r="N315" s="1">
        <v>20</v>
      </c>
      <c r="O315" s="1">
        <v>27</v>
      </c>
      <c r="P315">
        <v>0.59108465608465621</v>
      </c>
      <c r="Q315">
        <v>0.51934343434343444</v>
      </c>
      <c r="R315">
        <v>5.2919047619047616E-2</v>
      </c>
    </row>
    <row r="316" spans="1:18">
      <c r="A316" s="1">
        <v>99</v>
      </c>
      <c r="B316" s="1">
        <v>1</v>
      </c>
      <c r="C316" s="1">
        <v>1</v>
      </c>
      <c r="D316" s="1">
        <v>1</v>
      </c>
      <c r="E316" s="1">
        <v>0</v>
      </c>
      <c r="F316" s="1">
        <v>26</v>
      </c>
      <c r="G316" s="1">
        <v>18</v>
      </c>
      <c r="H316" s="1">
        <v>3</v>
      </c>
      <c r="I316" s="1">
        <v>2</v>
      </c>
      <c r="J316" s="1">
        <v>6</v>
      </c>
      <c r="K316" s="1">
        <v>7</v>
      </c>
      <c r="L316" s="1">
        <v>3</v>
      </c>
      <c r="M316" s="1">
        <v>18</v>
      </c>
      <c r="N316" s="1">
        <v>20</v>
      </c>
      <c r="O316" s="1">
        <v>27</v>
      </c>
      <c r="P316">
        <v>0.80026190476190506</v>
      </c>
      <c r="Q316">
        <v>0.58386363636363636</v>
      </c>
      <c r="R316">
        <v>4.7699999999999979E-2</v>
      </c>
    </row>
    <row r="317" spans="1:18">
      <c r="A317" s="1">
        <v>100</v>
      </c>
      <c r="B317" s="1">
        <v>1</v>
      </c>
      <c r="C317" s="1">
        <v>1</v>
      </c>
      <c r="D317" s="1">
        <v>1</v>
      </c>
      <c r="E317" s="1">
        <v>1</v>
      </c>
      <c r="F317" s="1">
        <v>22</v>
      </c>
      <c r="G317" s="1">
        <v>18</v>
      </c>
      <c r="H317" s="1">
        <v>3</v>
      </c>
      <c r="I317" s="1">
        <v>2</v>
      </c>
      <c r="J317" s="1">
        <v>6</v>
      </c>
      <c r="K317" s="1">
        <v>7</v>
      </c>
      <c r="L317" s="1">
        <v>3</v>
      </c>
      <c r="M317" s="1">
        <v>18</v>
      </c>
      <c r="N317" s="1">
        <v>20</v>
      </c>
      <c r="O317" s="1">
        <v>27</v>
      </c>
      <c r="P317">
        <v>0.54086772486772483</v>
      </c>
      <c r="Q317">
        <v>0.45292929292929301</v>
      </c>
      <c r="R317">
        <v>4.6404761904761879E-2</v>
      </c>
    </row>
    <row r="318" spans="1:18">
      <c r="A318" s="1">
        <v>101</v>
      </c>
      <c r="B318" s="1">
        <v>1</v>
      </c>
      <c r="C318" s="1">
        <v>1</v>
      </c>
      <c r="D318" s="1">
        <v>1</v>
      </c>
      <c r="E318" s="1">
        <v>1</v>
      </c>
      <c r="F318" s="1">
        <v>13</v>
      </c>
      <c r="G318" s="1">
        <v>6</v>
      </c>
      <c r="H318" s="1">
        <v>3</v>
      </c>
      <c r="I318" s="1">
        <v>2</v>
      </c>
      <c r="J318" s="1">
        <v>5</v>
      </c>
      <c r="K318" s="1">
        <v>5</v>
      </c>
      <c r="L318" s="1">
        <v>3</v>
      </c>
      <c r="M318" s="1">
        <v>18</v>
      </c>
      <c r="N318" s="1">
        <v>20</v>
      </c>
      <c r="O318" s="1">
        <v>27</v>
      </c>
      <c r="P318">
        <v>0.55433068783068795</v>
      </c>
      <c r="Q318">
        <v>0.45744949494949494</v>
      </c>
      <c r="R318">
        <v>4.6080952380952389E-2</v>
      </c>
    </row>
    <row r="319" spans="1:18">
      <c r="A319" s="1">
        <v>102</v>
      </c>
      <c r="B319" s="1">
        <v>0</v>
      </c>
      <c r="C319" s="1">
        <v>1</v>
      </c>
      <c r="D319" s="1">
        <v>0</v>
      </c>
      <c r="E319" s="1">
        <v>1</v>
      </c>
      <c r="F319" s="1">
        <v>4</v>
      </c>
      <c r="G319" s="1">
        <v>6</v>
      </c>
      <c r="H319" s="1">
        <v>1</v>
      </c>
      <c r="I319" s="1">
        <v>2</v>
      </c>
      <c r="J319" s="1">
        <v>2</v>
      </c>
      <c r="K319" s="1">
        <v>2</v>
      </c>
      <c r="L319" s="1">
        <v>3</v>
      </c>
      <c r="M319" s="1">
        <v>18</v>
      </c>
      <c r="N319" s="1">
        <v>20</v>
      </c>
      <c r="O319" s="1">
        <v>27</v>
      </c>
      <c r="P319">
        <v>0.59779365079365065</v>
      </c>
      <c r="Q319">
        <v>0.48196969696969688</v>
      </c>
      <c r="R319">
        <v>4.3547619047619043E-2</v>
      </c>
    </row>
    <row r="320" spans="1:18">
      <c r="A320" s="1">
        <v>103</v>
      </c>
      <c r="B320" s="1">
        <v>0</v>
      </c>
      <c r="C320" s="1">
        <v>1</v>
      </c>
      <c r="D320" s="1">
        <v>1</v>
      </c>
      <c r="E320" s="1">
        <v>1</v>
      </c>
      <c r="F320" s="1">
        <v>10</v>
      </c>
      <c r="G320" s="1">
        <v>6</v>
      </c>
      <c r="H320" s="1">
        <v>2</v>
      </c>
      <c r="I320" s="1">
        <v>2</v>
      </c>
      <c r="J320" s="1">
        <v>4</v>
      </c>
      <c r="K320" s="1">
        <v>4</v>
      </c>
      <c r="L320" s="1">
        <v>3</v>
      </c>
      <c r="M320" s="1">
        <v>18</v>
      </c>
      <c r="N320" s="1">
        <v>20</v>
      </c>
      <c r="O320" s="1">
        <v>27</v>
      </c>
      <c r="P320">
        <v>0.22554232804232807</v>
      </c>
      <c r="Q320">
        <v>0.28921717171717171</v>
      </c>
      <c r="R320">
        <v>4.2142857142857156E-2</v>
      </c>
    </row>
    <row r="321" spans="1:18">
      <c r="A321" s="1">
        <v>104</v>
      </c>
      <c r="B321" s="1">
        <v>0</v>
      </c>
      <c r="C321" s="1">
        <v>1</v>
      </c>
      <c r="D321" s="1">
        <v>1</v>
      </c>
      <c r="E321" s="1">
        <v>1</v>
      </c>
      <c r="F321" s="1">
        <v>12</v>
      </c>
      <c r="G321" s="1">
        <v>6</v>
      </c>
      <c r="H321" s="1">
        <v>2</v>
      </c>
      <c r="I321" s="1">
        <v>2</v>
      </c>
      <c r="J321" s="1">
        <v>4</v>
      </c>
      <c r="K321" s="1">
        <v>4</v>
      </c>
      <c r="L321" s="1">
        <v>3</v>
      </c>
      <c r="M321" s="1">
        <v>18</v>
      </c>
      <c r="N321" s="1">
        <v>20</v>
      </c>
      <c r="O321" s="1">
        <v>27</v>
      </c>
      <c r="P321">
        <v>0.28471957671957676</v>
      </c>
      <c r="Q321">
        <v>0.33373737373737372</v>
      </c>
      <c r="R321">
        <v>3.7361904761904749E-2</v>
      </c>
    </row>
    <row r="322" spans="1:18">
      <c r="A322" s="1">
        <v>105</v>
      </c>
      <c r="B322" s="1">
        <v>1</v>
      </c>
      <c r="C322" s="1">
        <v>1</v>
      </c>
      <c r="D322" s="1">
        <v>1</v>
      </c>
      <c r="E322" s="1">
        <v>1</v>
      </c>
      <c r="F322" s="1">
        <v>14</v>
      </c>
      <c r="G322" s="1">
        <v>6</v>
      </c>
      <c r="H322" s="1">
        <v>3</v>
      </c>
      <c r="I322" s="1">
        <v>2</v>
      </c>
      <c r="J322" s="1">
        <v>5</v>
      </c>
      <c r="K322" s="1">
        <v>5</v>
      </c>
      <c r="L322" s="1">
        <v>3</v>
      </c>
      <c r="M322" s="1">
        <v>18</v>
      </c>
      <c r="N322" s="1">
        <v>20</v>
      </c>
      <c r="O322" s="1">
        <v>27</v>
      </c>
      <c r="P322">
        <v>0.47532539682539682</v>
      </c>
      <c r="Q322">
        <v>0.3846212121212122</v>
      </c>
      <c r="R322">
        <v>4.9152380952380954E-2</v>
      </c>
    </row>
    <row r="323" spans="1:18">
      <c r="A323" s="1">
        <v>106</v>
      </c>
      <c r="B323" s="1">
        <v>1</v>
      </c>
      <c r="C323" s="1">
        <v>1</v>
      </c>
      <c r="D323" s="1">
        <v>1</v>
      </c>
      <c r="E323" s="1">
        <v>0</v>
      </c>
      <c r="F323" s="1">
        <v>19</v>
      </c>
      <c r="G323" s="1">
        <v>6</v>
      </c>
      <c r="H323" s="1">
        <v>3</v>
      </c>
      <c r="I323" s="1">
        <v>2</v>
      </c>
      <c r="J323" s="1">
        <v>5</v>
      </c>
      <c r="K323" s="1">
        <v>6</v>
      </c>
      <c r="L323" s="1">
        <v>3</v>
      </c>
      <c r="M323" s="1">
        <v>18</v>
      </c>
      <c r="N323" s="1">
        <v>20</v>
      </c>
      <c r="O323" s="1">
        <v>27</v>
      </c>
      <c r="P323">
        <v>0.28164550264550253</v>
      </c>
      <c r="Q323">
        <v>0.35732323232323221</v>
      </c>
      <c r="R323">
        <v>4.7266666666666665E-2</v>
      </c>
    </row>
    <row r="324" spans="1:18">
      <c r="A324" s="1">
        <v>107</v>
      </c>
      <c r="B324" s="1">
        <v>1</v>
      </c>
      <c r="C324" s="1">
        <v>1</v>
      </c>
      <c r="D324" s="1">
        <v>1</v>
      </c>
      <c r="E324" s="1">
        <v>1</v>
      </c>
      <c r="F324" s="1">
        <v>26</v>
      </c>
      <c r="G324" s="1">
        <v>18</v>
      </c>
      <c r="H324" s="1">
        <v>3</v>
      </c>
      <c r="I324" s="1">
        <v>2</v>
      </c>
      <c r="J324" s="1">
        <v>6</v>
      </c>
      <c r="K324" s="1">
        <v>7</v>
      </c>
      <c r="L324" s="1">
        <v>3</v>
      </c>
      <c r="M324" s="1">
        <v>18</v>
      </c>
      <c r="N324" s="1">
        <v>20</v>
      </c>
      <c r="O324" s="1">
        <v>27</v>
      </c>
      <c r="P324">
        <v>0.41653703703703698</v>
      </c>
      <c r="Q324">
        <v>0.31820707070707077</v>
      </c>
      <c r="R324">
        <v>4.8414285714285722E-2</v>
      </c>
    </row>
    <row r="325" spans="1:18">
      <c r="A325" s="1">
        <v>108</v>
      </c>
      <c r="B325" s="1">
        <v>1</v>
      </c>
      <c r="C325" s="1">
        <v>0</v>
      </c>
      <c r="D325" s="1">
        <v>0</v>
      </c>
      <c r="E325" s="1">
        <v>1</v>
      </c>
      <c r="F325" s="1">
        <v>2</v>
      </c>
      <c r="G325" s="1">
        <v>6</v>
      </c>
      <c r="H325" s="1">
        <v>1</v>
      </c>
      <c r="I325" s="1">
        <v>2</v>
      </c>
      <c r="J325" s="1">
        <v>1</v>
      </c>
      <c r="K325" s="1">
        <v>1</v>
      </c>
      <c r="L325" s="1">
        <v>3</v>
      </c>
      <c r="M325" s="1">
        <v>18</v>
      </c>
      <c r="N325" s="1">
        <v>20</v>
      </c>
      <c r="O325" s="1">
        <v>27</v>
      </c>
      <c r="P325">
        <v>0.43142857142857138</v>
      </c>
      <c r="Q325">
        <v>0.53090909090909089</v>
      </c>
      <c r="R325">
        <v>5.3595238095238126E-2</v>
      </c>
    </row>
    <row r="326" spans="1:18">
      <c r="A326" s="1">
        <v>1</v>
      </c>
      <c r="B326" s="1">
        <v>1</v>
      </c>
      <c r="C326" s="1">
        <v>1</v>
      </c>
      <c r="D326" s="1">
        <v>1</v>
      </c>
      <c r="E326" s="1">
        <v>0</v>
      </c>
      <c r="F326" s="1">
        <v>14</v>
      </c>
      <c r="G326" s="1">
        <v>6</v>
      </c>
      <c r="H326" s="1">
        <v>3</v>
      </c>
      <c r="I326" s="1">
        <v>1</v>
      </c>
      <c r="J326" s="1">
        <v>5</v>
      </c>
      <c r="K326" s="1">
        <v>5</v>
      </c>
      <c r="L326" s="1">
        <v>4</v>
      </c>
      <c r="M326" s="1">
        <v>19</v>
      </c>
      <c r="P326">
        <v>0.44904761904761897</v>
      </c>
      <c r="Q326">
        <v>0.29001851851851851</v>
      </c>
    </row>
    <row r="327" spans="1:18">
      <c r="A327" s="1">
        <v>2</v>
      </c>
      <c r="B327" s="1">
        <v>1</v>
      </c>
      <c r="C327" s="1">
        <v>1</v>
      </c>
      <c r="D327" s="1">
        <v>1</v>
      </c>
      <c r="E327" s="1">
        <v>0</v>
      </c>
      <c r="F327" s="1">
        <v>15</v>
      </c>
      <c r="G327" s="1">
        <v>6</v>
      </c>
      <c r="H327" s="1">
        <v>3</v>
      </c>
      <c r="I327" s="1">
        <v>1</v>
      </c>
      <c r="J327" s="1">
        <v>5</v>
      </c>
      <c r="K327" s="1">
        <v>5</v>
      </c>
      <c r="L327" s="1">
        <v>4</v>
      </c>
      <c r="M327" s="1">
        <v>19</v>
      </c>
      <c r="P327">
        <v>0.81952380952380921</v>
      </c>
      <c r="Q327">
        <v>0.37676430976430969</v>
      </c>
    </row>
    <row r="328" spans="1:18">
      <c r="A328" s="1">
        <v>3</v>
      </c>
      <c r="B328" s="1">
        <v>1</v>
      </c>
      <c r="C328" s="1">
        <v>1</v>
      </c>
      <c r="D328" s="1">
        <v>1</v>
      </c>
      <c r="E328" s="1">
        <v>0</v>
      </c>
      <c r="F328" s="1">
        <v>13</v>
      </c>
      <c r="G328" s="1">
        <v>6</v>
      </c>
      <c r="H328" s="1">
        <v>3</v>
      </c>
      <c r="I328" s="1">
        <v>1</v>
      </c>
      <c r="J328" s="1">
        <v>5</v>
      </c>
      <c r="K328" s="1">
        <v>5</v>
      </c>
      <c r="L328" s="1">
        <v>4</v>
      </c>
      <c r="M328" s="1">
        <v>19</v>
      </c>
      <c r="P328">
        <v>0.62857142857142867</v>
      </c>
      <c r="Q328">
        <v>0.3880555555555556</v>
      </c>
    </row>
    <row r="329" spans="1:18">
      <c r="A329" s="1">
        <v>4</v>
      </c>
      <c r="B329" s="1">
        <v>1</v>
      </c>
      <c r="C329" s="1">
        <v>0</v>
      </c>
      <c r="D329" s="1">
        <v>0</v>
      </c>
      <c r="E329" s="1">
        <v>0</v>
      </c>
      <c r="F329" s="1">
        <v>1</v>
      </c>
      <c r="G329" s="1">
        <v>6</v>
      </c>
      <c r="H329" s="1">
        <v>1</v>
      </c>
      <c r="I329" s="1">
        <v>1</v>
      </c>
      <c r="J329" s="1">
        <v>1</v>
      </c>
      <c r="K329" s="1">
        <v>1</v>
      </c>
      <c r="L329" s="1">
        <v>4</v>
      </c>
      <c r="M329" s="1">
        <v>19</v>
      </c>
      <c r="P329">
        <v>0.91761904761904822</v>
      </c>
      <c r="Q329">
        <v>0.43116498316498325</v>
      </c>
    </row>
    <row r="330" spans="1:18">
      <c r="A330" s="1">
        <v>5</v>
      </c>
      <c r="B330" s="1">
        <v>1</v>
      </c>
      <c r="C330" s="1">
        <v>1</v>
      </c>
      <c r="D330" s="1">
        <v>0</v>
      </c>
      <c r="E330" s="1">
        <v>0</v>
      </c>
      <c r="F330" s="1">
        <v>8</v>
      </c>
      <c r="G330" s="1">
        <v>6</v>
      </c>
      <c r="H330" s="1">
        <v>2</v>
      </c>
      <c r="I330" s="1">
        <v>1</v>
      </c>
      <c r="J330" s="1">
        <v>3</v>
      </c>
      <c r="K330" s="1">
        <v>3</v>
      </c>
      <c r="L330" s="1">
        <v>4</v>
      </c>
      <c r="M330" s="1">
        <v>19</v>
      </c>
      <c r="P330">
        <v>0.62380952380952404</v>
      </c>
      <c r="Q330">
        <v>0.29972895622895629</v>
      </c>
    </row>
    <row r="331" spans="1:18">
      <c r="A331" s="1">
        <v>6</v>
      </c>
      <c r="B331" s="1">
        <v>1</v>
      </c>
      <c r="C331" s="1">
        <v>0</v>
      </c>
      <c r="D331" s="1">
        <v>0</v>
      </c>
      <c r="E331" s="1">
        <v>0</v>
      </c>
      <c r="F331" s="1">
        <v>2</v>
      </c>
      <c r="G331" s="1">
        <v>6</v>
      </c>
      <c r="H331" s="1">
        <v>1</v>
      </c>
      <c r="I331" s="1">
        <v>1</v>
      </c>
      <c r="J331" s="1">
        <v>1</v>
      </c>
      <c r="K331" s="1">
        <v>1</v>
      </c>
      <c r="L331" s="1">
        <v>4</v>
      </c>
      <c r="M331" s="1">
        <v>19</v>
      </c>
      <c r="P331">
        <v>0.59714285714285709</v>
      </c>
      <c r="Q331">
        <v>0.37738383838383832</v>
      </c>
    </row>
    <row r="332" spans="1:18">
      <c r="A332" s="1">
        <v>7</v>
      </c>
      <c r="B332" s="1">
        <v>1</v>
      </c>
      <c r="C332" s="1">
        <v>1</v>
      </c>
      <c r="D332" s="1">
        <v>1</v>
      </c>
      <c r="E332" s="1">
        <v>0</v>
      </c>
      <c r="F332" s="1">
        <v>24</v>
      </c>
      <c r="G332" s="1">
        <v>18</v>
      </c>
      <c r="H332" s="1">
        <v>3</v>
      </c>
      <c r="I332" s="1">
        <v>1</v>
      </c>
      <c r="J332" s="1">
        <v>6</v>
      </c>
      <c r="K332" s="1">
        <v>7</v>
      </c>
      <c r="L332" s="1">
        <v>4</v>
      </c>
      <c r="M332" s="1">
        <v>19</v>
      </c>
      <c r="P332">
        <v>0.7219047619047616</v>
      </c>
      <c r="Q332">
        <v>0.37958417508417502</v>
      </c>
    </row>
    <row r="333" spans="1:18">
      <c r="A333" s="1">
        <v>8</v>
      </c>
      <c r="B333" s="1">
        <v>1</v>
      </c>
      <c r="C333" s="1">
        <v>1</v>
      </c>
      <c r="D333" s="1">
        <v>1</v>
      </c>
      <c r="E333" s="1">
        <v>0</v>
      </c>
      <c r="F333" s="1">
        <v>26</v>
      </c>
      <c r="G333" s="1">
        <v>18</v>
      </c>
      <c r="H333" s="1">
        <v>3</v>
      </c>
      <c r="I333" s="1">
        <v>1</v>
      </c>
      <c r="J333" s="1">
        <v>6</v>
      </c>
      <c r="K333" s="1">
        <v>7</v>
      </c>
      <c r="L333" s="1">
        <v>4</v>
      </c>
      <c r="M333" s="1">
        <v>19</v>
      </c>
      <c r="P333">
        <v>0.76523809523809516</v>
      </c>
      <c r="Q333">
        <v>0.34723905723905729</v>
      </c>
    </row>
    <row r="334" spans="1:18">
      <c r="A334" s="1">
        <v>9</v>
      </c>
      <c r="B334" s="1">
        <v>1</v>
      </c>
      <c r="C334" s="1">
        <v>1</v>
      </c>
      <c r="D334" s="1">
        <v>1</v>
      </c>
      <c r="E334" s="1">
        <v>0</v>
      </c>
      <c r="F334" s="1">
        <v>21</v>
      </c>
      <c r="G334" s="1">
        <v>18</v>
      </c>
      <c r="H334" s="1">
        <v>3</v>
      </c>
      <c r="I334" s="1">
        <v>1</v>
      </c>
      <c r="J334" s="1">
        <v>6</v>
      </c>
      <c r="K334" s="1">
        <v>7</v>
      </c>
      <c r="L334" s="1">
        <v>4</v>
      </c>
      <c r="M334" s="1">
        <v>19</v>
      </c>
      <c r="P334">
        <v>0.88142857142857145</v>
      </c>
      <c r="Q334">
        <v>0.39943939393939376</v>
      </c>
    </row>
    <row r="335" spans="1:18">
      <c r="A335" s="1">
        <v>10</v>
      </c>
      <c r="B335" s="1">
        <v>1</v>
      </c>
      <c r="C335" s="1">
        <v>1</v>
      </c>
      <c r="D335" s="1">
        <v>1</v>
      </c>
      <c r="E335" s="1">
        <v>0</v>
      </c>
      <c r="F335" s="1">
        <v>25</v>
      </c>
      <c r="G335" s="1">
        <v>18</v>
      </c>
      <c r="H335" s="1">
        <v>3</v>
      </c>
      <c r="I335" s="1">
        <v>1</v>
      </c>
      <c r="J335" s="1">
        <v>6</v>
      </c>
      <c r="K335" s="1">
        <v>7</v>
      </c>
      <c r="L335" s="1">
        <v>4</v>
      </c>
      <c r="M335" s="1">
        <v>19</v>
      </c>
      <c r="P335">
        <v>1.0976190476190477</v>
      </c>
      <c r="Q335">
        <v>0.64982154882154863</v>
      </c>
    </row>
    <row r="336" spans="1:18">
      <c r="A336" s="1">
        <v>11</v>
      </c>
      <c r="B336" s="1">
        <v>1</v>
      </c>
      <c r="C336" s="1">
        <v>1</v>
      </c>
      <c r="D336" s="1">
        <v>1</v>
      </c>
      <c r="E336" s="1">
        <v>0</v>
      </c>
      <c r="F336" s="1">
        <v>20</v>
      </c>
      <c r="G336" s="1">
        <v>18</v>
      </c>
      <c r="H336" s="1">
        <v>3</v>
      </c>
      <c r="I336" s="1">
        <v>1</v>
      </c>
      <c r="J336" s="1">
        <v>6</v>
      </c>
      <c r="K336" s="1">
        <v>7</v>
      </c>
      <c r="L336" s="1">
        <v>4</v>
      </c>
      <c r="M336" s="1">
        <v>19</v>
      </c>
      <c r="P336">
        <v>0.8995238095238095</v>
      </c>
      <c r="Q336">
        <v>0.42656734006734015</v>
      </c>
    </row>
    <row r="337" spans="1:17">
      <c r="A337" s="1">
        <v>12</v>
      </c>
      <c r="B337" s="1">
        <v>1</v>
      </c>
      <c r="C337" s="1">
        <v>1</v>
      </c>
      <c r="D337" s="1">
        <v>1</v>
      </c>
      <c r="E337" s="1">
        <v>1</v>
      </c>
      <c r="F337" s="1">
        <v>18</v>
      </c>
      <c r="G337" s="1">
        <v>6</v>
      </c>
      <c r="H337" s="1">
        <v>3</v>
      </c>
      <c r="I337" s="1">
        <v>1</v>
      </c>
      <c r="J337" s="1">
        <v>5</v>
      </c>
      <c r="K337" s="1">
        <v>6</v>
      </c>
      <c r="L337" s="1">
        <v>4</v>
      </c>
      <c r="M337" s="1">
        <v>19</v>
      </c>
      <c r="P337">
        <v>0.65285714285714291</v>
      </c>
      <c r="Q337">
        <v>0.39240404040404042</v>
      </c>
    </row>
    <row r="338" spans="1:17">
      <c r="A338" s="1">
        <v>13</v>
      </c>
      <c r="B338" s="1">
        <v>1</v>
      </c>
      <c r="C338" s="1">
        <v>1</v>
      </c>
      <c r="D338" s="1">
        <v>1</v>
      </c>
      <c r="E338" s="1">
        <v>1</v>
      </c>
      <c r="F338" s="1">
        <v>25</v>
      </c>
      <c r="G338" s="1">
        <v>18</v>
      </c>
      <c r="H338" s="1">
        <v>3</v>
      </c>
      <c r="I338" s="1">
        <v>1</v>
      </c>
      <c r="J338" s="1">
        <v>6</v>
      </c>
      <c r="K338" s="1">
        <v>7</v>
      </c>
      <c r="L338" s="1">
        <v>4</v>
      </c>
      <c r="M338" s="1">
        <v>19</v>
      </c>
      <c r="P338">
        <v>0.62904761904761897</v>
      </c>
      <c r="Q338">
        <v>0.33824074074074079</v>
      </c>
    </row>
    <row r="339" spans="1:17">
      <c r="A339" s="1">
        <v>14</v>
      </c>
      <c r="B339" s="1">
        <v>1</v>
      </c>
      <c r="C339" s="1">
        <v>1</v>
      </c>
      <c r="D339" s="1">
        <v>1</v>
      </c>
      <c r="E339" s="1">
        <v>1</v>
      </c>
      <c r="F339" s="1">
        <v>14</v>
      </c>
      <c r="G339" s="1">
        <v>6</v>
      </c>
      <c r="H339" s="1">
        <v>3</v>
      </c>
      <c r="I339" s="1">
        <v>1</v>
      </c>
      <c r="J339" s="1">
        <v>5</v>
      </c>
      <c r="K339" s="1">
        <v>5</v>
      </c>
      <c r="L339" s="1">
        <v>4</v>
      </c>
      <c r="M339" s="1">
        <v>19</v>
      </c>
      <c r="P339">
        <v>0.62666666666666659</v>
      </c>
      <c r="Q339">
        <v>0.28953198653198658</v>
      </c>
    </row>
    <row r="340" spans="1:17">
      <c r="A340" s="1">
        <v>15</v>
      </c>
      <c r="B340" s="1">
        <v>1</v>
      </c>
      <c r="C340" s="1">
        <v>1</v>
      </c>
      <c r="D340" s="1">
        <v>1</v>
      </c>
      <c r="E340" s="1">
        <v>0</v>
      </c>
      <c r="F340" s="1">
        <v>18</v>
      </c>
      <c r="G340" s="1">
        <v>6</v>
      </c>
      <c r="H340" s="1">
        <v>3</v>
      </c>
      <c r="I340" s="1">
        <v>1</v>
      </c>
      <c r="J340" s="1">
        <v>5</v>
      </c>
      <c r="K340" s="1">
        <v>6</v>
      </c>
      <c r="L340" s="1">
        <v>4</v>
      </c>
      <c r="M340" s="1">
        <v>19</v>
      </c>
      <c r="P340">
        <v>0.75285714285714278</v>
      </c>
      <c r="Q340">
        <v>0.37082323232323233</v>
      </c>
    </row>
    <row r="341" spans="1:17">
      <c r="A341" s="1">
        <v>16</v>
      </c>
      <c r="B341" s="1">
        <v>1</v>
      </c>
      <c r="C341" s="1">
        <v>1</v>
      </c>
      <c r="D341" s="1">
        <v>1</v>
      </c>
      <c r="E341" s="1">
        <v>1</v>
      </c>
      <c r="F341" s="1">
        <v>21</v>
      </c>
      <c r="G341" s="1">
        <v>18</v>
      </c>
      <c r="H341" s="1">
        <v>3</v>
      </c>
      <c r="I341" s="1">
        <v>1</v>
      </c>
      <c r="J341" s="1">
        <v>6</v>
      </c>
      <c r="K341" s="1">
        <v>7</v>
      </c>
      <c r="L341" s="1">
        <v>4</v>
      </c>
      <c r="M341" s="1">
        <v>19</v>
      </c>
      <c r="P341">
        <v>0.70761904761904759</v>
      </c>
      <c r="Q341">
        <v>0.37665993265993269</v>
      </c>
    </row>
    <row r="342" spans="1:17">
      <c r="A342" s="1">
        <v>17</v>
      </c>
      <c r="B342" s="1">
        <v>1</v>
      </c>
      <c r="C342" s="1">
        <v>0</v>
      </c>
      <c r="D342" s="1">
        <v>0</v>
      </c>
      <c r="E342" s="1">
        <v>1</v>
      </c>
      <c r="F342" s="1">
        <v>1</v>
      </c>
      <c r="G342" s="1">
        <v>6</v>
      </c>
      <c r="H342" s="1">
        <v>1</v>
      </c>
      <c r="I342" s="1">
        <v>1</v>
      </c>
      <c r="J342" s="1">
        <v>1</v>
      </c>
      <c r="K342" s="1">
        <v>1</v>
      </c>
      <c r="L342" s="1">
        <v>4</v>
      </c>
      <c r="M342" s="1">
        <v>19</v>
      </c>
      <c r="P342">
        <v>0.59666666666666657</v>
      </c>
      <c r="Q342">
        <v>0.29613299663299664</v>
      </c>
    </row>
    <row r="343" spans="1:17">
      <c r="A343" s="1">
        <v>18</v>
      </c>
      <c r="B343" s="1">
        <v>1</v>
      </c>
      <c r="C343" s="1">
        <v>1</v>
      </c>
      <c r="D343" s="1">
        <v>1</v>
      </c>
      <c r="E343" s="1">
        <v>0</v>
      </c>
      <c r="F343" s="1">
        <v>22</v>
      </c>
      <c r="G343" s="1">
        <v>18</v>
      </c>
      <c r="H343" s="1">
        <v>3</v>
      </c>
      <c r="I343" s="1">
        <v>1</v>
      </c>
      <c r="J343" s="1">
        <v>6</v>
      </c>
      <c r="K343" s="1">
        <v>7</v>
      </c>
      <c r="L343" s="1">
        <v>4</v>
      </c>
      <c r="M343" s="1">
        <v>19</v>
      </c>
      <c r="P343">
        <v>0.6357142857142859</v>
      </c>
      <c r="Q343">
        <v>0.28833333333333333</v>
      </c>
    </row>
    <row r="344" spans="1:17">
      <c r="A344" s="1">
        <v>19</v>
      </c>
      <c r="B344" s="1">
        <v>1</v>
      </c>
      <c r="C344" s="1">
        <v>1</v>
      </c>
      <c r="D344" s="1">
        <v>1</v>
      </c>
      <c r="E344" s="1">
        <v>1</v>
      </c>
      <c r="F344" s="1">
        <v>26</v>
      </c>
      <c r="G344" s="1">
        <v>18</v>
      </c>
      <c r="H344" s="1">
        <v>3</v>
      </c>
      <c r="I344" s="1">
        <v>1</v>
      </c>
      <c r="J344" s="1">
        <v>6</v>
      </c>
      <c r="K344" s="1">
        <v>7</v>
      </c>
      <c r="L344" s="1">
        <v>4</v>
      </c>
      <c r="M344" s="1">
        <v>19</v>
      </c>
      <c r="P344">
        <v>0.67476190476190467</v>
      </c>
      <c r="Q344">
        <v>0.37235185185185188</v>
      </c>
    </row>
    <row r="345" spans="1:17">
      <c r="A345" s="1">
        <v>20</v>
      </c>
      <c r="B345" s="1">
        <v>1</v>
      </c>
      <c r="C345" s="1">
        <v>1</v>
      </c>
      <c r="D345" s="1">
        <v>1</v>
      </c>
      <c r="E345" s="1">
        <v>0</v>
      </c>
      <c r="F345" s="1">
        <v>17</v>
      </c>
      <c r="G345" s="1">
        <v>6</v>
      </c>
      <c r="H345" s="1">
        <v>3</v>
      </c>
      <c r="I345" s="1">
        <v>1</v>
      </c>
      <c r="J345" s="1">
        <v>5</v>
      </c>
      <c r="K345" s="1">
        <v>6</v>
      </c>
      <c r="L345" s="1">
        <v>4</v>
      </c>
      <c r="M345" s="1">
        <v>19</v>
      </c>
      <c r="P345">
        <v>0.54238095238095241</v>
      </c>
      <c r="Q345">
        <v>0.31182491582491584</v>
      </c>
    </row>
    <row r="346" spans="1:17">
      <c r="A346" s="1">
        <v>21</v>
      </c>
      <c r="B346" s="1">
        <v>1</v>
      </c>
      <c r="C346" s="1">
        <v>1</v>
      </c>
      <c r="D346" s="1">
        <v>1</v>
      </c>
      <c r="E346" s="1">
        <v>0</v>
      </c>
      <c r="F346" s="1">
        <v>19</v>
      </c>
      <c r="G346" s="1">
        <v>6</v>
      </c>
      <c r="H346" s="1">
        <v>3</v>
      </c>
      <c r="I346" s="1">
        <v>1</v>
      </c>
      <c r="J346" s="1">
        <v>5</v>
      </c>
      <c r="K346" s="1">
        <v>6</v>
      </c>
      <c r="L346" s="1">
        <v>4</v>
      </c>
      <c r="M346" s="1">
        <v>19</v>
      </c>
      <c r="P346">
        <v>0.54</v>
      </c>
      <c r="Q346">
        <v>0.32220707070707066</v>
      </c>
    </row>
    <row r="347" spans="1:17">
      <c r="A347" s="1">
        <v>22</v>
      </c>
      <c r="B347" s="1">
        <v>1</v>
      </c>
      <c r="C347" s="1">
        <v>0</v>
      </c>
      <c r="D347" s="1">
        <v>0</v>
      </c>
      <c r="E347" s="1">
        <v>0</v>
      </c>
      <c r="F347" s="1">
        <v>3</v>
      </c>
      <c r="G347" s="1">
        <v>6</v>
      </c>
      <c r="H347" s="1">
        <v>1</v>
      </c>
      <c r="I347" s="1">
        <v>1</v>
      </c>
      <c r="J347" s="1">
        <v>1</v>
      </c>
      <c r="K347" s="1">
        <v>1</v>
      </c>
      <c r="L347" s="1">
        <v>4</v>
      </c>
      <c r="M347" s="1">
        <v>19</v>
      </c>
      <c r="P347">
        <v>0.65904761904761899</v>
      </c>
      <c r="Q347">
        <v>0.32804377104377119</v>
      </c>
    </row>
    <row r="348" spans="1:17">
      <c r="A348" s="1">
        <v>23</v>
      </c>
      <c r="B348" s="1">
        <v>1</v>
      </c>
      <c r="C348" s="1">
        <v>1</v>
      </c>
      <c r="D348" s="1">
        <v>1</v>
      </c>
      <c r="E348" s="1">
        <v>1</v>
      </c>
      <c r="F348" s="1">
        <v>24</v>
      </c>
      <c r="G348" s="1">
        <v>18</v>
      </c>
      <c r="H348" s="1">
        <v>3</v>
      </c>
      <c r="I348" s="1">
        <v>1</v>
      </c>
      <c r="J348" s="1">
        <v>6</v>
      </c>
      <c r="K348" s="1">
        <v>7</v>
      </c>
      <c r="L348" s="1">
        <v>4</v>
      </c>
      <c r="M348" s="1">
        <v>19</v>
      </c>
      <c r="P348">
        <v>0.81666666666666698</v>
      </c>
      <c r="Q348">
        <v>0.378425925925926</v>
      </c>
    </row>
    <row r="349" spans="1:17">
      <c r="A349" s="1">
        <v>24</v>
      </c>
      <c r="B349" s="1">
        <v>1</v>
      </c>
      <c r="C349" s="1">
        <v>1</v>
      </c>
      <c r="D349" s="1">
        <v>1</v>
      </c>
      <c r="E349" s="1">
        <v>0</v>
      </c>
      <c r="F349" s="1">
        <v>16</v>
      </c>
      <c r="G349" s="1">
        <v>6</v>
      </c>
      <c r="H349" s="1">
        <v>3</v>
      </c>
      <c r="I349" s="1">
        <v>1</v>
      </c>
      <c r="J349" s="1">
        <v>5</v>
      </c>
      <c r="K349" s="1">
        <v>6</v>
      </c>
      <c r="L349" s="1">
        <v>4</v>
      </c>
      <c r="M349" s="1">
        <v>19</v>
      </c>
      <c r="P349">
        <v>0.95285714285714285</v>
      </c>
      <c r="Q349">
        <v>0.45153535353535351</v>
      </c>
    </row>
    <row r="350" spans="1:17">
      <c r="A350" s="1">
        <v>25</v>
      </c>
      <c r="B350" s="1">
        <v>0</v>
      </c>
      <c r="C350" s="1">
        <v>1</v>
      </c>
      <c r="D350" s="1">
        <v>1</v>
      </c>
      <c r="E350" s="1">
        <v>0</v>
      </c>
      <c r="F350" s="1">
        <v>10</v>
      </c>
      <c r="G350" s="1">
        <v>6</v>
      </c>
      <c r="H350" s="1">
        <v>2</v>
      </c>
      <c r="I350" s="1">
        <v>1</v>
      </c>
      <c r="J350" s="1">
        <v>4</v>
      </c>
      <c r="K350" s="1">
        <v>4</v>
      </c>
      <c r="L350" s="1">
        <v>4</v>
      </c>
      <c r="M350" s="1">
        <v>19</v>
      </c>
      <c r="P350">
        <v>0.666190476190476</v>
      </c>
      <c r="Q350">
        <v>0.36009932659932642</v>
      </c>
    </row>
    <row r="351" spans="1:17">
      <c r="A351" s="1">
        <v>26</v>
      </c>
      <c r="B351" s="1">
        <v>0</v>
      </c>
      <c r="C351" s="1">
        <v>1</v>
      </c>
      <c r="D351" s="1">
        <v>0</v>
      </c>
      <c r="E351" s="1">
        <v>0</v>
      </c>
      <c r="F351" s="1">
        <v>6</v>
      </c>
      <c r="G351" s="1">
        <v>6</v>
      </c>
      <c r="H351" s="1">
        <v>1</v>
      </c>
      <c r="I351" s="1">
        <v>1</v>
      </c>
      <c r="J351" s="1">
        <v>2</v>
      </c>
      <c r="K351" s="1">
        <v>2</v>
      </c>
      <c r="L351" s="1">
        <v>4</v>
      </c>
      <c r="M351" s="1">
        <v>19</v>
      </c>
      <c r="P351">
        <v>0.95809523809523811</v>
      </c>
      <c r="Q351">
        <v>0.53320875420875424</v>
      </c>
    </row>
    <row r="352" spans="1:17">
      <c r="A352" s="1">
        <v>27</v>
      </c>
      <c r="B352" s="1">
        <v>1</v>
      </c>
      <c r="C352" s="1">
        <v>1</v>
      </c>
      <c r="D352" s="1">
        <v>0</v>
      </c>
      <c r="E352" s="1">
        <v>0</v>
      </c>
      <c r="F352" s="1">
        <v>9</v>
      </c>
      <c r="G352" s="1">
        <v>6</v>
      </c>
      <c r="H352" s="1">
        <v>2</v>
      </c>
      <c r="I352" s="1">
        <v>1</v>
      </c>
      <c r="J352" s="1">
        <v>3</v>
      </c>
      <c r="K352" s="1">
        <v>3</v>
      </c>
      <c r="L352" s="1">
        <v>4</v>
      </c>
      <c r="M352" s="1">
        <v>19</v>
      </c>
      <c r="P352">
        <v>0.51142857142857134</v>
      </c>
      <c r="Q352">
        <v>0.23995454545454553</v>
      </c>
    </row>
    <row r="353" spans="1:17">
      <c r="A353" s="1">
        <v>28</v>
      </c>
      <c r="B353" s="1">
        <v>1</v>
      </c>
      <c r="C353" s="1">
        <v>1</v>
      </c>
      <c r="D353" s="1">
        <v>0</v>
      </c>
      <c r="E353" s="1">
        <v>0</v>
      </c>
      <c r="F353" s="1">
        <v>7</v>
      </c>
      <c r="G353" s="1">
        <v>6</v>
      </c>
      <c r="H353" s="1">
        <v>2</v>
      </c>
      <c r="I353" s="1">
        <v>1</v>
      </c>
      <c r="J353" s="1">
        <v>3</v>
      </c>
      <c r="K353" s="1">
        <v>3</v>
      </c>
      <c r="L353" s="1">
        <v>4</v>
      </c>
      <c r="M353" s="1">
        <v>19</v>
      </c>
      <c r="P353">
        <v>0.63190476190476197</v>
      </c>
      <c r="Q353">
        <v>0.32942760942760946</v>
      </c>
    </row>
    <row r="354" spans="1:17">
      <c r="A354" s="1">
        <v>29</v>
      </c>
      <c r="B354" s="1">
        <v>1</v>
      </c>
      <c r="C354" s="1">
        <v>1</v>
      </c>
      <c r="D354" s="1">
        <v>1</v>
      </c>
      <c r="E354" s="1">
        <v>0</v>
      </c>
      <c r="F354" s="1">
        <v>23</v>
      </c>
      <c r="G354" s="1">
        <v>18</v>
      </c>
      <c r="H354" s="1">
        <v>3</v>
      </c>
      <c r="I354" s="1">
        <v>1</v>
      </c>
      <c r="J354" s="1">
        <v>6</v>
      </c>
      <c r="K354" s="1">
        <v>7</v>
      </c>
      <c r="L354" s="1">
        <v>4</v>
      </c>
      <c r="M354" s="1">
        <v>19</v>
      </c>
      <c r="P354">
        <v>0.60095238095238102</v>
      </c>
      <c r="Q354">
        <v>0.32344612794612798</v>
      </c>
    </row>
    <row r="355" spans="1:17">
      <c r="A355" s="1">
        <v>30</v>
      </c>
      <c r="B355" s="1">
        <v>0</v>
      </c>
      <c r="C355" s="1">
        <v>1</v>
      </c>
      <c r="D355" s="1">
        <v>0</v>
      </c>
      <c r="E355" s="1">
        <v>0</v>
      </c>
      <c r="F355" s="1">
        <v>4</v>
      </c>
      <c r="G355" s="1">
        <v>6</v>
      </c>
      <c r="H355" s="1">
        <v>1</v>
      </c>
      <c r="I355" s="1">
        <v>1</v>
      </c>
      <c r="J355" s="1">
        <v>2</v>
      </c>
      <c r="K355" s="1">
        <v>2</v>
      </c>
      <c r="L355" s="1">
        <v>4</v>
      </c>
      <c r="M355" s="1">
        <v>19</v>
      </c>
      <c r="P355">
        <v>0.74857142857142833</v>
      </c>
      <c r="Q355">
        <v>0.3711010101010101</v>
      </c>
    </row>
    <row r="356" spans="1:17">
      <c r="A356" s="1">
        <v>31</v>
      </c>
      <c r="B356" s="1">
        <v>1</v>
      </c>
      <c r="C356" s="1">
        <v>0</v>
      </c>
      <c r="D356" s="1">
        <v>0</v>
      </c>
      <c r="E356" s="1">
        <v>1</v>
      </c>
      <c r="F356" s="1">
        <v>3</v>
      </c>
      <c r="G356" s="1">
        <v>6</v>
      </c>
      <c r="H356" s="1">
        <v>1</v>
      </c>
      <c r="I356" s="1">
        <v>1</v>
      </c>
      <c r="J356" s="1">
        <v>1</v>
      </c>
      <c r="K356" s="1">
        <v>1</v>
      </c>
      <c r="L356" s="1">
        <v>4</v>
      </c>
      <c r="M356" s="1">
        <v>19</v>
      </c>
      <c r="P356">
        <v>0.77761904761904788</v>
      </c>
      <c r="Q356">
        <v>0.41966498316498324</v>
      </c>
    </row>
    <row r="357" spans="1:17">
      <c r="A357" s="1">
        <v>32</v>
      </c>
      <c r="B357" s="1">
        <v>1</v>
      </c>
      <c r="C357" s="1">
        <v>1</v>
      </c>
      <c r="D357" s="1">
        <v>1</v>
      </c>
      <c r="E357" s="1">
        <v>1</v>
      </c>
      <c r="F357" s="1">
        <v>13</v>
      </c>
      <c r="G357" s="1">
        <v>6</v>
      </c>
      <c r="H357" s="1">
        <v>3</v>
      </c>
      <c r="I357" s="1">
        <v>1</v>
      </c>
      <c r="J357" s="1">
        <v>5</v>
      </c>
      <c r="K357" s="1">
        <v>5</v>
      </c>
      <c r="L357" s="1">
        <v>4</v>
      </c>
      <c r="M357" s="1">
        <v>19</v>
      </c>
      <c r="P357">
        <v>0.51666666666666672</v>
      </c>
      <c r="Q357">
        <v>0.27459259259259272</v>
      </c>
    </row>
    <row r="358" spans="1:17">
      <c r="A358" s="1">
        <v>33</v>
      </c>
      <c r="B358" s="1">
        <v>0</v>
      </c>
      <c r="C358" s="1">
        <v>1</v>
      </c>
      <c r="D358" s="1">
        <v>1</v>
      </c>
      <c r="E358" s="1">
        <v>0</v>
      </c>
      <c r="F358" s="1">
        <v>12</v>
      </c>
      <c r="G358" s="1">
        <v>6</v>
      </c>
      <c r="H358" s="1">
        <v>2</v>
      </c>
      <c r="I358" s="1">
        <v>1</v>
      </c>
      <c r="J358" s="1">
        <v>4</v>
      </c>
      <c r="K358" s="1">
        <v>4</v>
      </c>
      <c r="L358" s="1">
        <v>4</v>
      </c>
      <c r="M358" s="1">
        <v>19</v>
      </c>
      <c r="P358">
        <v>0.51714285714285713</v>
      </c>
      <c r="Q358">
        <v>0.29770202020202025</v>
      </c>
    </row>
    <row r="359" spans="1:17">
      <c r="A359" s="1">
        <v>34</v>
      </c>
      <c r="B359" s="1">
        <v>0</v>
      </c>
      <c r="C359" s="1">
        <v>1</v>
      </c>
      <c r="D359" s="1">
        <v>1</v>
      </c>
      <c r="E359" s="1">
        <v>1</v>
      </c>
      <c r="F359" s="1">
        <v>10</v>
      </c>
      <c r="G359" s="1">
        <v>6</v>
      </c>
      <c r="H359" s="1">
        <v>2</v>
      </c>
      <c r="I359" s="1">
        <v>1</v>
      </c>
      <c r="J359" s="1">
        <v>4</v>
      </c>
      <c r="K359" s="1">
        <v>4</v>
      </c>
      <c r="L359" s="1">
        <v>4</v>
      </c>
      <c r="M359" s="1">
        <v>19</v>
      </c>
      <c r="P359">
        <v>0.40761904761904777</v>
      </c>
      <c r="Q359">
        <v>0.17262962962962966</v>
      </c>
    </row>
    <row r="360" spans="1:17">
      <c r="A360" s="1">
        <v>35</v>
      </c>
      <c r="B360" s="1">
        <v>1</v>
      </c>
      <c r="C360" s="1">
        <v>1</v>
      </c>
      <c r="D360" s="1">
        <v>0</v>
      </c>
      <c r="E360" s="1">
        <v>1</v>
      </c>
      <c r="F360" s="1">
        <v>8</v>
      </c>
      <c r="G360" s="1">
        <v>6</v>
      </c>
      <c r="H360" s="1">
        <v>2</v>
      </c>
      <c r="I360" s="1">
        <v>1</v>
      </c>
      <c r="J360" s="1">
        <v>3</v>
      </c>
      <c r="K360" s="1">
        <v>3</v>
      </c>
      <c r="L360" s="1">
        <v>4</v>
      </c>
      <c r="M360" s="1">
        <v>19</v>
      </c>
      <c r="P360">
        <v>0.70666666666666644</v>
      </c>
      <c r="Q360">
        <v>0.34482996632996626</v>
      </c>
    </row>
    <row r="361" spans="1:17">
      <c r="A361" s="1">
        <v>36</v>
      </c>
      <c r="B361" s="1">
        <v>1</v>
      </c>
      <c r="C361" s="1">
        <v>1</v>
      </c>
      <c r="D361" s="1">
        <v>1</v>
      </c>
      <c r="E361" s="1">
        <v>1</v>
      </c>
      <c r="F361" s="1">
        <v>20</v>
      </c>
      <c r="G361" s="1">
        <v>18</v>
      </c>
      <c r="H361" s="1">
        <v>3</v>
      </c>
      <c r="I361" s="1">
        <v>1</v>
      </c>
      <c r="J361" s="1">
        <v>6</v>
      </c>
      <c r="K361" s="1">
        <v>7</v>
      </c>
      <c r="L361" s="1">
        <v>4</v>
      </c>
      <c r="M361" s="1">
        <v>19</v>
      </c>
      <c r="P361">
        <v>0.9</v>
      </c>
      <c r="Q361">
        <v>0.40521212121212113</v>
      </c>
    </row>
    <row r="362" spans="1:17">
      <c r="A362" s="1">
        <v>37</v>
      </c>
      <c r="B362" s="1">
        <v>1</v>
      </c>
      <c r="C362" s="1">
        <v>1</v>
      </c>
      <c r="D362" s="1">
        <v>1</v>
      </c>
      <c r="E362" s="1">
        <v>1</v>
      </c>
      <c r="F362" s="1">
        <v>23</v>
      </c>
      <c r="G362" s="1">
        <v>18</v>
      </c>
      <c r="H362" s="1">
        <v>3</v>
      </c>
      <c r="I362" s="1">
        <v>1</v>
      </c>
      <c r="J362" s="1">
        <v>6</v>
      </c>
      <c r="K362" s="1">
        <v>7</v>
      </c>
      <c r="L362" s="1">
        <v>4</v>
      </c>
      <c r="M362" s="1">
        <v>19</v>
      </c>
      <c r="P362">
        <v>0.80333333333333357</v>
      </c>
      <c r="Q362">
        <v>0.37286700336700335</v>
      </c>
    </row>
    <row r="363" spans="1:17">
      <c r="A363" s="1">
        <v>38</v>
      </c>
      <c r="B363" s="1">
        <v>0</v>
      </c>
      <c r="C363" s="1">
        <v>1</v>
      </c>
      <c r="D363" s="1">
        <v>0</v>
      </c>
      <c r="E363" s="1">
        <v>1</v>
      </c>
      <c r="F363" s="1">
        <v>4</v>
      </c>
      <c r="G363" s="1">
        <v>6</v>
      </c>
      <c r="H363" s="1">
        <v>1</v>
      </c>
      <c r="I363" s="1">
        <v>1</v>
      </c>
      <c r="J363" s="1">
        <v>2</v>
      </c>
      <c r="K363" s="1">
        <v>2</v>
      </c>
      <c r="L363" s="1">
        <v>4</v>
      </c>
      <c r="M363" s="1">
        <v>19</v>
      </c>
      <c r="P363">
        <v>0.74238095238095247</v>
      </c>
      <c r="Q363">
        <v>0.3741582491582493</v>
      </c>
    </row>
    <row r="364" spans="1:17">
      <c r="A364" s="1">
        <v>39</v>
      </c>
      <c r="B364" s="1">
        <v>1</v>
      </c>
      <c r="C364" s="1">
        <v>1</v>
      </c>
      <c r="D364" s="1">
        <v>1</v>
      </c>
      <c r="E364" s="1">
        <v>1</v>
      </c>
      <c r="F364" s="1">
        <v>22</v>
      </c>
      <c r="G364" s="1">
        <v>18</v>
      </c>
      <c r="H364" s="1">
        <v>3</v>
      </c>
      <c r="I364" s="1">
        <v>1</v>
      </c>
      <c r="J364" s="1">
        <v>6</v>
      </c>
      <c r="K364" s="1">
        <v>7</v>
      </c>
      <c r="L364" s="1">
        <v>4</v>
      </c>
      <c r="M364" s="1">
        <v>19</v>
      </c>
      <c r="P364">
        <v>0.81571428571428561</v>
      </c>
      <c r="Q364">
        <v>0.38635858585858573</v>
      </c>
    </row>
    <row r="365" spans="1:17">
      <c r="A365" s="1">
        <v>40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1</v>
      </c>
      <c r="J365" s="1">
        <v>0</v>
      </c>
      <c r="K365" s="1">
        <v>0</v>
      </c>
      <c r="L365" s="1">
        <v>4</v>
      </c>
      <c r="M365" s="1">
        <v>19</v>
      </c>
      <c r="P365">
        <v>0.54904761904761912</v>
      </c>
      <c r="Q365">
        <v>0.27855892255892267</v>
      </c>
    </row>
    <row r="366" spans="1:17">
      <c r="A366" s="1">
        <v>41</v>
      </c>
      <c r="B366" s="1">
        <v>1</v>
      </c>
      <c r="C366" s="1">
        <v>1</v>
      </c>
      <c r="D366" s="1">
        <v>0</v>
      </c>
      <c r="E366" s="1">
        <v>1</v>
      </c>
      <c r="F366" s="1">
        <v>9</v>
      </c>
      <c r="G366" s="1">
        <v>6</v>
      </c>
      <c r="H366" s="1">
        <v>2</v>
      </c>
      <c r="I366" s="1">
        <v>1</v>
      </c>
      <c r="J366" s="1">
        <v>3</v>
      </c>
      <c r="K366" s="1">
        <v>3</v>
      </c>
      <c r="L366" s="1">
        <v>4</v>
      </c>
      <c r="M366" s="1">
        <v>19</v>
      </c>
      <c r="P366">
        <v>0.68952380952380943</v>
      </c>
      <c r="Q366">
        <v>0.40530471380471378</v>
      </c>
    </row>
    <row r="367" spans="1:17">
      <c r="A367" s="1">
        <v>42</v>
      </c>
      <c r="B367" s="1">
        <v>0</v>
      </c>
      <c r="C367" s="1">
        <v>0</v>
      </c>
      <c r="D367" s="1">
        <v>0</v>
      </c>
      <c r="E367" s="1">
        <v>1</v>
      </c>
      <c r="F367" s="1">
        <v>0</v>
      </c>
      <c r="G367" s="1">
        <v>0</v>
      </c>
      <c r="H367" s="1">
        <v>0</v>
      </c>
      <c r="I367" s="1">
        <v>1</v>
      </c>
      <c r="J367" s="1">
        <v>0</v>
      </c>
      <c r="K367" s="1">
        <v>0</v>
      </c>
      <c r="L367" s="1">
        <v>4</v>
      </c>
      <c r="M367" s="1">
        <v>19</v>
      </c>
      <c r="P367">
        <v>0.36</v>
      </c>
      <c r="Q367">
        <v>0.19659595959595952</v>
      </c>
    </row>
    <row r="368" spans="1:17">
      <c r="A368" s="1">
        <v>43</v>
      </c>
      <c r="B368" s="1">
        <v>1</v>
      </c>
      <c r="C368" s="1">
        <v>1</v>
      </c>
      <c r="D368" s="1">
        <v>0</v>
      </c>
      <c r="E368" s="1">
        <v>1</v>
      </c>
      <c r="F368" s="1">
        <v>7</v>
      </c>
      <c r="G368" s="1">
        <v>6</v>
      </c>
      <c r="H368" s="1">
        <v>2</v>
      </c>
      <c r="I368" s="1">
        <v>1</v>
      </c>
      <c r="J368" s="1">
        <v>3</v>
      </c>
      <c r="K368" s="1">
        <v>3</v>
      </c>
      <c r="L368" s="1">
        <v>4</v>
      </c>
      <c r="M368" s="1">
        <v>19</v>
      </c>
      <c r="P368">
        <v>0.66333333333333344</v>
      </c>
      <c r="Q368">
        <v>0.33879629629629643</v>
      </c>
    </row>
    <row r="369" spans="1:17">
      <c r="A369" s="1">
        <v>44</v>
      </c>
      <c r="B369" s="1">
        <v>0</v>
      </c>
      <c r="C369" s="1">
        <v>1</v>
      </c>
      <c r="D369" s="1">
        <v>0</v>
      </c>
      <c r="E369" s="1">
        <v>0</v>
      </c>
      <c r="F369" s="1">
        <v>5</v>
      </c>
      <c r="G369" s="1">
        <v>6</v>
      </c>
      <c r="H369" s="1">
        <v>1</v>
      </c>
      <c r="I369" s="1">
        <v>1</v>
      </c>
      <c r="J369" s="1">
        <v>2</v>
      </c>
      <c r="K369" s="1">
        <v>2</v>
      </c>
      <c r="L369" s="1">
        <v>4</v>
      </c>
      <c r="M369" s="1">
        <v>19</v>
      </c>
      <c r="P369">
        <v>0.50809523809523793</v>
      </c>
      <c r="Q369">
        <v>0.18736026936026925</v>
      </c>
    </row>
    <row r="370" spans="1:17">
      <c r="A370" s="1">
        <v>45</v>
      </c>
      <c r="B370" s="1">
        <v>0</v>
      </c>
      <c r="C370" s="1">
        <v>1</v>
      </c>
      <c r="D370" s="1">
        <v>0</v>
      </c>
      <c r="E370" s="1">
        <v>1</v>
      </c>
      <c r="F370" s="1">
        <v>5</v>
      </c>
      <c r="G370" s="1">
        <v>6</v>
      </c>
      <c r="H370" s="1">
        <v>1</v>
      </c>
      <c r="I370" s="1">
        <v>1</v>
      </c>
      <c r="J370" s="1">
        <v>2</v>
      </c>
      <c r="K370" s="1">
        <v>2</v>
      </c>
      <c r="L370" s="1">
        <v>4</v>
      </c>
      <c r="M370" s="1">
        <v>19</v>
      </c>
      <c r="P370">
        <v>0.59285714285714286</v>
      </c>
      <c r="Q370">
        <v>0.387742424242424</v>
      </c>
    </row>
    <row r="371" spans="1:17">
      <c r="A371" s="1">
        <v>46</v>
      </c>
      <c r="B371" s="1">
        <v>0</v>
      </c>
      <c r="C371" s="1">
        <v>1</v>
      </c>
      <c r="D371" s="1">
        <v>0</v>
      </c>
      <c r="E371" s="1">
        <v>1</v>
      </c>
      <c r="F371" s="1">
        <v>6</v>
      </c>
      <c r="G371" s="1">
        <v>6</v>
      </c>
      <c r="H371" s="1">
        <v>1</v>
      </c>
      <c r="I371" s="1">
        <v>1</v>
      </c>
      <c r="J371" s="1">
        <v>2</v>
      </c>
      <c r="K371" s="1">
        <v>2</v>
      </c>
      <c r="L371" s="1">
        <v>4</v>
      </c>
      <c r="M371" s="1">
        <v>19</v>
      </c>
      <c r="P371">
        <v>0.6004761904761905</v>
      </c>
      <c r="Q371">
        <v>0.33267003367003378</v>
      </c>
    </row>
    <row r="372" spans="1:17">
      <c r="A372" s="1">
        <v>47</v>
      </c>
      <c r="B372" s="1">
        <v>1</v>
      </c>
      <c r="C372" s="1">
        <v>1</v>
      </c>
      <c r="D372" s="1">
        <v>1</v>
      </c>
      <c r="E372" s="1">
        <v>1</v>
      </c>
      <c r="F372" s="1">
        <v>16</v>
      </c>
      <c r="G372" s="1">
        <v>6</v>
      </c>
      <c r="H372" s="1">
        <v>3</v>
      </c>
      <c r="I372" s="1">
        <v>1</v>
      </c>
      <c r="J372" s="1">
        <v>5</v>
      </c>
      <c r="K372" s="1">
        <v>6</v>
      </c>
      <c r="L372" s="1">
        <v>4</v>
      </c>
      <c r="M372" s="1">
        <v>19</v>
      </c>
      <c r="P372">
        <v>0.83238095238095211</v>
      </c>
      <c r="Q372">
        <v>0.41577946127946125</v>
      </c>
    </row>
    <row r="373" spans="1:17">
      <c r="A373" s="1">
        <v>48</v>
      </c>
      <c r="B373" s="1">
        <v>0</v>
      </c>
      <c r="C373" s="1">
        <v>1</v>
      </c>
      <c r="D373" s="1">
        <v>1</v>
      </c>
      <c r="E373" s="1">
        <v>1</v>
      </c>
      <c r="F373" s="1">
        <v>12</v>
      </c>
      <c r="G373" s="1">
        <v>6</v>
      </c>
      <c r="H373" s="1">
        <v>2</v>
      </c>
      <c r="I373" s="1">
        <v>1</v>
      </c>
      <c r="J373" s="1">
        <v>4</v>
      </c>
      <c r="K373" s="1">
        <v>4</v>
      </c>
      <c r="L373" s="1">
        <v>4</v>
      </c>
      <c r="M373" s="1">
        <v>19</v>
      </c>
      <c r="P373">
        <v>0.25428571428571423</v>
      </c>
      <c r="Q373">
        <v>0.11797979797979799</v>
      </c>
    </row>
    <row r="374" spans="1:17">
      <c r="A374" s="1">
        <v>49</v>
      </c>
      <c r="B374" s="1">
        <v>1</v>
      </c>
      <c r="C374" s="1">
        <v>0</v>
      </c>
      <c r="D374" s="1">
        <v>0</v>
      </c>
      <c r="E374" s="1">
        <v>1</v>
      </c>
      <c r="F374" s="1">
        <v>2</v>
      </c>
      <c r="G374" s="1">
        <v>6</v>
      </c>
      <c r="H374" s="1">
        <v>1</v>
      </c>
      <c r="I374" s="1">
        <v>1</v>
      </c>
      <c r="J374" s="1">
        <v>1</v>
      </c>
      <c r="K374" s="1">
        <v>1</v>
      </c>
      <c r="L374" s="1">
        <v>4</v>
      </c>
      <c r="M374" s="1">
        <v>19</v>
      </c>
      <c r="P374">
        <v>0.64761904761904765</v>
      </c>
      <c r="Q374">
        <v>0.30836195286195289</v>
      </c>
    </row>
    <row r="375" spans="1:17">
      <c r="A375" s="1">
        <v>50</v>
      </c>
      <c r="B375" s="1">
        <v>1</v>
      </c>
      <c r="C375" s="1">
        <v>1</v>
      </c>
      <c r="D375" s="1">
        <v>1</v>
      </c>
      <c r="E375" s="1">
        <v>1</v>
      </c>
      <c r="F375" s="1">
        <v>17</v>
      </c>
      <c r="G375" s="1">
        <v>6</v>
      </c>
      <c r="H375" s="1">
        <v>3</v>
      </c>
      <c r="I375" s="1">
        <v>1</v>
      </c>
      <c r="J375" s="1">
        <v>5</v>
      </c>
      <c r="K375" s="1">
        <v>6</v>
      </c>
      <c r="L375" s="1">
        <v>4</v>
      </c>
      <c r="M375" s="1">
        <v>19</v>
      </c>
      <c r="P375">
        <v>0.49095238095238108</v>
      </c>
      <c r="Q375">
        <v>0.27056228956228962</v>
      </c>
    </row>
    <row r="376" spans="1:17">
      <c r="A376" s="1">
        <v>51</v>
      </c>
      <c r="B376" s="1">
        <v>0</v>
      </c>
      <c r="C376" s="1">
        <v>1</v>
      </c>
      <c r="D376" s="1">
        <v>1</v>
      </c>
      <c r="E376" s="1">
        <v>0</v>
      </c>
      <c r="F376" s="1">
        <v>11</v>
      </c>
      <c r="G376" s="1">
        <v>6</v>
      </c>
      <c r="H376" s="1">
        <v>2</v>
      </c>
      <c r="I376" s="1">
        <v>1</v>
      </c>
      <c r="J376" s="1">
        <v>4</v>
      </c>
      <c r="K376" s="1">
        <v>4</v>
      </c>
      <c r="L376" s="1">
        <v>4</v>
      </c>
      <c r="M376" s="1">
        <v>19</v>
      </c>
      <c r="P376">
        <v>0.53857142857142848</v>
      </c>
      <c r="Q376">
        <v>0.34003535353535352</v>
      </c>
    </row>
    <row r="377" spans="1:17">
      <c r="A377" s="1">
        <v>52</v>
      </c>
      <c r="B377" s="1">
        <v>0</v>
      </c>
      <c r="C377" s="1">
        <v>1</v>
      </c>
      <c r="D377" s="1">
        <v>1</v>
      </c>
      <c r="E377" s="1">
        <v>1</v>
      </c>
      <c r="F377" s="1">
        <v>11</v>
      </c>
      <c r="G377" s="1">
        <v>6</v>
      </c>
      <c r="H377" s="1">
        <v>2</v>
      </c>
      <c r="I377" s="1">
        <v>1</v>
      </c>
      <c r="J377" s="1">
        <v>4</v>
      </c>
      <c r="K377" s="1">
        <v>4</v>
      </c>
      <c r="L377" s="1">
        <v>4</v>
      </c>
      <c r="M377" s="1">
        <v>19</v>
      </c>
      <c r="P377">
        <v>0.51190476190476175</v>
      </c>
      <c r="Q377">
        <v>0.24223569023569025</v>
      </c>
    </row>
    <row r="378" spans="1:17">
      <c r="A378" s="1">
        <v>53</v>
      </c>
      <c r="B378" s="1">
        <v>1</v>
      </c>
      <c r="C378" s="1">
        <v>1</v>
      </c>
      <c r="D378" s="1">
        <v>1</v>
      </c>
      <c r="E378" s="1">
        <v>1</v>
      </c>
      <c r="F378" s="1">
        <v>15</v>
      </c>
      <c r="G378" s="1">
        <v>6</v>
      </c>
      <c r="H378" s="1">
        <v>3</v>
      </c>
      <c r="I378" s="1">
        <v>1</v>
      </c>
      <c r="J378" s="1">
        <v>5</v>
      </c>
      <c r="K378" s="1">
        <v>5</v>
      </c>
      <c r="L378" s="1">
        <v>4</v>
      </c>
      <c r="M378" s="1">
        <v>19</v>
      </c>
      <c r="P378">
        <v>0.77238095238095228</v>
      </c>
      <c r="Q378">
        <v>0.32989057239057229</v>
      </c>
    </row>
    <row r="379" spans="1:17">
      <c r="A379" s="1">
        <v>54</v>
      </c>
      <c r="B379" s="1">
        <v>1</v>
      </c>
      <c r="C379" s="1">
        <v>1</v>
      </c>
      <c r="D379" s="1">
        <v>1</v>
      </c>
      <c r="E379" s="1">
        <v>1</v>
      </c>
      <c r="F379" s="1">
        <v>19</v>
      </c>
      <c r="G379" s="1">
        <v>6</v>
      </c>
      <c r="H379" s="1">
        <v>3</v>
      </c>
      <c r="I379" s="1">
        <v>1</v>
      </c>
      <c r="J379" s="1">
        <v>5</v>
      </c>
      <c r="K379" s="1">
        <v>6</v>
      </c>
      <c r="L379" s="1">
        <v>4</v>
      </c>
      <c r="M379" s="1">
        <v>19</v>
      </c>
      <c r="P379">
        <v>0.69428571428571428</v>
      </c>
      <c r="Q379">
        <v>0.32390909090909087</v>
      </c>
    </row>
    <row r="380" spans="1:17">
      <c r="A380" s="1">
        <v>55</v>
      </c>
      <c r="B380" s="1">
        <v>0</v>
      </c>
      <c r="C380" s="1">
        <v>1</v>
      </c>
      <c r="D380" s="1">
        <v>1</v>
      </c>
      <c r="E380" s="1">
        <v>0</v>
      </c>
      <c r="F380" s="1">
        <v>11</v>
      </c>
      <c r="G380" s="1">
        <v>6</v>
      </c>
      <c r="H380" s="1">
        <v>2</v>
      </c>
      <c r="I380" s="1">
        <v>2</v>
      </c>
      <c r="J380" s="1">
        <v>4</v>
      </c>
      <c r="K380" s="1">
        <v>4</v>
      </c>
      <c r="L380" s="1">
        <v>4</v>
      </c>
      <c r="M380" s="1">
        <v>19</v>
      </c>
      <c r="P380">
        <v>0.52761904761904732</v>
      </c>
      <c r="Q380">
        <v>0.24792760942760933</v>
      </c>
    </row>
    <row r="381" spans="1:17">
      <c r="A381" s="1">
        <v>56</v>
      </c>
      <c r="B381" s="1">
        <v>0</v>
      </c>
      <c r="C381" s="1">
        <v>1</v>
      </c>
      <c r="D381" s="1">
        <v>1</v>
      </c>
      <c r="E381" s="1">
        <v>0</v>
      </c>
      <c r="F381" s="1">
        <v>10</v>
      </c>
      <c r="G381" s="1">
        <v>6</v>
      </c>
      <c r="H381" s="1">
        <v>2</v>
      </c>
      <c r="I381" s="1">
        <v>2</v>
      </c>
      <c r="J381" s="1">
        <v>4</v>
      </c>
      <c r="K381" s="1">
        <v>4</v>
      </c>
      <c r="L381" s="1">
        <v>4</v>
      </c>
      <c r="M381" s="1">
        <v>19</v>
      </c>
      <c r="P381">
        <v>0.37952380952380949</v>
      </c>
      <c r="Q381">
        <v>0.22194612794612792</v>
      </c>
    </row>
    <row r="382" spans="1:17">
      <c r="A382" s="1">
        <v>57</v>
      </c>
      <c r="B382" s="1">
        <v>1</v>
      </c>
      <c r="C382" s="1">
        <v>1</v>
      </c>
      <c r="D382" s="1">
        <v>1</v>
      </c>
      <c r="E382" s="1">
        <v>0</v>
      </c>
      <c r="F382" s="1">
        <v>20</v>
      </c>
      <c r="G382" s="1">
        <v>18</v>
      </c>
      <c r="H382" s="1">
        <v>3</v>
      </c>
      <c r="I382" s="1">
        <v>2</v>
      </c>
      <c r="J382" s="1">
        <v>6</v>
      </c>
      <c r="K382" s="1">
        <v>7</v>
      </c>
      <c r="L382" s="1">
        <v>4</v>
      </c>
      <c r="M382" s="1">
        <v>19</v>
      </c>
      <c r="P382">
        <v>0.74</v>
      </c>
      <c r="Q382">
        <v>0.36232828282828272</v>
      </c>
    </row>
    <row r="383" spans="1:17">
      <c r="A383" s="1">
        <v>58</v>
      </c>
      <c r="B383" s="1">
        <v>1</v>
      </c>
      <c r="C383" s="1">
        <v>1</v>
      </c>
      <c r="D383" s="1">
        <v>1</v>
      </c>
      <c r="E383" s="1">
        <v>0</v>
      </c>
      <c r="F383" s="1">
        <v>25</v>
      </c>
      <c r="G383" s="1">
        <v>18</v>
      </c>
      <c r="H383" s="1">
        <v>3</v>
      </c>
      <c r="I383" s="1">
        <v>2</v>
      </c>
      <c r="J383" s="1">
        <v>6</v>
      </c>
      <c r="K383" s="1">
        <v>7</v>
      </c>
      <c r="L383" s="1">
        <v>4</v>
      </c>
      <c r="M383" s="1">
        <v>19</v>
      </c>
      <c r="P383">
        <v>0.62333333333333329</v>
      </c>
      <c r="Q383">
        <v>0.35816498316498319</v>
      </c>
    </row>
    <row r="384" spans="1:17">
      <c r="A384" s="1">
        <v>59</v>
      </c>
      <c r="B384" s="1">
        <v>1</v>
      </c>
      <c r="C384" s="1">
        <v>1</v>
      </c>
      <c r="D384" s="1">
        <v>1</v>
      </c>
      <c r="E384" s="1">
        <v>0</v>
      </c>
      <c r="F384" s="1">
        <v>17</v>
      </c>
      <c r="G384" s="1">
        <v>6</v>
      </c>
      <c r="H384" s="1">
        <v>3</v>
      </c>
      <c r="I384" s="1">
        <v>2</v>
      </c>
      <c r="J384" s="1">
        <v>5</v>
      </c>
      <c r="K384" s="1">
        <v>6</v>
      </c>
      <c r="L384" s="1">
        <v>4</v>
      </c>
      <c r="M384" s="1">
        <v>19</v>
      </c>
      <c r="P384">
        <v>0.45666666666666672</v>
      </c>
      <c r="Q384">
        <v>0.27127441077441072</v>
      </c>
    </row>
    <row r="385" spans="1:17">
      <c r="A385" s="1">
        <v>60</v>
      </c>
      <c r="B385" s="1">
        <v>1</v>
      </c>
      <c r="C385" s="1">
        <v>1</v>
      </c>
      <c r="D385" s="1">
        <v>1</v>
      </c>
      <c r="E385" s="1">
        <v>0</v>
      </c>
      <c r="F385" s="1">
        <v>23</v>
      </c>
      <c r="G385" s="1">
        <v>18</v>
      </c>
      <c r="H385" s="1">
        <v>3</v>
      </c>
      <c r="I385" s="1">
        <v>2</v>
      </c>
      <c r="J385" s="1">
        <v>6</v>
      </c>
      <c r="K385" s="1">
        <v>7</v>
      </c>
      <c r="L385" s="1">
        <v>4</v>
      </c>
      <c r="M385" s="1">
        <v>19</v>
      </c>
      <c r="P385">
        <v>0.57857142857142851</v>
      </c>
      <c r="Q385">
        <v>0.34983838383838378</v>
      </c>
    </row>
    <row r="386" spans="1:17">
      <c r="A386" s="1">
        <v>61</v>
      </c>
      <c r="B386" s="1">
        <v>0</v>
      </c>
      <c r="C386" s="1">
        <v>1</v>
      </c>
      <c r="D386" s="1">
        <v>0</v>
      </c>
      <c r="E386" s="1">
        <v>0</v>
      </c>
      <c r="F386" s="1">
        <v>6</v>
      </c>
      <c r="G386" s="1">
        <v>6</v>
      </c>
      <c r="H386" s="1">
        <v>1</v>
      </c>
      <c r="I386" s="1">
        <v>2</v>
      </c>
      <c r="J386" s="1">
        <v>2</v>
      </c>
      <c r="K386" s="1">
        <v>2</v>
      </c>
      <c r="L386" s="1">
        <v>4</v>
      </c>
      <c r="M386" s="1">
        <v>19</v>
      </c>
      <c r="P386">
        <v>0.64761904761904732</v>
      </c>
      <c r="Q386">
        <v>0.33294781144781138</v>
      </c>
    </row>
    <row r="387" spans="1:17">
      <c r="A387" s="1">
        <v>62</v>
      </c>
      <c r="B387" s="1">
        <v>0</v>
      </c>
      <c r="C387" s="1">
        <v>1</v>
      </c>
      <c r="D387" s="1">
        <v>0</v>
      </c>
      <c r="E387" s="1">
        <v>0</v>
      </c>
      <c r="F387" s="1">
        <v>5</v>
      </c>
      <c r="G387" s="1">
        <v>6</v>
      </c>
      <c r="H387" s="1">
        <v>1</v>
      </c>
      <c r="I387" s="1">
        <v>2</v>
      </c>
      <c r="J387" s="1">
        <v>2</v>
      </c>
      <c r="K387" s="1">
        <v>2</v>
      </c>
      <c r="L387" s="1">
        <v>4</v>
      </c>
      <c r="M387" s="1">
        <v>19</v>
      </c>
      <c r="P387">
        <v>0.56952380952380921</v>
      </c>
      <c r="Q387">
        <v>0.44969360269360242</v>
      </c>
    </row>
    <row r="388" spans="1:17">
      <c r="A388" s="1">
        <v>63</v>
      </c>
      <c r="B388" s="1">
        <v>0</v>
      </c>
      <c r="C388" s="1">
        <v>1</v>
      </c>
      <c r="D388" s="1">
        <v>0</v>
      </c>
      <c r="E388" s="1">
        <v>1</v>
      </c>
      <c r="F388" s="1">
        <v>5</v>
      </c>
      <c r="G388" s="1">
        <v>6</v>
      </c>
      <c r="H388" s="1">
        <v>1</v>
      </c>
      <c r="I388" s="1">
        <v>2</v>
      </c>
      <c r="J388" s="1">
        <v>2</v>
      </c>
      <c r="K388" s="1">
        <v>2</v>
      </c>
      <c r="L388" s="1">
        <v>4</v>
      </c>
      <c r="M388" s="1">
        <v>19</v>
      </c>
      <c r="P388">
        <v>0.74571428571428611</v>
      </c>
      <c r="Q388">
        <v>0.41643939393939405</v>
      </c>
    </row>
    <row r="389" spans="1:17">
      <c r="A389" s="1">
        <v>64</v>
      </c>
      <c r="B389" s="1">
        <v>1</v>
      </c>
      <c r="C389" s="1">
        <v>1</v>
      </c>
      <c r="D389" s="1">
        <v>0</v>
      </c>
      <c r="E389" s="1">
        <v>0</v>
      </c>
      <c r="F389" s="1">
        <v>9</v>
      </c>
      <c r="G389" s="1">
        <v>6</v>
      </c>
      <c r="H389" s="1">
        <v>2</v>
      </c>
      <c r="I389" s="1">
        <v>2</v>
      </c>
      <c r="J389" s="1">
        <v>3</v>
      </c>
      <c r="K389" s="1">
        <v>3</v>
      </c>
      <c r="L389" s="1">
        <v>4</v>
      </c>
      <c r="M389" s="1">
        <v>19</v>
      </c>
      <c r="P389">
        <v>0.76761904761904753</v>
      </c>
      <c r="Q389">
        <v>0.39954882154882154</v>
      </c>
    </row>
    <row r="390" spans="1:17">
      <c r="A390" s="1">
        <v>65</v>
      </c>
      <c r="B390" s="1">
        <v>1</v>
      </c>
      <c r="C390" s="1">
        <v>1</v>
      </c>
      <c r="D390" s="1">
        <v>1</v>
      </c>
      <c r="E390" s="1">
        <v>0</v>
      </c>
      <c r="F390" s="1">
        <v>15</v>
      </c>
      <c r="G390" s="1">
        <v>6</v>
      </c>
      <c r="H390" s="1">
        <v>3</v>
      </c>
      <c r="I390" s="1">
        <v>2</v>
      </c>
      <c r="J390" s="1">
        <v>5</v>
      </c>
      <c r="K390" s="1">
        <v>5</v>
      </c>
      <c r="L390" s="1">
        <v>4</v>
      </c>
      <c r="M390" s="1">
        <v>19</v>
      </c>
      <c r="P390">
        <v>0.76809523809523783</v>
      </c>
      <c r="Q390">
        <v>0.28629461279461277</v>
      </c>
    </row>
    <row r="391" spans="1:17">
      <c r="A391" s="1">
        <v>66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2</v>
      </c>
      <c r="J391" s="1">
        <v>0</v>
      </c>
      <c r="K391" s="1">
        <v>0</v>
      </c>
      <c r="L391" s="1">
        <v>4</v>
      </c>
      <c r="M391" s="1">
        <v>19</v>
      </c>
      <c r="P391">
        <v>0.5257142857142858</v>
      </c>
      <c r="Q391">
        <v>0.25576767676767675</v>
      </c>
    </row>
    <row r="392" spans="1:17">
      <c r="A392" s="1">
        <v>67</v>
      </c>
      <c r="B392" s="1">
        <v>1</v>
      </c>
      <c r="C392" s="1">
        <v>1</v>
      </c>
      <c r="D392" s="1">
        <v>1</v>
      </c>
      <c r="E392" s="1">
        <v>0</v>
      </c>
      <c r="F392" s="1">
        <v>18</v>
      </c>
      <c r="G392" s="1">
        <v>6</v>
      </c>
      <c r="H392" s="1">
        <v>3</v>
      </c>
      <c r="I392" s="1">
        <v>2</v>
      </c>
      <c r="J392" s="1">
        <v>5</v>
      </c>
      <c r="K392" s="1">
        <v>6</v>
      </c>
      <c r="L392" s="1">
        <v>4</v>
      </c>
      <c r="M392" s="1">
        <v>19</v>
      </c>
      <c r="P392">
        <v>0.82190476190476169</v>
      </c>
      <c r="Q392">
        <v>0.3334225589225589</v>
      </c>
    </row>
    <row r="393" spans="1:17">
      <c r="A393" s="1">
        <v>68</v>
      </c>
      <c r="B393" s="1">
        <v>1</v>
      </c>
      <c r="C393" s="1">
        <v>1</v>
      </c>
      <c r="D393" s="1">
        <v>0</v>
      </c>
      <c r="E393" s="1">
        <v>0</v>
      </c>
      <c r="F393" s="1">
        <v>8</v>
      </c>
      <c r="G393" s="1">
        <v>6</v>
      </c>
      <c r="H393" s="1">
        <v>2</v>
      </c>
      <c r="I393" s="1">
        <v>2</v>
      </c>
      <c r="J393" s="1">
        <v>3</v>
      </c>
      <c r="K393" s="1">
        <v>3</v>
      </c>
      <c r="L393" s="1">
        <v>4</v>
      </c>
      <c r="M393" s="1">
        <v>19</v>
      </c>
      <c r="P393">
        <v>0.55666666666666664</v>
      </c>
      <c r="Q393">
        <v>0.28925925925925938</v>
      </c>
    </row>
    <row r="394" spans="1:17">
      <c r="A394" s="1">
        <v>69</v>
      </c>
      <c r="B394" s="1">
        <v>0</v>
      </c>
      <c r="C394" s="1">
        <v>1</v>
      </c>
      <c r="D394" s="1">
        <v>0</v>
      </c>
      <c r="E394" s="1">
        <v>0</v>
      </c>
      <c r="F394" s="1">
        <v>4</v>
      </c>
      <c r="G394" s="1">
        <v>6</v>
      </c>
      <c r="H394" s="1">
        <v>1</v>
      </c>
      <c r="I394" s="1">
        <v>2</v>
      </c>
      <c r="J394" s="1">
        <v>2</v>
      </c>
      <c r="K394" s="1">
        <v>2</v>
      </c>
      <c r="L394" s="1">
        <v>4</v>
      </c>
      <c r="M394" s="1">
        <v>19</v>
      </c>
      <c r="P394">
        <v>0.41571428571428576</v>
      </c>
      <c r="Q394">
        <v>0.21236868686868693</v>
      </c>
    </row>
    <row r="395" spans="1:17">
      <c r="A395" s="1">
        <v>70</v>
      </c>
      <c r="B395" s="1">
        <v>1</v>
      </c>
      <c r="C395" s="1">
        <v>1</v>
      </c>
      <c r="D395" s="1">
        <v>1</v>
      </c>
      <c r="E395" s="1">
        <v>0</v>
      </c>
      <c r="F395" s="1">
        <v>21</v>
      </c>
      <c r="G395" s="1">
        <v>18</v>
      </c>
      <c r="H395" s="1">
        <v>3</v>
      </c>
      <c r="I395" s="1">
        <v>2</v>
      </c>
      <c r="J395" s="1">
        <v>6</v>
      </c>
      <c r="K395" s="1">
        <v>7</v>
      </c>
      <c r="L395" s="1">
        <v>4</v>
      </c>
      <c r="M395" s="1">
        <v>19</v>
      </c>
      <c r="P395">
        <v>0.58476190476190471</v>
      </c>
      <c r="Q395">
        <v>0.32911447811447814</v>
      </c>
    </row>
    <row r="396" spans="1:17">
      <c r="A396" s="1">
        <v>71</v>
      </c>
      <c r="B396" s="1">
        <v>1</v>
      </c>
      <c r="C396" s="1">
        <v>0</v>
      </c>
      <c r="D396" s="1">
        <v>0</v>
      </c>
      <c r="E396" s="1">
        <v>0</v>
      </c>
      <c r="F396" s="1">
        <v>2</v>
      </c>
      <c r="G396" s="1">
        <v>6</v>
      </c>
      <c r="H396" s="1">
        <v>1</v>
      </c>
      <c r="I396" s="1">
        <v>2</v>
      </c>
      <c r="J396" s="1">
        <v>1</v>
      </c>
      <c r="K396" s="1">
        <v>1</v>
      </c>
      <c r="L396" s="1">
        <v>4</v>
      </c>
      <c r="M396" s="1">
        <v>19</v>
      </c>
      <c r="P396">
        <v>0.8180952380952381</v>
      </c>
      <c r="Q396">
        <v>0.37495117845117854</v>
      </c>
    </row>
    <row r="397" spans="1:17">
      <c r="A397" s="1">
        <v>72</v>
      </c>
      <c r="B397" s="1">
        <v>1</v>
      </c>
      <c r="C397" s="1">
        <v>1</v>
      </c>
      <c r="D397" s="1">
        <v>1</v>
      </c>
      <c r="E397" s="1">
        <v>0</v>
      </c>
      <c r="F397" s="1">
        <v>24</v>
      </c>
      <c r="G397" s="1">
        <v>18</v>
      </c>
      <c r="H397" s="1">
        <v>3</v>
      </c>
      <c r="I397" s="1">
        <v>2</v>
      </c>
      <c r="J397" s="1">
        <v>6</v>
      </c>
      <c r="K397" s="1">
        <v>7</v>
      </c>
      <c r="L397" s="1">
        <v>4</v>
      </c>
      <c r="M397" s="1">
        <v>19</v>
      </c>
      <c r="P397">
        <v>0.87428571428571422</v>
      </c>
      <c r="Q397">
        <v>0.35715151515151516</v>
      </c>
    </row>
    <row r="398" spans="1:17">
      <c r="A398" s="1">
        <v>73</v>
      </c>
      <c r="B398" s="1">
        <v>1</v>
      </c>
      <c r="C398" s="1">
        <v>1</v>
      </c>
      <c r="D398" s="1">
        <v>1</v>
      </c>
      <c r="E398" s="1">
        <v>0</v>
      </c>
      <c r="F398" s="1">
        <v>14</v>
      </c>
      <c r="G398" s="1">
        <v>6</v>
      </c>
      <c r="H398" s="1">
        <v>3</v>
      </c>
      <c r="I398" s="1">
        <v>2</v>
      </c>
      <c r="J398" s="1">
        <v>5</v>
      </c>
      <c r="K398" s="1">
        <v>5</v>
      </c>
      <c r="L398" s="1">
        <v>4</v>
      </c>
      <c r="M398" s="1">
        <v>19</v>
      </c>
      <c r="P398">
        <v>1.1504761904761902</v>
      </c>
      <c r="Q398">
        <v>0.38844276094276092</v>
      </c>
    </row>
    <row r="399" spans="1:17">
      <c r="A399" s="1">
        <v>74</v>
      </c>
      <c r="B399" s="1">
        <v>1</v>
      </c>
      <c r="C399" s="1">
        <v>1</v>
      </c>
      <c r="D399" s="1">
        <v>1</v>
      </c>
      <c r="E399" s="1">
        <v>0</v>
      </c>
      <c r="F399" s="1">
        <v>13</v>
      </c>
      <c r="G399" s="1">
        <v>6</v>
      </c>
      <c r="H399" s="1">
        <v>3</v>
      </c>
      <c r="I399" s="1">
        <v>2</v>
      </c>
      <c r="J399" s="1">
        <v>5</v>
      </c>
      <c r="K399" s="1">
        <v>5</v>
      </c>
      <c r="L399" s="1">
        <v>4</v>
      </c>
      <c r="M399" s="1">
        <v>19</v>
      </c>
      <c r="P399">
        <v>0.58380952380952356</v>
      </c>
      <c r="Q399">
        <v>0.30609764309764298</v>
      </c>
    </row>
    <row r="400" spans="1:17">
      <c r="A400" s="1">
        <v>75</v>
      </c>
      <c r="B400" s="1">
        <v>0</v>
      </c>
      <c r="C400" s="1">
        <v>1</v>
      </c>
      <c r="D400" s="1">
        <v>0</v>
      </c>
      <c r="E400" s="1">
        <v>1</v>
      </c>
      <c r="F400" s="1">
        <v>6</v>
      </c>
      <c r="G400" s="1">
        <v>6</v>
      </c>
      <c r="H400" s="1">
        <v>1</v>
      </c>
      <c r="I400" s="1">
        <v>2</v>
      </c>
      <c r="J400" s="1">
        <v>2</v>
      </c>
      <c r="K400" s="1">
        <v>2</v>
      </c>
      <c r="L400" s="1">
        <v>4</v>
      </c>
      <c r="M400" s="1">
        <v>19</v>
      </c>
      <c r="P400">
        <v>0.42714285714285732</v>
      </c>
      <c r="Q400">
        <v>0.24375252525252519</v>
      </c>
    </row>
    <row r="401" spans="1:17">
      <c r="A401" s="1">
        <v>76</v>
      </c>
      <c r="B401" s="1">
        <v>1</v>
      </c>
      <c r="C401" s="1">
        <v>0</v>
      </c>
      <c r="D401" s="1">
        <v>0</v>
      </c>
      <c r="E401" s="1">
        <v>0</v>
      </c>
      <c r="F401" s="1">
        <v>1</v>
      </c>
      <c r="G401" s="1">
        <v>6</v>
      </c>
      <c r="H401" s="1">
        <v>1</v>
      </c>
      <c r="I401" s="1">
        <v>2</v>
      </c>
      <c r="J401" s="1">
        <v>1</v>
      </c>
      <c r="K401" s="1">
        <v>1</v>
      </c>
      <c r="L401" s="1">
        <v>4</v>
      </c>
      <c r="M401" s="1">
        <v>19</v>
      </c>
      <c r="P401">
        <v>0.57619047619047592</v>
      </c>
      <c r="Q401">
        <v>0.29322558922558917</v>
      </c>
    </row>
    <row r="402" spans="1:17">
      <c r="A402" s="1">
        <v>77</v>
      </c>
      <c r="B402" s="1">
        <v>0</v>
      </c>
      <c r="C402" s="1">
        <v>0</v>
      </c>
      <c r="D402" s="1">
        <v>0</v>
      </c>
      <c r="E402" s="1">
        <v>1</v>
      </c>
      <c r="F402" s="1">
        <v>0</v>
      </c>
      <c r="G402" s="1">
        <v>0</v>
      </c>
      <c r="H402" s="1">
        <v>0</v>
      </c>
      <c r="I402" s="1">
        <v>2</v>
      </c>
      <c r="J402" s="1">
        <v>0</v>
      </c>
      <c r="K402" s="1">
        <v>0</v>
      </c>
      <c r="L402" s="1">
        <v>4</v>
      </c>
      <c r="M402" s="1">
        <v>19</v>
      </c>
      <c r="P402">
        <v>0.4123809523809524</v>
      </c>
      <c r="Q402">
        <v>0.30906228956228948</v>
      </c>
    </row>
    <row r="403" spans="1:17">
      <c r="A403" s="1">
        <v>78</v>
      </c>
      <c r="B403" s="1">
        <v>1</v>
      </c>
      <c r="C403" s="1">
        <v>0</v>
      </c>
      <c r="D403" s="1">
        <v>0</v>
      </c>
      <c r="E403" s="1">
        <v>1</v>
      </c>
      <c r="F403" s="1">
        <v>1</v>
      </c>
      <c r="G403" s="1">
        <v>6</v>
      </c>
      <c r="H403" s="1">
        <v>1</v>
      </c>
      <c r="I403" s="1">
        <v>2</v>
      </c>
      <c r="J403" s="1">
        <v>1</v>
      </c>
      <c r="K403" s="1">
        <v>1</v>
      </c>
      <c r="L403" s="1">
        <v>4</v>
      </c>
      <c r="M403" s="1">
        <v>19</v>
      </c>
      <c r="P403">
        <v>0.80285714285714249</v>
      </c>
      <c r="Q403">
        <v>0.34035353535353541</v>
      </c>
    </row>
    <row r="404" spans="1:17">
      <c r="A404" s="1">
        <v>79</v>
      </c>
      <c r="B404" s="1">
        <v>1</v>
      </c>
      <c r="C404" s="1">
        <v>1</v>
      </c>
      <c r="D404" s="1">
        <v>1</v>
      </c>
      <c r="E404" s="1">
        <v>0</v>
      </c>
      <c r="F404" s="1">
        <v>16</v>
      </c>
      <c r="G404" s="1">
        <v>6</v>
      </c>
      <c r="H404" s="1">
        <v>3</v>
      </c>
      <c r="I404" s="1">
        <v>2</v>
      </c>
      <c r="J404" s="1">
        <v>5</v>
      </c>
      <c r="K404" s="1">
        <v>6</v>
      </c>
      <c r="L404" s="1">
        <v>4</v>
      </c>
      <c r="M404" s="1">
        <v>19</v>
      </c>
      <c r="P404">
        <v>0.88333333333333341</v>
      </c>
      <c r="Q404">
        <v>0.47619023569023561</v>
      </c>
    </row>
    <row r="405" spans="1:17">
      <c r="A405" s="1">
        <v>80</v>
      </c>
      <c r="B405" s="1">
        <v>1</v>
      </c>
      <c r="C405" s="1">
        <v>1</v>
      </c>
      <c r="D405" s="1">
        <v>1</v>
      </c>
      <c r="E405" s="1">
        <v>1</v>
      </c>
      <c r="F405" s="1">
        <v>23</v>
      </c>
      <c r="G405" s="1">
        <v>18</v>
      </c>
      <c r="H405" s="1">
        <v>3</v>
      </c>
      <c r="I405" s="1">
        <v>2</v>
      </c>
      <c r="J405" s="1">
        <v>6</v>
      </c>
      <c r="K405" s="1">
        <v>7</v>
      </c>
      <c r="L405" s="1">
        <v>4</v>
      </c>
      <c r="M405" s="1">
        <v>19</v>
      </c>
      <c r="P405">
        <v>0.64380952380952372</v>
      </c>
      <c r="Q405">
        <v>0.27384511784511789</v>
      </c>
    </row>
    <row r="406" spans="1:17">
      <c r="A406" s="1">
        <v>81</v>
      </c>
      <c r="B406" s="1">
        <v>1</v>
      </c>
      <c r="C406" s="1">
        <v>1</v>
      </c>
      <c r="D406" s="1">
        <v>0</v>
      </c>
      <c r="E406" s="1">
        <v>0</v>
      </c>
      <c r="F406" s="1">
        <v>7</v>
      </c>
      <c r="G406" s="1">
        <v>6</v>
      </c>
      <c r="H406" s="1">
        <v>2</v>
      </c>
      <c r="I406" s="1">
        <v>2</v>
      </c>
      <c r="J406" s="1">
        <v>3</v>
      </c>
      <c r="K406" s="1">
        <v>3</v>
      </c>
      <c r="L406" s="1">
        <v>4</v>
      </c>
      <c r="M406" s="1">
        <v>19</v>
      </c>
      <c r="P406">
        <v>0.622857142857143</v>
      </c>
      <c r="Q406">
        <v>0.33150000000000013</v>
      </c>
    </row>
    <row r="407" spans="1:17">
      <c r="A407" s="1">
        <v>82</v>
      </c>
      <c r="B407" s="1">
        <v>1</v>
      </c>
      <c r="C407" s="1">
        <v>1</v>
      </c>
      <c r="D407" s="1">
        <v>1</v>
      </c>
      <c r="E407" s="1">
        <v>1</v>
      </c>
      <c r="F407" s="1">
        <v>21</v>
      </c>
      <c r="G407" s="1">
        <v>18</v>
      </c>
      <c r="H407" s="1">
        <v>3</v>
      </c>
      <c r="I407" s="1">
        <v>2</v>
      </c>
      <c r="J407" s="1">
        <v>6</v>
      </c>
      <c r="K407" s="1">
        <v>7</v>
      </c>
      <c r="L407" s="1">
        <v>4</v>
      </c>
      <c r="M407" s="1">
        <v>19</v>
      </c>
      <c r="P407">
        <v>0.65904761904761933</v>
      </c>
      <c r="Q407">
        <v>0.36279124579124572</v>
      </c>
    </row>
    <row r="408" spans="1:17">
      <c r="A408" s="1">
        <v>83</v>
      </c>
      <c r="B408" s="1">
        <v>1</v>
      </c>
      <c r="C408" s="1">
        <v>1</v>
      </c>
      <c r="D408" s="1">
        <v>1</v>
      </c>
      <c r="E408" s="1">
        <v>1</v>
      </c>
      <c r="F408" s="1">
        <v>18</v>
      </c>
      <c r="G408" s="1">
        <v>6</v>
      </c>
      <c r="H408" s="1">
        <v>3</v>
      </c>
      <c r="I408" s="1">
        <v>2</v>
      </c>
      <c r="J408" s="1">
        <v>5</v>
      </c>
      <c r="K408" s="1">
        <v>6</v>
      </c>
      <c r="L408" s="1">
        <v>4</v>
      </c>
      <c r="M408" s="1">
        <v>19</v>
      </c>
      <c r="P408">
        <v>0.74238095238095236</v>
      </c>
      <c r="Q408">
        <v>0.34771885521885526</v>
      </c>
    </row>
    <row r="409" spans="1:17">
      <c r="A409" s="1">
        <v>84</v>
      </c>
      <c r="B409" s="1">
        <v>1</v>
      </c>
      <c r="C409" s="1">
        <v>1</v>
      </c>
      <c r="D409" s="1">
        <v>1</v>
      </c>
      <c r="E409" s="1">
        <v>1</v>
      </c>
      <c r="F409" s="1">
        <v>24</v>
      </c>
      <c r="G409" s="1">
        <v>18</v>
      </c>
      <c r="H409" s="1">
        <v>3</v>
      </c>
      <c r="I409" s="1">
        <v>2</v>
      </c>
      <c r="J409" s="1">
        <v>6</v>
      </c>
      <c r="K409" s="1">
        <v>7</v>
      </c>
      <c r="L409" s="1">
        <v>4</v>
      </c>
      <c r="M409" s="1">
        <v>19</v>
      </c>
      <c r="P409">
        <v>0.56714285714285695</v>
      </c>
      <c r="Q409">
        <v>0.29537373737373751</v>
      </c>
    </row>
    <row r="410" spans="1:17">
      <c r="A410" s="1">
        <v>85</v>
      </c>
      <c r="B410" s="1">
        <v>1</v>
      </c>
      <c r="C410" s="1">
        <v>1</v>
      </c>
      <c r="D410" s="1">
        <v>1</v>
      </c>
      <c r="E410" s="1">
        <v>1</v>
      </c>
      <c r="F410" s="1">
        <v>20</v>
      </c>
      <c r="G410" s="1">
        <v>18</v>
      </c>
      <c r="H410" s="1">
        <v>3</v>
      </c>
      <c r="I410" s="1">
        <v>2</v>
      </c>
      <c r="J410" s="1">
        <v>6</v>
      </c>
      <c r="K410" s="1">
        <v>7</v>
      </c>
      <c r="L410" s="1">
        <v>4</v>
      </c>
      <c r="M410" s="1">
        <v>19</v>
      </c>
      <c r="P410">
        <v>0.74190476190476218</v>
      </c>
      <c r="Q410">
        <v>0.34211952861952871</v>
      </c>
    </row>
    <row r="411" spans="1:17">
      <c r="A411" s="1">
        <v>86</v>
      </c>
      <c r="B411" s="1">
        <v>1</v>
      </c>
      <c r="C411" s="1">
        <v>1</v>
      </c>
      <c r="D411" s="1">
        <v>1</v>
      </c>
      <c r="E411" s="1">
        <v>1</v>
      </c>
      <c r="F411" s="1">
        <v>17</v>
      </c>
      <c r="G411" s="1">
        <v>6</v>
      </c>
      <c r="H411" s="1">
        <v>3</v>
      </c>
      <c r="I411" s="1">
        <v>2</v>
      </c>
      <c r="J411" s="1">
        <v>5</v>
      </c>
      <c r="K411" s="1">
        <v>6</v>
      </c>
      <c r="L411" s="1">
        <v>4</v>
      </c>
      <c r="M411" s="1">
        <v>19</v>
      </c>
      <c r="P411">
        <v>0.55238095238095219</v>
      </c>
      <c r="Q411">
        <v>0.31341077441077447</v>
      </c>
    </row>
    <row r="412" spans="1:17">
      <c r="A412" s="1">
        <v>87</v>
      </c>
      <c r="B412" s="1">
        <v>0</v>
      </c>
      <c r="C412" s="1">
        <v>1</v>
      </c>
      <c r="D412" s="1">
        <v>1</v>
      </c>
      <c r="E412" s="1">
        <v>0</v>
      </c>
      <c r="F412" s="1">
        <v>12</v>
      </c>
      <c r="G412" s="1">
        <v>6</v>
      </c>
      <c r="H412" s="1">
        <v>2</v>
      </c>
      <c r="I412" s="1">
        <v>2</v>
      </c>
      <c r="J412" s="1">
        <v>4</v>
      </c>
      <c r="K412" s="1">
        <v>4</v>
      </c>
      <c r="L412" s="1">
        <v>4</v>
      </c>
      <c r="M412" s="1">
        <v>19</v>
      </c>
      <c r="P412">
        <v>0.52571428571428558</v>
      </c>
      <c r="Q412">
        <v>0.20561111111111099</v>
      </c>
    </row>
    <row r="413" spans="1:17">
      <c r="A413" s="1">
        <v>88</v>
      </c>
      <c r="B413" s="1">
        <v>1</v>
      </c>
      <c r="C413" s="1">
        <v>1</v>
      </c>
      <c r="D413" s="1">
        <v>1</v>
      </c>
      <c r="E413" s="1">
        <v>1</v>
      </c>
      <c r="F413" s="1">
        <v>15</v>
      </c>
      <c r="G413" s="1">
        <v>6</v>
      </c>
      <c r="H413" s="1">
        <v>3</v>
      </c>
      <c r="I413" s="1">
        <v>2</v>
      </c>
      <c r="J413" s="1">
        <v>5</v>
      </c>
      <c r="K413" s="1">
        <v>5</v>
      </c>
      <c r="L413" s="1">
        <v>4</v>
      </c>
      <c r="M413" s="1">
        <v>19</v>
      </c>
      <c r="P413">
        <v>0.72190476190476194</v>
      </c>
      <c r="Q413">
        <v>0.42781144781144781</v>
      </c>
    </row>
    <row r="414" spans="1:17">
      <c r="A414" s="1">
        <v>89</v>
      </c>
      <c r="B414" s="1">
        <v>1</v>
      </c>
      <c r="C414" s="1">
        <v>0</v>
      </c>
      <c r="D414" s="1">
        <v>0</v>
      </c>
      <c r="E414" s="1">
        <v>0</v>
      </c>
      <c r="F414" s="1">
        <v>3</v>
      </c>
      <c r="G414" s="1">
        <v>6</v>
      </c>
      <c r="H414" s="1">
        <v>1</v>
      </c>
      <c r="I414" s="1">
        <v>2</v>
      </c>
      <c r="J414" s="1">
        <v>1</v>
      </c>
      <c r="K414" s="1">
        <v>1</v>
      </c>
      <c r="L414" s="1">
        <v>4</v>
      </c>
      <c r="M414" s="1">
        <v>19</v>
      </c>
      <c r="P414">
        <v>0.49666666666666665</v>
      </c>
      <c r="Q414">
        <v>0.2991026936026937</v>
      </c>
    </row>
    <row r="415" spans="1:17">
      <c r="A415" s="1">
        <v>90</v>
      </c>
      <c r="B415" s="1">
        <v>1</v>
      </c>
      <c r="C415" s="1">
        <v>1</v>
      </c>
      <c r="D415" s="1">
        <v>1</v>
      </c>
      <c r="E415" s="1">
        <v>1</v>
      </c>
      <c r="F415" s="1">
        <v>16</v>
      </c>
      <c r="G415" s="1">
        <v>6</v>
      </c>
      <c r="H415" s="1">
        <v>3</v>
      </c>
      <c r="I415" s="1">
        <v>2</v>
      </c>
      <c r="J415" s="1">
        <v>5</v>
      </c>
      <c r="K415" s="1">
        <v>6</v>
      </c>
      <c r="L415" s="1">
        <v>4</v>
      </c>
      <c r="M415" s="1">
        <v>19</v>
      </c>
      <c r="P415">
        <v>0.79428571428571415</v>
      </c>
      <c r="Q415">
        <v>0.36403030303030304</v>
      </c>
    </row>
    <row r="416" spans="1:17">
      <c r="A416" s="1">
        <v>91</v>
      </c>
      <c r="B416" s="1">
        <v>1</v>
      </c>
      <c r="C416" s="1">
        <v>1</v>
      </c>
      <c r="D416" s="1">
        <v>1</v>
      </c>
      <c r="E416" s="1">
        <v>0</v>
      </c>
      <c r="F416" s="1">
        <v>22</v>
      </c>
      <c r="G416" s="1">
        <v>18</v>
      </c>
      <c r="H416" s="1">
        <v>3</v>
      </c>
      <c r="I416" s="1">
        <v>2</v>
      </c>
      <c r="J416" s="1">
        <v>6</v>
      </c>
      <c r="K416" s="1">
        <v>7</v>
      </c>
      <c r="L416" s="1">
        <v>4</v>
      </c>
      <c r="M416" s="1">
        <v>19</v>
      </c>
      <c r="P416">
        <v>0.56333333333333346</v>
      </c>
      <c r="Q416">
        <v>0.27895791245791257</v>
      </c>
    </row>
    <row r="417" spans="1:17">
      <c r="A417" s="1">
        <v>92</v>
      </c>
      <c r="B417" s="1">
        <v>1</v>
      </c>
      <c r="C417" s="1">
        <v>1</v>
      </c>
      <c r="D417" s="1">
        <v>0</v>
      </c>
      <c r="E417" s="1">
        <v>1</v>
      </c>
      <c r="F417" s="1">
        <v>7</v>
      </c>
      <c r="G417" s="1">
        <v>6</v>
      </c>
      <c r="H417" s="1">
        <v>2</v>
      </c>
      <c r="I417" s="1">
        <v>2</v>
      </c>
      <c r="J417" s="1">
        <v>3</v>
      </c>
      <c r="K417" s="1">
        <v>3</v>
      </c>
      <c r="L417" s="1">
        <v>4</v>
      </c>
      <c r="M417" s="1">
        <v>19</v>
      </c>
      <c r="P417">
        <v>0.77380952380952395</v>
      </c>
      <c r="Q417">
        <v>0.39661279461279475</v>
      </c>
    </row>
    <row r="418" spans="1:17">
      <c r="A418" s="1">
        <v>93</v>
      </c>
      <c r="B418" s="1">
        <v>0</v>
      </c>
      <c r="C418" s="1">
        <v>1</v>
      </c>
      <c r="D418" s="1">
        <v>1</v>
      </c>
      <c r="E418" s="1">
        <v>1</v>
      </c>
      <c r="F418" s="1">
        <v>11</v>
      </c>
      <c r="G418" s="1">
        <v>6</v>
      </c>
      <c r="H418" s="1">
        <v>2</v>
      </c>
      <c r="I418" s="1">
        <v>2</v>
      </c>
      <c r="J418" s="1">
        <v>4</v>
      </c>
      <c r="K418" s="1">
        <v>4</v>
      </c>
      <c r="L418" s="1">
        <v>4</v>
      </c>
      <c r="M418" s="1">
        <v>19</v>
      </c>
      <c r="P418">
        <v>0.69857142857142895</v>
      </c>
      <c r="Q418">
        <v>0.42244949494949502</v>
      </c>
    </row>
    <row r="419" spans="1:17">
      <c r="A419" s="1">
        <v>94</v>
      </c>
      <c r="B419" s="1">
        <v>1</v>
      </c>
      <c r="C419" s="1">
        <v>0</v>
      </c>
      <c r="D419" s="1">
        <v>0</v>
      </c>
      <c r="E419" s="1">
        <v>1</v>
      </c>
      <c r="F419" s="1">
        <v>3</v>
      </c>
      <c r="G419" s="1">
        <v>6</v>
      </c>
      <c r="H419" s="1">
        <v>1</v>
      </c>
      <c r="I419" s="1">
        <v>2</v>
      </c>
      <c r="J419" s="1">
        <v>1</v>
      </c>
      <c r="K419" s="1">
        <v>1</v>
      </c>
      <c r="L419" s="1">
        <v>4</v>
      </c>
      <c r="M419" s="1">
        <v>19</v>
      </c>
      <c r="P419">
        <v>0.90761904761904744</v>
      </c>
      <c r="Q419">
        <v>0.20101346801346798</v>
      </c>
    </row>
    <row r="420" spans="1:17">
      <c r="A420" s="1">
        <v>95</v>
      </c>
      <c r="B420" s="1">
        <v>1</v>
      </c>
      <c r="C420" s="1">
        <v>1</v>
      </c>
      <c r="D420" s="1">
        <v>0</v>
      </c>
      <c r="E420" s="1">
        <v>1</v>
      </c>
      <c r="F420" s="1">
        <v>8</v>
      </c>
      <c r="G420" s="1">
        <v>6</v>
      </c>
      <c r="H420" s="1">
        <v>2</v>
      </c>
      <c r="I420" s="1">
        <v>2</v>
      </c>
      <c r="J420" s="1">
        <v>3</v>
      </c>
      <c r="K420" s="1">
        <v>3</v>
      </c>
      <c r="L420" s="1">
        <v>4</v>
      </c>
      <c r="M420" s="1">
        <v>19</v>
      </c>
      <c r="P420">
        <v>0.76380952380952383</v>
      </c>
      <c r="Q420">
        <v>0.32230471380471387</v>
      </c>
    </row>
    <row r="421" spans="1:17">
      <c r="A421" s="1">
        <v>96</v>
      </c>
      <c r="B421" s="1">
        <v>1</v>
      </c>
      <c r="C421" s="1">
        <v>1</v>
      </c>
      <c r="D421" s="1">
        <v>0</v>
      </c>
      <c r="E421" s="1">
        <v>1</v>
      </c>
      <c r="F421" s="1">
        <v>9</v>
      </c>
      <c r="G421" s="1">
        <v>6</v>
      </c>
      <c r="H421" s="1">
        <v>2</v>
      </c>
      <c r="I421" s="1">
        <v>2</v>
      </c>
      <c r="J421" s="1">
        <v>3</v>
      </c>
      <c r="K421" s="1">
        <v>3</v>
      </c>
      <c r="L421" s="1">
        <v>4</v>
      </c>
      <c r="M421" s="1">
        <v>19</v>
      </c>
      <c r="P421">
        <v>0.77857142857142847</v>
      </c>
      <c r="Q421">
        <v>0.39541414141414144</v>
      </c>
    </row>
    <row r="422" spans="1:17">
      <c r="A422" s="1">
        <v>97</v>
      </c>
      <c r="B422" s="1">
        <v>1</v>
      </c>
      <c r="C422" s="1">
        <v>1</v>
      </c>
      <c r="D422" s="1">
        <v>1</v>
      </c>
      <c r="E422" s="1">
        <v>1</v>
      </c>
      <c r="F422" s="1">
        <v>19</v>
      </c>
      <c r="G422" s="1">
        <v>6</v>
      </c>
      <c r="H422" s="1">
        <v>3</v>
      </c>
      <c r="I422" s="1">
        <v>2</v>
      </c>
      <c r="J422" s="1">
        <v>5</v>
      </c>
      <c r="K422" s="1">
        <v>6</v>
      </c>
      <c r="L422" s="1">
        <v>4</v>
      </c>
      <c r="M422" s="1">
        <v>19</v>
      </c>
      <c r="P422">
        <v>0.64047619047619064</v>
      </c>
      <c r="Q422">
        <v>0.36852356902356898</v>
      </c>
    </row>
    <row r="423" spans="1:17">
      <c r="A423" s="1">
        <v>98</v>
      </c>
      <c r="B423" s="1">
        <v>1</v>
      </c>
      <c r="C423" s="1">
        <v>1</v>
      </c>
      <c r="D423" s="1">
        <v>1</v>
      </c>
      <c r="E423" s="1">
        <v>1</v>
      </c>
      <c r="F423" s="1">
        <v>25</v>
      </c>
      <c r="G423" s="1">
        <v>18</v>
      </c>
      <c r="H423" s="1">
        <v>3</v>
      </c>
      <c r="I423" s="1">
        <v>2</v>
      </c>
      <c r="J423" s="1">
        <v>6</v>
      </c>
      <c r="K423" s="1">
        <v>7</v>
      </c>
      <c r="L423" s="1">
        <v>4</v>
      </c>
      <c r="M423" s="1">
        <v>19</v>
      </c>
      <c r="P423">
        <v>0.61238095238095247</v>
      </c>
      <c r="Q423">
        <v>0.33890572390572388</v>
      </c>
    </row>
    <row r="424" spans="1:17">
      <c r="A424" s="1">
        <v>99</v>
      </c>
      <c r="B424" s="1">
        <v>1</v>
      </c>
      <c r="C424" s="1">
        <v>1</v>
      </c>
      <c r="D424" s="1">
        <v>1</v>
      </c>
      <c r="E424" s="1">
        <v>0</v>
      </c>
      <c r="F424" s="1">
        <v>26</v>
      </c>
      <c r="G424" s="1">
        <v>18</v>
      </c>
      <c r="H424" s="1">
        <v>3</v>
      </c>
      <c r="I424" s="1">
        <v>2</v>
      </c>
      <c r="J424" s="1">
        <v>6</v>
      </c>
      <c r="K424" s="1">
        <v>7</v>
      </c>
      <c r="L424" s="1">
        <v>4</v>
      </c>
      <c r="M424" s="1">
        <v>19</v>
      </c>
      <c r="P424">
        <v>0.81142857142857139</v>
      </c>
      <c r="Q424">
        <v>0.42746969696969717</v>
      </c>
    </row>
    <row r="425" spans="1:17">
      <c r="A425" s="1">
        <v>100</v>
      </c>
      <c r="B425" s="1">
        <v>1</v>
      </c>
      <c r="C425" s="1">
        <v>1</v>
      </c>
      <c r="D425" s="1">
        <v>1</v>
      </c>
      <c r="E425" s="1">
        <v>1</v>
      </c>
      <c r="F425" s="1">
        <v>22</v>
      </c>
      <c r="G425" s="1">
        <v>18</v>
      </c>
      <c r="H425" s="1">
        <v>3</v>
      </c>
      <c r="I425" s="1">
        <v>2</v>
      </c>
      <c r="J425" s="1">
        <v>6</v>
      </c>
      <c r="K425" s="1">
        <v>7</v>
      </c>
      <c r="L425" s="1">
        <v>4</v>
      </c>
      <c r="M425" s="1">
        <v>19</v>
      </c>
      <c r="P425">
        <v>0.63190476190476186</v>
      </c>
      <c r="Q425">
        <v>0.31694276094276097</v>
      </c>
    </row>
    <row r="426" spans="1:17">
      <c r="A426" s="1">
        <v>101</v>
      </c>
      <c r="B426" s="1">
        <v>1</v>
      </c>
      <c r="C426" s="1">
        <v>1</v>
      </c>
      <c r="D426" s="1">
        <v>1</v>
      </c>
      <c r="E426" s="1">
        <v>1</v>
      </c>
      <c r="F426" s="1">
        <v>13</v>
      </c>
      <c r="G426" s="1">
        <v>6</v>
      </c>
      <c r="H426" s="1">
        <v>3</v>
      </c>
      <c r="I426" s="1">
        <v>2</v>
      </c>
      <c r="J426" s="1">
        <v>5</v>
      </c>
      <c r="K426" s="1">
        <v>5</v>
      </c>
      <c r="L426" s="1">
        <v>4</v>
      </c>
      <c r="M426" s="1">
        <v>19</v>
      </c>
      <c r="P426">
        <v>0.70238095238095244</v>
      </c>
      <c r="Q426">
        <v>0.34641582491582495</v>
      </c>
    </row>
    <row r="427" spans="1:17">
      <c r="A427" s="1">
        <v>102</v>
      </c>
      <c r="B427" s="1">
        <v>0</v>
      </c>
      <c r="C427" s="1">
        <v>1</v>
      </c>
      <c r="D427" s="1">
        <v>0</v>
      </c>
      <c r="E427" s="1">
        <v>1</v>
      </c>
      <c r="F427" s="1">
        <v>4</v>
      </c>
      <c r="G427" s="1">
        <v>6</v>
      </c>
      <c r="H427" s="1">
        <v>1</v>
      </c>
      <c r="I427" s="1">
        <v>2</v>
      </c>
      <c r="J427" s="1">
        <v>2</v>
      </c>
      <c r="K427" s="1">
        <v>2</v>
      </c>
      <c r="L427" s="1">
        <v>4</v>
      </c>
      <c r="M427" s="1">
        <v>19</v>
      </c>
      <c r="P427">
        <v>0.71571428571428564</v>
      </c>
      <c r="Q427">
        <v>0.39952525252525251</v>
      </c>
    </row>
    <row r="428" spans="1:17">
      <c r="A428" s="1">
        <v>103</v>
      </c>
      <c r="B428" s="1">
        <v>0</v>
      </c>
      <c r="C428" s="1">
        <v>1</v>
      </c>
      <c r="D428" s="1">
        <v>1</v>
      </c>
      <c r="E428" s="1">
        <v>1</v>
      </c>
      <c r="F428" s="1">
        <v>10</v>
      </c>
      <c r="G428" s="1">
        <v>6</v>
      </c>
      <c r="H428" s="1">
        <v>2</v>
      </c>
      <c r="I428" s="1">
        <v>2</v>
      </c>
      <c r="J428" s="1">
        <v>4</v>
      </c>
      <c r="K428" s="1">
        <v>4</v>
      </c>
      <c r="L428" s="1">
        <v>4</v>
      </c>
      <c r="M428" s="1">
        <v>19</v>
      </c>
      <c r="P428">
        <v>0.41190476190476188</v>
      </c>
      <c r="Q428">
        <v>0.20445286195286194</v>
      </c>
    </row>
    <row r="429" spans="1:17">
      <c r="A429" s="1">
        <v>104</v>
      </c>
      <c r="B429" s="1">
        <v>0</v>
      </c>
      <c r="C429" s="1">
        <v>1</v>
      </c>
      <c r="D429" s="1">
        <v>1</v>
      </c>
      <c r="E429" s="1">
        <v>1</v>
      </c>
      <c r="F429" s="1">
        <v>12</v>
      </c>
      <c r="G429" s="1">
        <v>6</v>
      </c>
      <c r="H429" s="1">
        <v>2</v>
      </c>
      <c r="I429" s="1">
        <v>2</v>
      </c>
      <c r="J429" s="1">
        <v>4</v>
      </c>
      <c r="K429" s="1">
        <v>4</v>
      </c>
      <c r="L429" s="1">
        <v>4</v>
      </c>
      <c r="M429" s="1">
        <v>19</v>
      </c>
      <c r="P429">
        <v>0.43095238095238086</v>
      </c>
      <c r="Q429">
        <v>0.24119865319865322</v>
      </c>
    </row>
    <row r="430" spans="1:17">
      <c r="A430" s="1">
        <v>105</v>
      </c>
      <c r="B430" s="1">
        <v>1</v>
      </c>
      <c r="C430" s="1">
        <v>1</v>
      </c>
      <c r="D430" s="1">
        <v>1</v>
      </c>
      <c r="E430" s="1">
        <v>1</v>
      </c>
      <c r="F430" s="1">
        <v>14</v>
      </c>
      <c r="G430" s="1">
        <v>6</v>
      </c>
      <c r="H430" s="1">
        <v>3</v>
      </c>
      <c r="I430" s="1">
        <v>2</v>
      </c>
      <c r="J430" s="1">
        <v>5</v>
      </c>
      <c r="K430" s="1">
        <v>5</v>
      </c>
      <c r="L430" s="1">
        <v>4</v>
      </c>
      <c r="M430" s="1">
        <v>19</v>
      </c>
      <c r="P430">
        <v>0.56428571428571417</v>
      </c>
      <c r="Q430">
        <v>0.29612626262626257</v>
      </c>
    </row>
    <row r="431" spans="1:17">
      <c r="A431" s="1">
        <v>106</v>
      </c>
      <c r="B431" s="1">
        <v>1</v>
      </c>
      <c r="C431" s="1">
        <v>1</v>
      </c>
      <c r="D431" s="1">
        <v>1</v>
      </c>
      <c r="E431" s="1">
        <v>0</v>
      </c>
      <c r="F431" s="1">
        <v>19</v>
      </c>
      <c r="G431" s="1">
        <v>6</v>
      </c>
      <c r="H431" s="1">
        <v>3</v>
      </c>
      <c r="I431" s="1">
        <v>2</v>
      </c>
      <c r="J431" s="1">
        <v>5</v>
      </c>
      <c r="K431" s="1">
        <v>6</v>
      </c>
      <c r="L431" s="1">
        <v>4</v>
      </c>
      <c r="M431" s="1">
        <v>19</v>
      </c>
      <c r="P431">
        <v>0.51190476190476186</v>
      </c>
      <c r="Q431">
        <v>0.24650841750841748</v>
      </c>
    </row>
    <row r="432" spans="1:17">
      <c r="A432" s="1">
        <v>107</v>
      </c>
      <c r="B432" s="1">
        <v>1</v>
      </c>
      <c r="C432" s="1">
        <v>1</v>
      </c>
      <c r="D432" s="1">
        <v>1</v>
      </c>
      <c r="E432" s="1">
        <v>1</v>
      </c>
      <c r="F432" s="1">
        <v>26</v>
      </c>
      <c r="G432" s="1">
        <v>18</v>
      </c>
      <c r="H432" s="1">
        <v>3</v>
      </c>
      <c r="I432" s="1">
        <v>2</v>
      </c>
      <c r="J432" s="1">
        <v>6</v>
      </c>
      <c r="K432" s="1">
        <v>7</v>
      </c>
      <c r="L432" s="1">
        <v>4</v>
      </c>
      <c r="M432" s="1">
        <v>19</v>
      </c>
      <c r="P432">
        <v>0.47523809523809529</v>
      </c>
      <c r="Q432">
        <v>0.24870875420875416</v>
      </c>
    </row>
    <row r="433" spans="1:18">
      <c r="A433" s="1">
        <v>108</v>
      </c>
      <c r="B433" s="1">
        <v>1</v>
      </c>
      <c r="C433" s="1">
        <v>0</v>
      </c>
      <c r="D433" s="1">
        <v>0</v>
      </c>
      <c r="E433" s="1">
        <v>1</v>
      </c>
      <c r="F433" s="1">
        <v>2</v>
      </c>
      <c r="G433" s="1">
        <v>6</v>
      </c>
      <c r="H433" s="1">
        <v>1</v>
      </c>
      <c r="I433" s="1">
        <v>2</v>
      </c>
      <c r="J433" s="1">
        <v>1</v>
      </c>
      <c r="K433" s="1">
        <v>1</v>
      </c>
      <c r="L433" s="1">
        <v>4</v>
      </c>
      <c r="M433" s="1">
        <v>19</v>
      </c>
      <c r="P433">
        <v>0.74428571428571444</v>
      </c>
      <c r="Q433">
        <v>0.38</v>
      </c>
    </row>
    <row r="434" spans="1:18">
      <c r="A434" s="1">
        <v>1</v>
      </c>
      <c r="B434" s="1">
        <v>1</v>
      </c>
      <c r="C434" s="1">
        <v>1</v>
      </c>
      <c r="D434" s="1">
        <v>1</v>
      </c>
      <c r="E434" s="1">
        <v>0</v>
      </c>
      <c r="F434" s="1">
        <v>14</v>
      </c>
      <c r="G434" s="1">
        <v>6</v>
      </c>
      <c r="H434" s="1">
        <v>3</v>
      </c>
      <c r="I434" s="1">
        <v>1</v>
      </c>
      <c r="J434" s="1">
        <v>5</v>
      </c>
      <c r="K434" s="1">
        <v>5</v>
      </c>
      <c r="L434" s="1">
        <v>5</v>
      </c>
      <c r="M434" s="1">
        <v>22</v>
      </c>
      <c r="N434" s="1">
        <v>24</v>
      </c>
      <c r="O434" s="1">
        <v>34</v>
      </c>
      <c r="P434">
        <v>0.64236592592592601</v>
      </c>
      <c r="Q434">
        <v>0.56973359324236506</v>
      </c>
      <c r="R434">
        <v>4.6183333333333333E-2</v>
      </c>
    </row>
    <row r="435" spans="1:18">
      <c r="A435" s="1">
        <v>2</v>
      </c>
      <c r="B435" s="1">
        <v>1</v>
      </c>
      <c r="C435" s="1">
        <v>1</v>
      </c>
      <c r="D435" s="1">
        <v>1</v>
      </c>
      <c r="E435" s="1">
        <v>0</v>
      </c>
      <c r="F435" s="1">
        <v>15</v>
      </c>
      <c r="G435" s="1">
        <v>6</v>
      </c>
      <c r="H435" s="1">
        <v>3</v>
      </c>
      <c r="I435" s="1">
        <v>1</v>
      </c>
      <c r="J435" s="1">
        <v>5</v>
      </c>
      <c r="K435" s="1">
        <v>5</v>
      </c>
      <c r="L435" s="1">
        <v>5</v>
      </c>
      <c r="M435" s="1">
        <v>22</v>
      </c>
      <c r="N435" s="1">
        <v>24</v>
      </c>
      <c r="O435" s="1">
        <v>34</v>
      </c>
      <c r="P435">
        <v>0.63977185185185192</v>
      </c>
      <c r="Q435">
        <v>0.58262508122157231</v>
      </c>
      <c r="R435">
        <v>4.0837500000000006E-2</v>
      </c>
    </row>
    <row r="436" spans="1:18">
      <c r="A436" s="1">
        <v>3</v>
      </c>
      <c r="B436" s="1">
        <v>1</v>
      </c>
      <c r="C436" s="1">
        <v>1</v>
      </c>
      <c r="D436" s="1">
        <v>1</v>
      </c>
      <c r="E436" s="1">
        <v>0</v>
      </c>
      <c r="F436" s="1">
        <v>13</v>
      </c>
      <c r="G436" s="1">
        <v>6</v>
      </c>
      <c r="H436" s="1">
        <v>3</v>
      </c>
      <c r="I436" s="1">
        <v>1</v>
      </c>
      <c r="J436" s="1">
        <v>5</v>
      </c>
      <c r="K436" s="1">
        <v>5</v>
      </c>
      <c r="L436" s="1">
        <v>5</v>
      </c>
      <c r="M436" s="1">
        <v>22</v>
      </c>
      <c r="N436" s="1">
        <v>24</v>
      </c>
      <c r="O436" s="1">
        <v>34</v>
      </c>
      <c r="P436">
        <v>0.53717777777777787</v>
      </c>
      <c r="Q436">
        <v>0.49113060428849914</v>
      </c>
      <c r="R436">
        <v>4.7295833333333336E-2</v>
      </c>
    </row>
    <row r="437" spans="1:18">
      <c r="A437" s="1">
        <v>4</v>
      </c>
      <c r="B437" s="1">
        <v>1</v>
      </c>
      <c r="C437" s="1">
        <v>0</v>
      </c>
      <c r="D437" s="1">
        <v>0</v>
      </c>
      <c r="E437" s="1">
        <v>0</v>
      </c>
      <c r="F437" s="1">
        <v>1</v>
      </c>
      <c r="G437" s="1">
        <v>6</v>
      </c>
      <c r="H437" s="1">
        <v>1</v>
      </c>
      <c r="I437" s="1">
        <v>1</v>
      </c>
      <c r="J437" s="1">
        <v>1</v>
      </c>
      <c r="K437" s="1">
        <v>1</v>
      </c>
      <c r="L437" s="1">
        <v>5</v>
      </c>
      <c r="M437" s="1">
        <v>22</v>
      </c>
      <c r="N437" s="1">
        <v>24</v>
      </c>
      <c r="O437" s="1">
        <v>34</v>
      </c>
      <c r="P437">
        <v>0.69138370370370372</v>
      </c>
      <c r="Q437">
        <v>0.68998700454840778</v>
      </c>
      <c r="R437">
        <v>4.7395833333333338E-2</v>
      </c>
    </row>
    <row r="438" spans="1:18">
      <c r="A438" s="1">
        <v>5</v>
      </c>
      <c r="B438" s="1">
        <v>1</v>
      </c>
      <c r="C438" s="1">
        <v>1</v>
      </c>
      <c r="D438" s="1">
        <v>0</v>
      </c>
      <c r="E438" s="1">
        <v>0</v>
      </c>
      <c r="F438" s="1">
        <v>8</v>
      </c>
      <c r="G438" s="1">
        <v>6</v>
      </c>
      <c r="H438" s="1">
        <v>2</v>
      </c>
      <c r="I438" s="1">
        <v>1</v>
      </c>
      <c r="J438" s="1">
        <v>3</v>
      </c>
      <c r="K438" s="1">
        <v>3</v>
      </c>
      <c r="L438" s="1">
        <v>5</v>
      </c>
      <c r="M438" s="1">
        <v>22</v>
      </c>
      <c r="N438" s="1">
        <v>24</v>
      </c>
      <c r="O438" s="1">
        <v>34</v>
      </c>
      <c r="P438">
        <v>0.63598962962962968</v>
      </c>
      <c r="Q438">
        <v>0.48884340480831706</v>
      </c>
      <c r="R438">
        <v>4.189166666666666E-2</v>
      </c>
    </row>
    <row r="439" spans="1:18">
      <c r="A439" s="1">
        <v>6</v>
      </c>
      <c r="B439" s="1">
        <v>1</v>
      </c>
      <c r="C439" s="1">
        <v>0</v>
      </c>
      <c r="D439" s="1">
        <v>0</v>
      </c>
      <c r="E439" s="1">
        <v>0</v>
      </c>
      <c r="F439" s="1">
        <v>2</v>
      </c>
      <c r="G439" s="1">
        <v>6</v>
      </c>
      <c r="H439" s="1">
        <v>1</v>
      </c>
      <c r="I439" s="1">
        <v>1</v>
      </c>
      <c r="J439" s="1">
        <v>1</v>
      </c>
      <c r="K439" s="1">
        <v>1</v>
      </c>
      <c r="L439" s="1">
        <v>5</v>
      </c>
      <c r="M439" s="1">
        <v>22</v>
      </c>
      <c r="N439" s="1">
        <v>24</v>
      </c>
      <c r="O439" s="1">
        <v>34</v>
      </c>
      <c r="P439">
        <v>0.58619555555555547</v>
      </c>
      <c r="Q439">
        <v>0.50612085769980508</v>
      </c>
      <c r="R439">
        <v>4.4124999999999991E-2</v>
      </c>
    </row>
    <row r="440" spans="1:18">
      <c r="A440" s="1">
        <v>7</v>
      </c>
      <c r="B440" s="1">
        <v>1</v>
      </c>
      <c r="C440" s="1">
        <v>1</v>
      </c>
      <c r="D440" s="1">
        <v>1</v>
      </c>
      <c r="E440" s="1">
        <v>0</v>
      </c>
      <c r="F440" s="1">
        <v>24</v>
      </c>
      <c r="G440" s="1">
        <v>18</v>
      </c>
      <c r="H440" s="1">
        <v>3</v>
      </c>
      <c r="I440" s="1">
        <v>1</v>
      </c>
      <c r="J440" s="1">
        <v>6</v>
      </c>
      <c r="K440" s="1">
        <v>7</v>
      </c>
      <c r="L440" s="1">
        <v>5</v>
      </c>
      <c r="M440" s="1">
        <v>22</v>
      </c>
      <c r="N440" s="1">
        <v>24</v>
      </c>
      <c r="O440" s="1">
        <v>34</v>
      </c>
      <c r="P440">
        <v>0.56120148148148141</v>
      </c>
      <c r="Q440">
        <v>0.56111760883690709</v>
      </c>
      <c r="R440">
        <v>4.6237500000000008E-2</v>
      </c>
    </row>
    <row r="441" spans="1:18">
      <c r="A441" s="1">
        <v>8</v>
      </c>
      <c r="B441" s="1">
        <v>1</v>
      </c>
      <c r="C441" s="1">
        <v>1</v>
      </c>
      <c r="D441" s="1">
        <v>1</v>
      </c>
      <c r="E441" s="1">
        <v>0</v>
      </c>
      <c r="F441" s="1">
        <v>26</v>
      </c>
      <c r="G441" s="1">
        <v>18</v>
      </c>
      <c r="H441" s="1">
        <v>3</v>
      </c>
      <c r="I441" s="1">
        <v>1</v>
      </c>
      <c r="J441" s="1">
        <v>6</v>
      </c>
      <c r="K441" s="1">
        <v>7</v>
      </c>
      <c r="L441" s="1">
        <v>5</v>
      </c>
      <c r="M441" s="1">
        <v>22</v>
      </c>
      <c r="N441" s="1">
        <v>24</v>
      </c>
      <c r="O441" s="1">
        <v>34</v>
      </c>
      <c r="P441">
        <v>0.71620740740740763</v>
      </c>
      <c r="Q441">
        <v>0.58365821962313191</v>
      </c>
      <c r="R441">
        <v>4.6837500000000011E-2</v>
      </c>
    </row>
    <row r="442" spans="1:18">
      <c r="A442" s="1">
        <v>9</v>
      </c>
      <c r="B442" s="1">
        <v>1</v>
      </c>
      <c r="C442" s="1">
        <v>1</v>
      </c>
      <c r="D442" s="1">
        <v>1</v>
      </c>
      <c r="E442" s="1">
        <v>0</v>
      </c>
      <c r="F442" s="1">
        <v>21</v>
      </c>
      <c r="G442" s="1">
        <v>18</v>
      </c>
      <c r="H442" s="1">
        <v>3</v>
      </c>
      <c r="I442" s="1">
        <v>1</v>
      </c>
      <c r="J442" s="1">
        <v>6</v>
      </c>
      <c r="K442" s="1">
        <v>7</v>
      </c>
      <c r="L442" s="1">
        <v>5</v>
      </c>
      <c r="M442" s="1">
        <v>22</v>
      </c>
      <c r="N442" s="1">
        <v>24</v>
      </c>
      <c r="O442" s="1">
        <v>34</v>
      </c>
      <c r="P442">
        <v>0.75921333333333318</v>
      </c>
      <c r="Q442">
        <v>0.70532163742690035</v>
      </c>
      <c r="R442">
        <v>5.2733333333333333E-2</v>
      </c>
    </row>
    <row r="443" spans="1:18">
      <c r="A443" s="1">
        <v>10</v>
      </c>
      <c r="B443" s="1">
        <v>1</v>
      </c>
      <c r="C443" s="1">
        <v>1</v>
      </c>
      <c r="D443" s="1">
        <v>1</v>
      </c>
      <c r="E443" s="1">
        <v>0</v>
      </c>
      <c r="F443" s="1">
        <v>25</v>
      </c>
      <c r="G443" s="1">
        <v>18</v>
      </c>
      <c r="H443" s="1">
        <v>3</v>
      </c>
      <c r="I443" s="1">
        <v>1</v>
      </c>
      <c r="J443" s="1">
        <v>6</v>
      </c>
      <c r="K443" s="1">
        <v>7</v>
      </c>
      <c r="L443" s="1">
        <v>5</v>
      </c>
      <c r="M443" s="1">
        <v>22</v>
      </c>
      <c r="N443" s="1">
        <v>24</v>
      </c>
      <c r="O443" s="1">
        <v>34</v>
      </c>
      <c r="P443">
        <v>0.94461925925925949</v>
      </c>
      <c r="Q443">
        <v>0.91031838856400271</v>
      </c>
      <c r="R443">
        <v>6.2195833333333318E-2</v>
      </c>
    </row>
    <row r="444" spans="1:18">
      <c r="A444" s="1">
        <v>11</v>
      </c>
      <c r="B444" s="1">
        <v>1</v>
      </c>
      <c r="C444" s="1">
        <v>1</v>
      </c>
      <c r="D444" s="1">
        <v>1</v>
      </c>
      <c r="E444" s="1">
        <v>0</v>
      </c>
      <c r="F444" s="1">
        <v>20</v>
      </c>
      <c r="G444" s="1">
        <v>18</v>
      </c>
      <c r="H444" s="1">
        <v>3</v>
      </c>
      <c r="I444" s="1">
        <v>1</v>
      </c>
      <c r="J444" s="1">
        <v>6</v>
      </c>
      <c r="K444" s="1">
        <v>7</v>
      </c>
      <c r="L444" s="1">
        <v>5</v>
      </c>
      <c r="M444" s="1">
        <v>22</v>
      </c>
      <c r="N444" s="1">
        <v>24</v>
      </c>
      <c r="O444" s="1">
        <v>34</v>
      </c>
      <c r="P444">
        <v>0.77722518518518513</v>
      </c>
      <c r="Q444">
        <v>0.73285899935022736</v>
      </c>
      <c r="R444">
        <v>4.836250000000001E-2</v>
      </c>
    </row>
    <row r="445" spans="1:18">
      <c r="A445" s="1">
        <v>12</v>
      </c>
      <c r="B445" s="1">
        <v>1</v>
      </c>
      <c r="C445" s="1">
        <v>1</v>
      </c>
      <c r="D445" s="1">
        <v>1</v>
      </c>
      <c r="E445" s="1">
        <v>1</v>
      </c>
      <c r="F445" s="1">
        <v>18</v>
      </c>
      <c r="G445" s="1">
        <v>6</v>
      </c>
      <c r="H445" s="1">
        <v>3</v>
      </c>
      <c r="I445" s="1">
        <v>1</v>
      </c>
      <c r="J445" s="1">
        <v>5</v>
      </c>
      <c r="K445" s="1">
        <v>6</v>
      </c>
      <c r="L445" s="1">
        <v>5</v>
      </c>
      <c r="M445" s="1">
        <v>22</v>
      </c>
      <c r="N445" s="1">
        <v>24</v>
      </c>
      <c r="O445" s="1">
        <v>34</v>
      </c>
      <c r="P445">
        <v>-5.6725333333333336E-2</v>
      </c>
      <c r="Q445">
        <v>0.21939571150097459</v>
      </c>
      <c r="R445">
        <v>4.1429166666666663E-2</v>
      </c>
    </row>
    <row r="446" spans="1:18">
      <c r="A446" s="1">
        <v>13</v>
      </c>
      <c r="B446" s="1">
        <v>1</v>
      </c>
      <c r="C446" s="1">
        <v>1</v>
      </c>
      <c r="D446" s="1">
        <v>1</v>
      </c>
      <c r="E446" s="1">
        <v>1</v>
      </c>
      <c r="F446" s="1">
        <v>25</v>
      </c>
      <c r="G446" s="1">
        <v>18</v>
      </c>
      <c r="H446" s="1">
        <v>3</v>
      </c>
      <c r="I446" s="1">
        <v>1</v>
      </c>
      <c r="J446" s="1">
        <v>6</v>
      </c>
      <c r="K446" s="1">
        <v>7</v>
      </c>
      <c r="L446" s="1">
        <v>5</v>
      </c>
      <c r="M446" s="1">
        <v>22</v>
      </c>
      <c r="N446" s="1">
        <v>24</v>
      </c>
      <c r="O446" s="1">
        <v>34</v>
      </c>
      <c r="P446">
        <v>5.4488888888888452E-3</v>
      </c>
      <c r="Q446">
        <v>0.30595354126055874</v>
      </c>
      <c r="R446">
        <v>4.5729166666666633E-2</v>
      </c>
    </row>
    <row r="447" spans="1:18">
      <c r="A447" s="1">
        <v>14</v>
      </c>
      <c r="B447" s="1">
        <v>1</v>
      </c>
      <c r="C447" s="1">
        <v>1</v>
      </c>
      <c r="D447" s="1">
        <v>1</v>
      </c>
      <c r="E447" s="1">
        <v>1</v>
      </c>
      <c r="F447" s="1">
        <v>14</v>
      </c>
      <c r="G447" s="1">
        <v>6</v>
      </c>
      <c r="H447" s="1">
        <v>3</v>
      </c>
      <c r="I447" s="1">
        <v>1</v>
      </c>
      <c r="J447" s="1">
        <v>5</v>
      </c>
      <c r="K447" s="1">
        <v>5</v>
      </c>
      <c r="L447" s="1">
        <v>5</v>
      </c>
      <c r="M447" s="1">
        <v>22</v>
      </c>
      <c r="N447" s="1">
        <v>24</v>
      </c>
      <c r="O447" s="1">
        <v>34</v>
      </c>
      <c r="P447">
        <v>0.20202311111111115</v>
      </c>
      <c r="Q447">
        <v>0.3846166341780376</v>
      </c>
      <c r="R447">
        <v>4.116666666666665E-2</v>
      </c>
    </row>
    <row r="448" spans="1:18">
      <c r="A448" s="1">
        <v>15</v>
      </c>
      <c r="B448" s="1">
        <v>1</v>
      </c>
      <c r="C448" s="1">
        <v>1</v>
      </c>
      <c r="D448" s="1">
        <v>1</v>
      </c>
      <c r="E448" s="1">
        <v>0</v>
      </c>
      <c r="F448" s="1">
        <v>18</v>
      </c>
      <c r="G448" s="1">
        <v>6</v>
      </c>
      <c r="H448" s="1">
        <v>3</v>
      </c>
      <c r="I448" s="1">
        <v>1</v>
      </c>
      <c r="J448" s="1">
        <v>5</v>
      </c>
      <c r="K448" s="1">
        <v>6</v>
      </c>
      <c r="L448" s="1">
        <v>5</v>
      </c>
      <c r="M448" s="1">
        <v>22</v>
      </c>
      <c r="N448" s="1">
        <v>24</v>
      </c>
      <c r="O448" s="1">
        <v>34</v>
      </c>
      <c r="P448">
        <v>0.60604888888888897</v>
      </c>
      <c r="Q448">
        <v>0.56249512670565305</v>
      </c>
      <c r="R448">
        <v>3.9083333333333338E-2</v>
      </c>
    </row>
    <row r="449" spans="1:18">
      <c r="A449" s="1">
        <v>16</v>
      </c>
      <c r="B449" s="1">
        <v>1</v>
      </c>
      <c r="C449" s="1">
        <v>1</v>
      </c>
      <c r="D449" s="1">
        <v>1</v>
      </c>
      <c r="E449" s="1">
        <v>1</v>
      </c>
      <c r="F449" s="1">
        <v>21</v>
      </c>
      <c r="G449" s="1">
        <v>18</v>
      </c>
      <c r="H449" s="1">
        <v>3</v>
      </c>
      <c r="I449" s="1">
        <v>1</v>
      </c>
      <c r="J449" s="1">
        <v>6</v>
      </c>
      <c r="K449" s="1">
        <v>7</v>
      </c>
      <c r="L449" s="1">
        <v>5</v>
      </c>
      <c r="M449" s="1">
        <v>22</v>
      </c>
      <c r="N449" s="1">
        <v>24</v>
      </c>
      <c r="O449" s="1">
        <v>34</v>
      </c>
      <c r="P449">
        <v>-8.8028444444444492E-2</v>
      </c>
      <c r="Q449">
        <v>0.3200129954515919</v>
      </c>
      <c r="R449">
        <v>4.8579166666666673E-2</v>
      </c>
    </row>
    <row r="450" spans="1:18">
      <c r="A450" s="1">
        <v>17</v>
      </c>
      <c r="B450" s="1">
        <v>1</v>
      </c>
      <c r="C450" s="1">
        <v>0</v>
      </c>
      <c r="D450" s="1">
        <v>0</v>
      </c>
      <c r="E450" s="1">
        <v>1</v>
      </c>
      <c r="F450" s="1">
        <v>1</v>
      </c>
      <c r="G450" s="1">
        <v>6</v>
      </c>
      <c r="H450" s="1">
        <v>1</v>
      </c>
      <c r="I450" s="1">
        <v>1</v>
      </c>
      <c r="J450" s="1">
        <v>1</v>
      </c>
      <c r="K450" s="1">
        <v>1</v>
      </c>
      <c r="L450" s="1">
        <v>5</v>
      </c>
      <c r="M450" s="1">
        <v>22</v>
      </c>
      <c r="N450" s="1">
        <v>24</v>
      </c>
      <c r="O450" s="1">
        <v>34</v>
      </c>
      <c r="P450">
        <v>-9.854222222222226E-3</v>
      </c>
      <c r="Q450">
        <v>0.36797433398310597</v>
      </c>
      <c r="R450">
        <v>4.4374999999999998E-2</v>
      </c>
    </row>
    <row r="451" spans="1:18">
      <c r="A451" s="1">
        <v>18</v>
      </c>
      <c r="B451" s="1">
        <v>1</v>
      </c>
      <c r="C451" s="1">
        <v>1</v>
      </c>
      <c r="D451" s="1">
        <v>1</v>
      </c>
      <c r="E451" s="1">
        <v>0</v>
      </c>
      <c r="F451" s="1">
        <v>22</v>
      </c>
      <c r="G451" s="1">
        <v>18</v>
      </c>
      <c r="H451" s="1">
        <v>3</v>
      </c>
      <c r="I451" s="1">
        <v>1</v>
      </c>
      <c r="J451" s="1">
        <v>6</v>
      </c>
      <c r="K451" s="1">
        <v>7</v>
      </c>
      <c r="L451" s="1">
        <v>5</v>
      </c>
      <c r="M451" s="1">
        <v>22</v>
      </c>
      <c r="N451" s="1">
        <v>24</v>
      </c>
      <c r="O451" s="1">
        <v>34</v>
      </c>
      <c r="P451">
        <v>0.51346666666666652</v>
      </c>
      <c r="Q451">
        <v>0.51169590643274832</v>
      </c>
      <c r="R451">
        <v>4.7166666666666669E-2</v>
      </c>
    </row>
    <row r="452" spans="1:18">
      <c r="A452" s="1">
        <v>19</v>
      </c>
      <c r="B452" s="1">
        <v>1</v>
      </c>
      <c r="C452" s="1">
        <v>1</v>
      </c>
      <c r="D452" s="1">
        <v>1</v>
      </c>
      <c r="E452" s="1">
        <v>1</v>
      </c>
      <c r="F452" s="1">
        <v>26</v>
      </c>
      <c r="G452" s="1">
        <v>18</v>
      </c>
      <c r="H452" s="1">
        <v>3</v>
      </c>
      <c r="I452" s="1">
        <v>1</v>
      </c>
      <c r="J452" s="1">
        <v>6</v>
      </c>
      <c r="K452" s="1">
        <v>7</v>
      </c>
      <c r="L452" s="1">
        <v>5</v>
      </c>
      <c r="M452" s="1">
        <v>22</v>
      </c>
      <c r="N452" s="1">
        <v>24</v>
      </c>
      <c r="O452" s="1">
        <v>34</v>
      </c>
      <c r="P452">
        <v>0.15609422222222225</v>
      </c>
      <c r="Q452">
        <v>0.2796864847303443</v>
      </c>
      <c r="R452">
        <v>3.4291666666666665E-2</v>
      </c>
    </row>
    <row r="453" spans="1:18">
      <c r="A453" s="1">
        <v>20</v>
      </c>
      <c r="B453" s="1">
        <v>1</v>
      </c>
      <c r="C453" s="1">
        <v>1</v>
      </c>
      <c r="D453" s="1">
        <v>1</v>
      </c>
      <c r="E453" s="1">
        <v>0</v>
      </c>
      <c r="F453" s="1">
        <v>17</v>
      </c>
      <c r="G453" s="1">
        <v>6</v>
      </c>
      <c r="H453" s="1">
        <v>3</v>
      </c>
      <c r="I453" s="1">
        <v>1</v>
      </c>
      <c r="J453" s="1">
        <v>5</v>
      </c>
      <c r="K453" s="1">
        <v>6</v>
      </c>
      <c r="L453" s="1">
        <v>5</v>
      </c>
      <c r="M453" s="1">
        <v>22</v>
      </c>
      <c r="N453" s="1">
        <v>24</v>
      </c>
      <c r="O453" s="1">
        <v>34</v>
      </c>
      <c r="P453">
        <v>0.35387851851851843</v>
      </c>
      <c r="Q453">
        <v>0.39712800519818064</v>
      </c>
      <c r="R453">
        <v>3.9354166666666655E-2</v>
      </c>
    </row>
    <row r="454" spans="1:18">
      <c r="A454" s="1">
        <v>21</v>
      </c>
      <c r="B454" s="1">
        <v>1</v>
      </c>
      <c r="C454" s="1">
        <v>1</v>
      </c>
      <c r="D454" s="1">
        <v>1</v>
      </c>
      <c r="E454" s="1">
        <v>0</v>
      </c>
      <c r="F454" s="1">
        <v>19</v>
      </c>
      <c r="G454" s="1">
        <v>6</v>
      </c>
      <c r="H454" s="1">
        <v>3</v>
      </c>
      <c r="I454" s="1">
        <v>1</v>
      </c>
      <c r="J454" s="1">
        <v>5</v>
      </c>
      <c r="K454" s="1">
        <v>6</v>
      </c>
      <c r="L454" s="1">
        <v>5</v>
      </c>
      <c r="M454" s="1">
        <v>22</v>
      </c>
      <c r="N454" s="1">
        <v>24</v>
      </c>
      <c r="O454" s="1">
        <v>34</v>
      </c>
      <c r="P454">
        <v>0.45688444444444437</v>
      </c>
      <c r="Q454">
        <v>0.46966861598440557</v>
      </c>
      <c r="R454">
        <v>4.3268750000000002E-2</v>
      </c>
    </row>
    <row r="455" spans="1:18">
      <c r="A455" s="1">
        <v>22</v>
      </c>
      <c r="B455" s="1">
        <v>1</v>
      </c>
      <c r="C455" s="1">
        <v>0</v>
      </c>
      <c r="D455" s="1">
        <v>0</v>
      </c>
      <c r="E455" s="1">
        <v>0</v>
      </c>
      <c r="F455" s="1">
        <v>3</v>
      </c>
      <c r="G455" s="1">
        <v>6</v>
      </c>
      <c r="H455" s="1">
        <v>1</v>
      </c>
      <c r="I455" s="1">
        <v>1</v>
      </c>
      <c r="J455" s="1">
        <v>1</v>
      </c>
      <c r="K455" s="1">
        <v>1</v>
      </c>
      <c r="L455" s="1">
        <v>5</v>
      </c>
      <c r="M455" s="1">
        <v>22</v>
      </c>
      <c r="N455" s="1">
        <v>24</v>
      </c>
      <c r="O455" s="1">
        <v>34</v>
      </c>
      <c r="P455">
        <v>0.56069037037037017</v>
      </c>
      <c r="Q455">
        <v>0.47817413905133199</v>
      </c>
      <c r="R455">
        <v>4.5683333333333333E-2</v>
      </c>
    </row>
    <row r="456" spans="1:18">
      <c r="A456" s="1">
        <v>23</v>
      </c>
      <c r="B456" s="1">
        <v>1</v>
      </c>
      <c r="C456" s="1">
        <v>1</v>
      </c>
      <c r="D456" s="1">
        <v>1</v>
      </c>
      <c r="E456" s="1">
        <v>1</v>
      </c>
      <c r="F456" s="1">
        <v>24</v>
      </c>
      <c r="G456" s="1">
        <v>18</v>
      </c>
      <c r="H456" s="1">
        <v>3</v>
      </c>
      <c r="I456" s="1">
        <v>1</v>
      </c>
      <c r="J456" s="1">
        <v>6</v>
      </c>
      <c r="K456" s="1">
        <v>7</v>
      </c>
      <c r="L456" s="1">
        <v>5</v>
      </c>
      <c r="M456" s="1">
        <v>22</v>
      </c>
      <c r="N456" s="1">
        <v>24</v>
      </c>
      <c r="O456" s="1">
        <v>34</v>
      </c>
      <c r="P456">
        <v>-9.6088888888888127E-3</v>
      </c>
      <c r="Q456">
        <v>0.37591780376868089</v>
      </c>
      <c r="R456">
        <v>5.1799999999999992E-2</v>
      </c>
    </row>
    <row r="457" spans="1:18">
      <c r="A457" s="1">
        <v>24</v>
      </c>
      <c r="B457" s="1">
        <v>1</v>
      </c>
      <c r="C457" s="1">
        <v>1</v>
      </c>
      <c r="D457" s="1">
        <v>1</v>
      </c>
      <c r="E457" s="1">
        <v>0</v>
      </c>
      <c r="F457" s="1">
        <v>16</v>
      </c>
      <c r="G457" s="1">
        <v>6</v>
      </c>
      <c r="H457" s="1">
        <v>3</v>
      </c>
      <c r="I457" s="1">
        <v>1</v>
      </c>
      <c r="J457" s="1">
        <v>5</v>
      </c>
      <c r="K457" s="1">
        <v>6</v>
      </c>
      <c r="L457" s="1">
        <v>5</v>
      </c>
      <c r="M457" s="1">
        <v>22</v>
      </c>
      <c r="N457" s="1">
        <v>24</v>
      </c>
      <c r="O457" s="1">
        <v>34</v>
      </c>
      <c r="P457">
        <v>0.61950222222222207</v>
      </c>
      <c r="Q457">
        <v>0.64957115009746569</v>
      </c>
      <c r="R457">
        <v>5.2633333333333344E-2</v>
      </c>
    </row>
    <row r="458" spans="1:18">
      <c r="A458" s="1">
        <v>25</v>
      </c>
      <c r="B458" s="1">
        <v>0</v>
      </c>
      <c r="C458" s="1">
        <v>1</v>
      </c>
      <c r="D458" s="1">
        <v>1</v>
      </c>
      <c r="E458" s="1">
        <v>0</v>
      </c>
      <c r="F458" s="1">
        <v>10</v>
      </c>
      <c r="G458" s="1">
        <v>6</v>
      </c>
      <c r="H458" s="1">
        <v>2</v>
      </c>
      <c r="I458" s="1">
        <v>1</v>
      </c>
      <c r="J458" s="1">
        <v>4</v>
      </c>
      <c r="K458" s="1">
        <v>4</v>
      </c>
      <c r="L458" s="1">
        <v>5</v>
      </c>
      <c r="M458" s="1">
        <v>22</v>
      </c>
      <c r="N458" s="1">
        <v>24</v>
      </c>
      <c r="O458" s="1">
        <v>34</v>
      </c>
      <c r="P458">
        <v>0.5513081481481481</v>
      </c>
      <c r="Q458">
        <v>0.47912930474333953</v>
      </c>
      <c r="R458">
        <v>4.1787499999999998E-2</v>
      </c>
    </row>
    <row r="459" spans="1:18">
      <c r="A459" s="1">
        <v>26</v>
      </c>
      <c r="B459" s="1">
        <v>0</v>
      </c>
      <c r="C459" s="1">
        <v>1</v>
      </c>
      <c r="D459" s="1">
        <v>0</v>
      </c>
      <c r="E459" s="1">
        <v>0</v>
      </c>
      <c r="F459" s="1">
        <v>6</v>
      </c>
      <c r="G459" s="1">
        <v>6</v>
      </c>
      <c r="H459" s="1">
        <v>1</v>
      </c>
      <c r="I459" s="1">
        <v>1</v>
      </c>
      <c r="J459" s="1">
        <v>2</v>
      </c>
      <c r="K459" s="1">
        <v>2</v>
      </c>
      <c r="L459" s="1">
        <v>5</v>
      </c>
      <c r="M459" s="1">
        <v>22</v>
      </c>
      <c r="N459" s="1">
        <v>24</v>
      </c>
      <c r="O459" s="1">
        <v>34</v>
      </c>
      <c r="P459">
        <v>0.7151140740740739</v>
      </c>
      <c r="Q459">
        <v>0.78237166991552964</v>
      </c>
      <c r="R459">
        <v>4.7320833333333333E-2</v>
      </c>
    </row>
    <row r="460" spans="1:18">
      <c r="A460" s="1">
        <v>27</v>
      </c>
      <c r="B460" s="1">
        <v>1</v>
      </c>
      <c r="C460" s="1">
        <v>1</v>
      </c>
      <c r="D460" s="1">
        <v>0</v>
      </c>
      <c r="E460" s="1">
        <v>0</v>
      </c>
      <c r="F460" s="1">
        <v>9</v>
      </c>
      <c r="G460" s="1">
        <v>6</v>
      </c>
      <c r="H460" s="1">
        <v>2</v>
      </c>
      <c r="I460" s="1">
        <v>1</v>
      </c>
      <c r="J460" s="1">
        <v>3</v>
      </c>
      <c r="K460" s="1">
        <v>3</v>
      </c>
      <c r="L460" s="1">
        <v>5</v>
      </c>
      <c r="M460" s="1">
        <v>22</v>
      </c>
      <c r="N460" s="1">
        <v>24</v>
      </c>
      <c r="O460" s="1">
        <v>34</v>
      </c>
      <c r="P460">
        <v>0.42212000000000005</v>
      </c>
      <c r="Q460">
        <v>0.41280701754385973</v>
      </c>
      <c r="R460">
        <v>3.8958333333333338E-2</v>
      </c>
    </row>
    <row r="461" spans="1:18">
      <c r="A461" s="1">
        <v>28</v>
      </c>
      <c r="B461" s="1">
        <v>1</v>
      </c>
      <c r="C461" s="1">
        <v>1</v>
      </c>
      <c r="D461" s="1">
        <v>0</v>
      </c>
      <c r="E461" s="1">
        <v>0</v>
      </c>
      <c r="F461" s="1">
        <v>7</v>
      </c>
      <c r="G461" s="1">
        <v>6</v>
      </c>
      <c r="H461" s="1">
        <v>2</v>
      </c>
      <c r="I461" s="1">
        <v>1</v>
      </c>
      <c r="J461" s="1">
        <v>3</v>
      </c>
      <c r="K461" s="1">
        <v>3</v>
      </c>
      <c r="L461" s="1">
        <v>5</v>
      </c>
      <c r="M461" s="1">
        <v>22</v>
      </c>
      <c r="N461" s="1">
        <v>24</v>
      </c>
      <c r="O461" s="1">
        <v>34</v>
      </c>
      <c r="P461">
        <v>0.54032592592592588</v>
      </c>
      <c r="Q461">
        <v>0.56868096166341764</v>
      </c>
      <c r="R461">
        <v>4.6583333333333345E-2</v>
      </c>
    </row>
    <row r="462" spans="1:18">
      <c r="A462" s="1">
        <v>29</v>
      </c>
      <c r="B462" s="1">
        <v>1</v>
      </c>
      <c r="C462" s="1">
        <v>1</v>
      </c>
      <c r="D462" s="1">
        <v>1</v>
      </c>
      <c r="E462" s="1">
        <v>0</v>
      </c>
      <c r="F462" s="1">
        <v>23</v>
      </c>
      <c r="G462" s="1">
        <v>18</v>
      </c>
      <c r="H462" s="1">
        <v>3</v>
      </c>
      <c r="I462" s="1">
        <v>1</v>
      </c>
      <c r="J462" s="1">
        <v>6</v>
      </c>
      <c r="K462" s="1">
        <v>7</v>
      </c>
      <c r="L462" s="1">
        <v>5</v>
      </c>
      <c r="M462" s="1">
        <v>22</v>
      </c>
      <c r="N462" s="1">
        <v>24</v>
      </c>
      <c r="O462" s="1">
        <v>34</v>
      </c>
      <c r="P462">
        <v>0.51773185185185189</v>
      </c>
      <c r="Q462">
        <v>0.51051981806367774</v>
      </c>
      <c r="R462">
        <v>3.7454166666666656E-2</v>
      </c>
    </row>
    <row r="463" spans="1:18">
      <c r="A463" s="1">
        <v>30</v>
      </c>
      <c r="B463" s="1">
        <v>0</v>
      </c>
      <c r="C463" s="1">
        <v>1</v>
      </c>
      <c r="D463" s="1">
        <v>0</v>
      </c>
      <c r="E463" s="1">
        <v>0</v>
      </c>
      <c r="F463" s="1">
        <v>4</v>
      </c>
      <c r="G463" s="1">
        <v>6</v>
      </c>
      <c r="H463" s="1">
        <v>1</v>
      </c>
      <c r="I463" s="1">
        <v>1</v>
      </c>
      <c r="J463" s="1">
        <v>2</v>
      </c>
      <c r="K463" s="1">
        <v>2</v>
      </c>
      <c r="L463" s="1">
        <v>5</v>
      </c>
      <c r="M463" s="1">
        <v>22</v>
      </c>
      <c r="N463" s="1">
        <v>24</v>
      </c>
      <c r="O463" s="1">
        <v>34</v>
      </c>
      <c r="P463">
        <v>0.82473777777777757</v>
      </c>
      <c r="Q463">
        <v>0.61025341130604283</v>
      </c>
      <c r="R463">
        <v>5.2312500000000005E-2</v>
      </c>
    </row>
    <row r="464" spans="1:18">
      <c r="A464" s="1">
        <v>31</v>
      </c>
      <c r="B464" s="1">
        <v>1</v>
      </c>
      <c r="C464" s="1">
        <v>0</v>
      </c>
      <c r="D464" s="1">
        <v>0</v>
      </c>
      <c r="E464" s="1">
        <v>1</v>
      </c>
      <c r="F464" s="1">
        <v>3</v>
      </c>
      <c r="G464" s="1">
        <v>6</v>
      </c>
      <c r="H464" s="1">
        <v>1</v>
      </c>
      <c r="I464" s="1">
        <v>1</v>
      </c>
      <c r="J464" s="1">
        <v>1</v>
      </c>
      <c r="K464" s="1">
        <v>1</v>
      </c>
      <c r="L464" s="1">
        <v>5</v>
      </c>
      <c r="M464" s="1">
        <v>22</v>
      </c>
      <c r="N464" s="1">
        <v>24</v>
      </c>
      <c r="O464" s="1">
        <v>34</v>
      </c>
      <c r="P464">
        <v>0.37418488888888901</v>
      </c>
      <c r="Q464">
        <v>0.47364359974009096</v>
      </c>
      <c r="R464">
        <v>4.7291666666666676E-2</v>
      </c>
    </row>
    <row r="465" spans="1:18">
      <c r="A465" s="1">
        <v>32</v>
      </c>
      <c r="B465" s="1">
        <v>1</v>
      </c>
      <c r="C465" s="1">
        <v>1</v>
      </c>
      <c r="D465" s="1">
        <v>1</v>
      </c>
      <c r="E465" s="1">
        <v>1</v>
      </c>
      <c r="F465" s="1">
        <v>13</v>
      </c>
      <c r="G465" s="1">
        <v>6</v>
      </c>
      <c r="H465" s="1">
        <v>3</v>
      </c>
      <c r="I465" s="1">
        <v>1</v>
      </c>
      <c r="J465" s="1">
        <v>5</v>
      </c>
      <c r="K465" s="1">
        <v>5</v>
      </c>
      <c r="L465" s="1">
        <v>5</v>
      </c>
      <c r="M465" s="1">
        <v>22</v>
      </c>
      <c r="N465" s="1">
        <v>24</v>
      </c>
      <c r="O465" s="1">
        <v>34</v>
      </c>
      <c r="P465">
        <v>0.24435911111111117</v>
      </c>
      <c r="Q465">
        <v>0.29353476283300856</v>
      </c>
      <c r="R465">
        <v>4.740833333333333E-2</v>
      </c>
    </row>
    <row r="466" spans="1:18">
      <c r="A466" s="1">
        <v>33</v>
      </c>
      <c r="B466" s="1">
        <v>0</v>
      </c>
      <c r="C466" s="1">
        <v>1</v>
      </c>
      <c r="D466" s="1">
        <v>1</v>
      </c>
      <c r="E466" s="1">
        <v>0</v>
      </c>
      <c r="F466" s="1">
        <v>12</v>
      </c>
      <c r="G466" s="1">
        <v>6</v>
      </c>
      <c r="H466" s="1">
        <v>2</v>
      </c>
      <c r="I466" s="1">
        <v>1</v>
      </c>
      <c r="J466" s="1">
        <v>4</v>
      </c>
      <c r="K466" s="1">
        <v>4</v>
      </c>
      <c r="L466" s="1">
        <v>5</v>
      </c>
      <c r="M466" s="1">
        <v>22</v>
      </c>
      <c r="N466" s="1">
        <v>24</v>
      </c>
      <c r="O466" s="1">
        <v>34</v>
      </c>
      <c r="P466">
        <v>0.4529555555555555</v>
      </c>
      <c r="Q466">
        <v>0.37612085769980497</v>
      </c>
      <c r="R466">
        <v>3.6262499999999996E-2</v>
      </c>
    </row>
    <row r="467" spans="1:18">
      <c r="A467" s="1">
        <v>34</v>
      </c>
      <c r="B467" s="1">
        <v>0</v>
      </c>
      <c r="C467" s="1">
        <v>1</v>
      </c>
      <c r="D467" s="1">
        <v>1</v>
      </c>
      <c r="E467" s="1">
        <v>1</v>
      </c>
      <c r="F467" s="1">
        <v>10</v>
      </c>
      <c r="G467" s="1">
        <v>6</v>
      </c>
      <c r="H467" s="1">
        <v>2</v>
      </c>
      <c r="I467" s="1">
        <v>1</v>
      </c>
      <c r="J467" s="1">
        <v>4</v>
      </c>
      <c r="K467" s="1">
        <v>4</v>
      </c>
      <c r="L467" s="1">
        <v>5</v>
      </c>
      <c r="M467" s="1">
        <v>22</v>
      </c>
      <c r="N467" s="1">
        <v>24</v>
      </c>
      <c r="O467" s="1">
        <v>34</v>
      </c>
      <c r="P467">
        <v>0.27830755555555559</v>
      </c>
      <c r="Q467">
        <v>0.34472059779077319</v>
      </c>
      <c r="R467">
        <v>4.4108333333333326E-2</v>
      </c>
    </row>
    <row r="468" spans="1:18">
      <c r="A468" s="1">
        <v>35</v>
      </c>
      <c r="B468" s="1">
        <v>1</v>
      </c>
      <c r="C468" s="1">
        <v>1</v>
      </c>
      <c r="D468" s="1">
        <v>0</v>
      </c>
      <c r="E468" s="1">
        <v>1</v>
      </c>
      <c r="F468" s="1">
        <v>8</v>
      </c>
      <c r="G468" s="1">
        <v>6</v>
      </c>
      <c r="H468" s="1">
        <v>2</v>
      </c>
      <c r="I468" s="1">
        <v>1</v>
      </c>
      <c r="J468" s="1">
        <v>3</v>
      </c>
      <c r="K468" s="1">
        <v>3</v>
      </c>
      <c r="L468" s="1">
        <v>5</v>
      </c>
      <c r="M468" s="1">
        <v>22</v>
      </c>
      <c r="N468" s="1">
        <v>24</v>
      </c>
      <c r="O468" s="1">
        <v>34</v>
      </c>
      <c r="P468">
        <v>-2.0318222222222248E-2</v>
      </c>
      <c r="Q468">
        <v>0.31110298895386618</v>
      </c>
      <c r="R468">
        <v>3.9916666666666656E-2</v>
      </c>
    </row>
    <row r="469" spans="1:18">
      <c r="A469" s="1">
        <v>36</v>
      </c>
      <c r="B469" s="1">
        <v>1</v>
      </c>
      <c r="C469" s="1">
        <v>1</v>
      </c>
      <c r="D469" s="1">
        <v>1</v>
      </c>
      <c r="E469" s="1">
        <v>1</v>
      </c>
      <c r="F469" s="1">
        <v>20</v>
      </c>
      <c r="G469" s="1">
        <v>18</v>
      </c>
      <c r="H469" s="1">
        <v>3</v>
      </c>
      <c r="I469" s="1">
        <v>1</v>
      </c>
      <c r="J469" s="1">
        <v>6</v>
      </c>
      <c r="K469" s="1">
        <v>7</v>
      </c>
      <c r="L469" s="1">
        <v>5</v>
      </c>
      <c r="M469" s="1">
        <v>22</v>
      </c>
      <c r="N469" s="1">
        <v>24</v>
      </c>
      <c r="O469" s="1">
        <v>34</v>
      </c>
      <c r="P469">
        <v>-4.4544000000000035E-2</v>
      </c>
      <c r="Q469">
        <v>0.45730994152046778</v>
      </c>
      <c r="R469">
        <v>4.6983333333333321E-2</v>
      </c>
    </row>
    <row r="470" spans="1:18">
      <c r="A470" s="1">
        <v>37</v>
      </c>
      <c r="B470" s="1">
        <v>1</v>
      </c>
      <c r="C470" s="1">
        <v>1</v>
      </c>
      <c r="D470" s="1">
        <v>1</v>
      </c>
      <c r="E470" s="1">
        <v>1</v>
      </c>
      <c r="F470" s="1">
        <v>23</v>
      </c>
      <c r="G470" s="1">
        <v>18</v>
      </c>
      <c r="H470" s="1">
        <v>3</v>
      </c>
      <c r="I470" s="1">
        <v>1</v>
      </c>
      <c r="J470" s="1">
        <v>6</v>
      </c>
      <c r="K470" s="1">
        <v>7</v>
      </c>
      <c r="L470" s="1">
        <v>5</v>
      </c>
      <c r="M470" s="1">
        <v>22</v>
      </c>
      <c r="N470" s="1">
        <v>24</v>
      </c>
      <c r="O470" s="1">
        <v>34</v>
      </c>
      <c r="P470">
        <v>-3.2769777777777807E-2</v>
      </c>
      <c r="Q470">
        <v>0.36053443794671858</v>
      </c>
      <c r="R470">
        <v>3.8350000000000016E-2</v>
      </c>
    </row>
    <row r="471" spans="1:18">
      <c r="A471" s="1">
        <v>38</v>
      </c>
      <c r="B471" s="1">
        <v>0</v>
      </c>
      <c r="C471" s="1">
        <v>1</v>
      </c>
      <c r="D471" s="1">
        <v>0</v>
      </c>
      <c r="E471" s="1">
        <v>1</v>
      </c>
      <c r="F471" s="1">
        <v>4</v>
      </c>
      <c r="G471" s="1">
        <v>6</v>
      </c>
      <c r="H471" s="1">
        <v>1</v>
      </c>
      <c r="I471" s="1">
        <v>1</v>
      </c>
      <c r="J471" s="1">
        <v>2</v>
      </c>
      <c r="K471" s="1">
        <v>2</v>
      </c>
      <c r="L471" s="1">
        <v>5</v>
      </c>
      <c r="M471" s="1">
        <v>22</v>
      </c>
      <c r="N471" s="1">
        <v>24</v>
      </c>
      <c r="O471" s="1">
        <v>34</v>
      </c>
      <c r="P471">
        <v>0.44540444444444438</v>
      </c>
      <c r="Q471">
        <v>0.48217998700454839</v>
      </c>
      <c r="R471">
        <v>4.9099999999999998E-2</v>
      </c>
    </row>
    <row r="472" spans="1:18">
      <c r="A472" s="1">
        <v>39</v>
      </c>
      <c r="B472" s="1">
        <v>1</v>
      </c>
      <c r="C472" s="1">
        <v>1</v>
      </c>
      <c r="D472" s="1">
        <v>1</v>
      </c>
      <c r="E472" s="1">
        <v>1</v>
      </c>
      <c r="F472" s="1">
        <v>22</v>
      </c>
      <c r="G472" s="1">
        <v>18</v>
      </c>
      <c r="H472" s="1">
        <v>3</v>
      </c>
      <c r="I472" s="1">
        <v>1</v>
      </c>
      <c r="J472" s="1">
        <v>6</v>
      </c>
      <c r="K472" s="1">
        <v>7</v>
      </c>
      <c r="L472" s="1">
        <v>5</v>
      </c>
      <c r="M472" s="1">
        <v>22</v>
      </c>
      <c r="N472" s="1">
        <v>24</v>
      </c>
      <c r="O472" s="1">
        <v>34</v>
      </c>
      <c r="P472">
        <v>-2.762133333333331E-2</v>
      </c>
      <c r="Q472">
        <v>0.43189571150097461</v>
      </c>
      <c r="R472">
        <v>4.4445833333333316E-2</v>
      </c>
    </row>
    <row r="473" spans="1:18">
      <c r="A473" s="1">
        <v>40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1</v>
      </c>
      <c r="J473" s="1">
        <v>0</v>
      </c>
      <c r="K473" s="1">
        <v>0</v>
      </c>
      <c r="L473" s="1">
        <v>5</v>
      </c>
      <c r="M473" s="1">
        <v>22</v>
      </c>
      <c r="N473" s="1">
        <v>24</v>
      </c>
      <c r="O473" s="1">
        <v>34</v>
      </c>
      <c r="P473">
        <v>0.3419970370370371</v>
      </c>
      <c r="Q473">
        <v>0.35057179987004555</v>
      </c>
      <c r="R473">
        <v>4.2874999999999976E-2</v>
      </c>
    </row>
    <row r="474" spans="1:18">
      <c r="A474" s="1">
        <v>41</v>
      </c>
      <c r="B474" s="1">
        <v>1</v>
      </c>
      <c r="C474" s="1">
        <v>1</v>
      </c>
      <c r="D474" s="1">
        <v>0</v>
      </c>
      <c r="E474" s="1">
        <v>1</v>
      </c>
      <c r="F474" s="1">
        <v>9</v>
      </c>
      <c r="G474" s="1">
        <v>6</v>
      </c>
      <c r="H474" s="1">
        <v>2</v>
      </c>
      <c r="I474" s="1">
        <v>1</v>
      </c>
      <c r="J474" s="1">
        <v>3</v>
      </c>
      <c r="K474" s="1">
        <v>3</v>
      </c>
      <c r="L474" s="1">
        <v>5</v>
      </c>
      <c r="M474" s="1">
        <v>22</v>
      </c>
      <c r="N474" s="1">
        <v>24</v>
      </c>
      <c r="O474" s="1">
        <v>34</v>
      </c>
      <c r="P474">
        <v>-0.30167288888888888</v>
      </c>
      <c r="Q474">
        <v>0.21641487979207275</v>
      </c>
      <c r="R474">
        <v>2.8795833333333316E-2</v>
      </c>
    </row>
    <row r="475" spans="1:18">
      <c r="A475" s="1">
        <v>42</v>
      </c>
      <c r="B475" s="1">
        <v>0</v>
      </c>
      <c r="C475" s="1">
        <v>0</v>
      </c>
      <c r="D475" s="1">
        <v>0</v>
      </c>
      <c r="E475" s="1">
        <v>1</v>
      </c>
      <c r="F475" s="1">
        <v>0</v>
      </c>
      <c r="G475" s="1">
        <v>0</v>
      </c>
      <c r="H475" s="1">
        <v>0</v>
      </c>
      <c r="I475" s="1">
        <v>1</v>
      </c>
      <c r="J475" s="1">
        <v>0</v>
      </c>
      <c r="K475" s="1">
        <v>0</v>
      </c>
      <c r="L475" s="1">
        <v>5</v>
      </c>
      <c r="M475" s="1">
        <v>22</v>
      </c>
      <c r="N475" s="1">
        <v>24</v>
      </c>
      <c r="O475" s="1">
        <v>34</v>
      </c>
      <c r="P475">
        <v>-0.17629866666666666</v>
      </c>
      <c r="Q475">
        <v>0.24946393762183236</v>
      </c>
      <c r="R475">
        <v>4.4850000000000001E-2</v>
      </c>
    </row>
    <row r="476" spans="1:18">
      <c r="A476" s="1">
        <v>43</v>
      </c>
      <c r="B476" s="1">
        <v>1</v>
      </c>
      <c r="C476" s="1">
        <v>1</v>
      </c>
      <c r="D476" s="1">
        <v>0</v>
      </c>
      <c r="E476" s="1">
        <v>1</v>
      </c>
      <c r="F476" s="1">
        <v>7</v>
      </c>
      <c r="G476" s="1">
        <v>6</v>
      </c>
      <c r="H476" s="1">
        <v>2</v>
      </c>
      <c r="I476" s="1">
        <v>1</v>
      </c>
      <c r="J476" s="1">
        <v>3</v>
      </c>
      <c r="K476" s="1">
        <v>3</v>
      </c>
      <c r="L476" s="1">
        <v>5</v>
      </c>
      <c r="M476" s="1">
        <v>22</v>
      </c>
      <c r="N476" s="1">
        <v>24</v>
      </c>
      <c r="O476" s="1">
        <v>34</v>
      </c>
      <c r="P476">
        <v>0.30267555555555553</v>
      </c>
      <c r="Q476">
        <v>0.36496913580246904</v>
      </c>
      <c r="R476">
        <v>4.7020833333333324E-2</v>
      </c>
    </row>
    <row r="477" spans="1:18">
      <c r="A477" s="1">
        <v>44</v>
      </c>
      <c r="B477" s="1">
        <v>0</v>
      </c>
      <c r="C477" s="1">
        <v>1</v>
      </c>
      <c r="D477" s="1">
        <v>0</v>
      </c>
      <c r="E477" s="1">
        <v>0</v>
      </c>
      <c r="F477" s="1">
        <v>5</v>
      </c>
      <c r="G477" s="1">
        <v>6</v>
      </c>
      <c r="H477" s="1">
        <v>1</v>
      </c>
      <c r="I477" s="1">
        <v>1</v>
      </c>
      <c r="J477" s="1">
        <v>2</v>
      </c>
      <c r="K477" s="1">
        <v>2</v>
      </c>
      <c r="L477" s="1">
        <v>5</v>
      </c>
      <c r="M477" s="1">
        <v>22</v>
      </c>
      <c r="N477" s="1">
        <v>24</v>
      </c>
      <c r="O477" s="1">
        <v>34</v>
      </c>
      <c r="P477">
        <v>0.51562074074074071</v>
      </c>
      <c r="Q477">
        <v>0.37406757634827792</v>
      </c>
      <c r="R477">
        <v>3.9608333333333336E-2</v>
      </c>
    </row>
    <row r="478" spans="1:18">
      <c r="A478" s="1">
        <v>45</v>
      </c>
      <c r="B478" s="1">
        <v>0</v>
      </c>
      <c r="C478" s="1">
        <v>1</v>
      </c>
      <c r="D478" s="1">
        <v>0</v>
      </c>
      <c r="E478" s="1">
        <v>1</v>
      </c>
      <c r="F478" s="1">
        <v>5</v>
      </c>
      <c r="G478" s="1">
        <v>6</v>
      </c>
      <c r="H478" s="1">
        <v>1</v>
      </c>
      <c r="I478" s="1">
        <v>1</v>
      </c>
      <c r="J478" s="1">
        <v>2</v>
      </c>
      <c r="K478" s="1">
        <v>2</v>
      </c>
      <c r="L478" s="1">
        <v>5</v>
      </c>
      <c r="M478" s="1">
        <v>22</v>
      </c>
      <c r="N478" s="1">
        <v>24</v>
      </c>
      <c r="O478" s="1">
        <v>34</v>
      </c>
      <c r="P478">
        <v>0.27662399999999998</v>
      </c>
      <c r="Q478">
        <v>0.41615497076023383</v>
      </c>
      <c r="R478">
        <v>4.4091666666666661E-2</v>
      </c>
    </row>
    <row r="479" spans="1:18">
      <c r="A479" s="1">
        <v>46</v>
      </c>
      <c r="B479" s="1">
        <v>0</v>
      </c>
      <c r="C479" s="1">
        <v>1</v>
      </c>
      <c r="D479" s="1">
        <v>0</v>
      </c>
      <c r="E479" s="1">
        <v>1</v>
      </c>
      <c r="F479" s="1">
        <v>6</v>
      </c>
      <c r="G479" s="1">
        <v>6</v>
      </c>
      <c r="H479" s="1">
        <v>1</v>
      </c>
      <c r="I479" s="1">
        <v>1</v>
      </c>
      <c r="J479" s="1">
        <v>2</v>
      </c>
      <c r="K479" s="1">
        <v>2</v>
      </c>
      <c r="L479" s="1">
        <v>5</v>
      </c>
      <c r="M479" s="1">
        <v>22</v>
      </c>
      <c r="N479" s="1">
        <v>24</v>
      </c>
      <c r="O479" s="1">
        <v>34</v>
      </c>
      <c r="P479">
        <v>0.2547982222222222</v>
      </c>
      <c r="Q479">
        <v>0.33253736192332672</v>
      </c>
      <c r="R479">
        <v>4.1016666666666667E-2</v>
      </c>
    </row>
    <row r="480" spans="1:18">
      <c r="A480" s="1">
        <v>47</v>
      </c>
      <c r="B480" s="1">
        <v>1</v>
      </c>
      <c r="C480" s="1">
        <v>1</v>
      </c>
      <c r="D480" s="1">
        <v>1</v>
      </c>
      <c r="E480" s="1">
        <v>1</v>
      </c>
      <c r="F480" s="1">
        <v>16</v>
      </c>
      <c r="G480" s="1">
        <v>6</v>
      </c>
      <c r="H480" s="1">
        <v>3</v>
      </c>
      <c r="I480" s="1">
        <v>1</v>
      </c>
      <c r="J480" s="1">
        <v>5</v>
      </c>
      <c r="K480" s="1">
        <v>6</v>
      </c>
      <c r="L480" s="1">
        <v>5</v>
      </c>
      <c r="M480" s="1">
        <v>22</v>
      </c>
      <c r="N480" s="1">
        <v>24</v>
      </c>
      <c r="O480" s="1">
        <v>34</v>
      </c>
      <c r="P480">
        <v>-6.2275555555554975E-3</v>
      </c>
      <c r="Q480">
        <v>0.43663905133203396</v>
      </c>
      <c r="R480">
        <v>4.9112500000000003E-2</v>
      </c>
    </row>
    <row r="481" spans="1:18">
      <c r="A481" s="1">
        <v>48</v>
      </c>
      <c r="B481" s="1">
        <v>0</v>
      </c>
      <c r="C481" s="1">
        <v>1</v>
      </c>
      <c r="D481" s="1">
        <v>1</v>
      </c>
      <c r="E481" s="1">
        <v>1</v>
      </c>
      <c r="F481" s="1">
        <v>12</v>
      </c>
      <c r="G481" s="1">
        <v>6</v>
      </c>
      <c r="H481" s="1">
        <v>2</v>
      </c>
      <c r="I481" s="1">
        <v>1</v>
      </c>
      <c r="J481" s="1">
        <v>4</v>
      </c>
      <c r="K481" s="1">
        <v>4</v>
      </c>
      <c r="L481" s="1">
        <v>5</v>
      </c>
      <c r="M481" s="1">
        <v>22</v>
      </c>
      <c r="N481" s="1">
        <v>24</v>
      </c>
      <c r="O481" s="1">
        <v>34</v>
      </c>
      <c r="P481">
        <v>0.11034666666666666</v>
      </c>
      <c r="Q481">
        <v>0.23898635477582841</v>
      </c>
      <c r="R481">
        <v>3.6962500000000009E-2</v>
      </c>
    </row>
    <row r="482" spans="1:18">
      <c r="A482" s="1">
        <v>49</v>
      </c>
      <c r="B482" s="1">
        <v>1</v>
      </c>
      <c r="C482" s="1">
        <v>0</v>
      </c>
      <c r="D482" s="1">
        <v>0</v>
      </c>
      <c r="E482" s="1">
        <v>1</v>
      </c>
      <c r="F482" s="1">
        <v>2</v>
      </c>
      <c r="G482" s="1">
        <v>6</v>
      </c>
      <c r="H482" s="1">
        <v>1</v>
      </c>
      <c r="I482" s="1">
        <v>1</v>
      </c>
      <c r="J482" s="1">
        <v>1</v>
      </c>
      <c r="K482" s="1">
        <v>1</v>
      </c>
      <c r="L482" s="1">
        <v>5</v>
      </c>
      <c r="M482" s="1">
        <v>22</v>
      </c>
      <c r="N482" s="1">
        <v>24</v>
      </c>
      <c r="O482" s="1">
        <v>34</v>
      </c>
      <c r="P482">
        <v>0.30212088888888888</v>
      </c>
      <c r="Q482">
        <v>0.44045646523716692</v>
      </c>
      <c r="R482">
        <v>5.6912499999999998E-2</v>
      </c>
    </row>
    <row r="483" spans="1:18">
      <c r="A483" s="1">
        <v>50</v>
      </c>
      <c r="B483" s="1">
        <v>1</v>
      </c>
      <c r="C483" s="1">
        <v>1</v>
      </c>
      <c r="D483" s="1">
        <v>1</v>
      </c>
      <c r="E483" s="1">
        <v>1</v>
      </c>
      <c r="F483" s="1">
        <v>17</v>
      </c>
      <c r="G483" s="1">
        <v>6</v>
      </c>
      <c r="H483" s="1">
        <v>3</v>
      </c>
      <c r="I483" s="1">
        <v>1</v>
      </c>
      <c r="J483" s="1">
        <v>5</v>
      </c>
      <c r="K483" s="1">
        <v>6</v>
      </c>
      <c r="L483" s="1">
        <v>5</v>
      </c>
      <c r="M483" s="1">
        <v>22</v>
      </c>
      <c r="N483" s="1">
        <v>24</v>
      </c>
      <c r="O483" s="1">
        <v>34</v>
      </c>
      <c r="P483">
        <v>0.38909511111111122</v>
      </c>
      <c r="Q483">
        <v>0.32789148797920731</v>
      </c>
      <c r="R483">
        <v>4.294166666666669E-2</v>
      </c>
    </row>
    <row r="484" spans="1:18">
      <c r="A484" s="1">
        <v>51</v>
      </c>
      <c r="B484" s="1">
        <v>0</v>
      </c>
      <c r="C484" s="1">
        <v>1</v>
      </c>
      <c r="D484" s="1">
        <v>1</v>
      </c>
      <c r="E484" s="1">
        <v>0</v>
      </c>
      <c r="F484" s="1">
        <v>11</v>
      </c>
      <c r="G484" s="1">
        <v>6</v>
      </c>
      <c r="H484" s="1">
        <v>2</v>
      </c>
      <c r="I484" s="1">
        <v>1</v>
      </c>
      <c r="J484" s="1">
        <v>4</v>
      </c>
      <c r="K484" s="1">
        <v>4</v>
      </c>
      <c r="L484" s="1">
        <v>5</v>
      </c>
      <c r="M484" s="1">
        <v>22</v>
      </c>
      <c r="N484" s="1">
        <v>24</v>
      </c>
      <c r="O484" s="1">
        <v>34</v>
      </c>
      <c r="P484">
        <v>0.40946222222222217</v>
      </c>
      <c r="Q484">
        <v>0.49413255360623781</v>
      </c>
      <c r="R484">
        <v>3.9845833333333323E-2</v>
      </c>
    </row>
    <row r="485" spans="1:18">
      <c r="A485" s="1">
        <v>52</v>
      </c>
      <c r="B485" s="1">
        <v>0</v>
      </c>
      <c r="C485" s="1">
        <v>1</v>
      </c>
      <c r="D485" s="1">
        <v>1</v>
      </c>
      <c r="E485" s="1">
        <v>1</v>
      </c>
      <c r="F485" s="1">
        <v>11</v>
      </c>
      <c r="G485" s="1">
        <v>6</v>
      </c>
      <c r="H485" s="1">
        <v>2</v>
      </c>
      <c r="I485" s="1">
        <v>1</v>
      </c>
      <c r="J485" s="1">
        <v>4</v>
      </c>
      <c r="K485" s="1">
        <v>4</v>
      </c>
      <c r="L485" s="1">
        <v>5</v>
      </c>
      <c r="M485" s="1">
        <v>22</v>
      </c>
      <c r="N485" s="1">
        <v>24</v>
      </c>
      <c r="O485" s="1">
        <v>34</v>
      </c>
      <c r="P485">
        <v>0.25264355555555551</v>
      </c>
      <c r="Q485">
        <v>0.38346328784925277</v>
      </c>
      <c r="R485">
        <v>3.9579166666666665E-2</v>
      </c>
    </row>
    <row r="486" spans="1:18">
      <c r="A486" s="1">
        <v>53</v>
      </c>
      <c r="B486" s="1">
        <v>1</v>
      </c>
      <c r="C486" s="1">
        <v>1</v>
      </c>
      <c r="D486" s="1">
        <v>1</v>
      </c>
      <c r="E486" s="1">
        <v>1</v>
      </c>
      <c r="F486" s="1">
        <v>15</v>
      </c>
      <c r="G486" s="1">
        <v>6</v>
      </c>
      <c r="H486" s="1">
        <v>3</v>
      </c>
      <c r="I486" s="1">
        <v>1</v>
      </c>
      <c r="J486" s="1">
        <v>5</v>
      </c>
      <c r="K486" s="1">
        <v>5</v>
      </c>
      <c r="L486" s="1">
        <v>5</v>
      </c>
      <c r="M486" s="1">
        <v>22</v>
      </c>
      <c r="N486" s="1">
        <v>24</v>
      </c>
      <c r="O486" s="1">
        <v>34</v>
      </c>
      <c r="P486">
        <v>-0.3715822222222222</v>
      </c>
      <c r="Q486">
        <v>0.36651234567901236</v>
      </c>
      <c r="R486">
        <v>4.4395833333333322E-2</v>
      </c>
    </row>
    <row r="487" spans="1:18">
      <c r="A487" s="1">
        <v>54</v>
      </c>
      <c r="B487" s="1">
        <v>1</v>
      </c>
      <c r="C487" s="1">
        <v>1</v>
      </c>
      <c r="D487" s="1">
        <v>1</v>
      </c>
      <c r="E487" s="1">
        <v>1</v>
      </c>
      <c r="F487" s="1">
        <v>19</v>
      </c>
      <c r="G487" s="1">
        <v>6</v>
      </c>
      <c r="H487" s="1">
        <v>3</v>
      </c>
      <c r="I487" s="1">
        <v>1</v>
      </c>
      <c r="J487" s="1">
        <v>5</v>
      </c>
      <c r="K487" s="1">
        <v>6</v>
      </c>
      <c r="L487" s="1">
        <v>5</v>
      </c>
      <c r="M487" s="1">
        <v>22</v>
      </c>
      <c r="N487" s="1">
        <v>24</v>
      </c>
      <c r="O487" s="1">
        <v>34</v>
      </c>
      <c r="P487">
        <v>0.46979199999999999</v>
      </c>
      <c r="Q487">
        <v>0.51359649122807016</v>
      </c>
      <c r="R487">
        <v>3.8679166666666674E-2</v>
      </c>
    </row>
    <row r="488" spans="1:18">
      <c r="A488" s="1">
        <v>55</v>
      </c>
      <c r="B488" s="1">
        <v>0</v>
      </c>
      <c r="C488" s="1">
        <v>1</v>
      </c>
      <c r="D488" s="1">
        <v>1</v>
      </c>
      <c r="E488" s="1">
        <v>0</v>
      </c>
      <c r="F488" s="1">
        <v>11</v>
      </c>
      <c r="G488" s="1">
        <v>6</v>
      </c>
      <c r="H488" s="1">
        <v>2</v>
      </c>
      <c r="I488" s="1">
        <v>2</v>
      </c>
      <c r="J488" s="1">
        <v>4</v>
      </c>
      <c r="K488" s="1">
        <v>4</v>
      </c>
      <c r="L488" s="1">
        <v>5</v>
      </c>
      <c r="M488" s="1">
        <v>22</v>
      </c>
      <c r="N488" s="1">
        <v>24</v>
      </c>
      <c r="O488" s="1">
        <v>34</v>
      </c>
      <c r="P488">
        <v>0.44308592592592605</v>
      </c>
      <c r="Q488">
        <v>0.45359324236517223</v>
      </c>
      <c r="R488">
        <v>4.9920833333333338E-2</v>
      </c>
    </row>
    <row r="489" spans="1:18">
      <c r="A489" s="1">
        <v>56</v>
      </c>
      <c r="B489" s="1">
        <v>0</v>
      </c>
      <c r="C489" s="1">
        <v>1</v>
      </c>
      <c r="D489" s="1">
        <v>1</v>
      </c>
      <c r="E489" s="1">
        <v>0</v>
      </c>
      <c r="F489" s="1">
        <v>10</v>
      </c>
      <c r="G489" s="1">
        <v>6</v>
      </c>
      <c r="H489" s="1">
        <v>2</v>
      </c>
      <c r="I489" s="1">
        <v>2</v>
      </c>
      <c r="J489" s="1">
        <v>4</v>
      </c>
      <c r="K489" s="1">
        <v>4</v>
      </c>
      <c r="L489" s="1">
        <v>5</v>
      </c>
      <c r="M489" s="1">
        <v>22</v>
      </c>
      <c r="N489" s="1">
        <v>24</v>
      </c>
      <c r="O489" s="1">
        <v>34</v>
      </c>
      <c r="P489">
        <v>0.43489185185185192</v>
      </c>
      <c r="Q489">
        <v>0.35771280051981796</v>
      </c>
      <c r="R489">
        <v>3.7129166666666658E-2</v>
      </c>
    </row>
    <row r="490" spans="1:18">
      <c r="A490" s="1">
        <v>57</v>
      </c>
      <c r="B490" s="1">
        <v>1</v>
      </c>
      <c r="C490" s="1">
        <v>1</v>
      </c>
      <c r="D490" s="1">
        <v>1</v>
      </c>
      <c r="E490" s="1">
        <v>0</v>
      </c>
      <c r="F490" s="1">
        <v>20</v>
      </c>
      <c r="G490" s="1">
        <v>18</v>
      </c>
      <c r="H490" s="1">
        <v>3</v>
      </c>
      <c r="I490" s="1">
        <v>2</v>
      </c>
      <c r="J490" s="1">
        <v>6</v>
      </c>
      <c r="K490" s="1">
        <v>7</v>
      </c>
      <c r="L490" s="1">
        <v>5</v>
      </c>
      <c r="M490" s="1">
        <v>22</v>
      </c>
      <c r="N490" s="1">
        <v>24</v>
      </c>
      <c r="O490" s="1">
        <v>34</v>
      </c>
      <c r="P490">
        <v>0.66189777777777792</v>
      </c>
      <c r="Q490">
        <v>0.55393762183235851</v>
      </c>
      <c r="R490">
        <v>4.2445833333333328E-2</v>
      </c>
    </row>
    <row r="491" spans="1:18">
      <c r="A491" s="1">
        <v>58</v>
      </c>
      <c r="B491" s="1">
        <v>1</v>
      </c>
      <c r="C491" s="1">
        <v>1</v>
      </c>
      <c r="D491" s="1">
        <v>1</v>
      </c>
      <c r="E491" s="1">
        <v>0</v>
      </c>
      <c r="F491" s="1">
        <v>25</v>
      </c>
      <c r="G491" s="1">
        <v>18</v>
      </c>
      <c r="H491" s="1">
        <v>3</v>
      </c>
      <c r="I491" s="1">
        <v>2</v>
      </c>
      <c r="J491" s="1">
        <v>6</v>
      </c>
      <c r="K491" s="1">
        <v>7</v>
      </c>
      <c r="L491" s="1">
        <v>5</v>
      </c>
      <c r="M491" s="1">
        <v>22</v>
      </c>
      <c r="N491" s="1">
        <v>24</v>
      </c>
      <c r="O491" s="1">
        <v>34</v>
      </c>
      <c r="P491">
        <v>0.67690370370370345</v>
      </c>
      <c r="Q491">
        <v>0.62121507472384663</v>
      </c>
      <c r="R491">
        <v>5.2450000000000017E-2</v>
      </c>
    </row>
    <row r="492" spans="1:18">
      <c r="A492" s="1">
        <v>59</v>
      </c>
      <c r="B492" s="1">
        <v>1</v>
      </c>
      <c r="C492" s="1">
        <v>1</v>
      </c>
      <c r="D492" s="1">
        <v>1</v>
      </c>
      <c r="E492" s="1">
        <v>0</v>
      </c>
      <c r="F492" s="1">
        <v>17</v>
      </c>
      <c r="G492" s="1">
        <v>6</v>
      </c>
      <c r="H492" s="1">
        <v>3</v>
      </c>
      <c r="I492" s="1">
        <v>2</v>
      </c>
      <c r="J492" s="1">
        <v>5</v>
      </c>
      <c r="K492" s="1">
        <v>6</v>
      </c>
      <c r="L492" s="1">
        <v>5</v>
      </c>
      <c r="M492" s="1">
        <v>22</v>
      </c>
      <c r="N492" s="1">
        <v>24</v>
      </c>
      <c r="O492" s="1">
        <v>34</v>
      </c>
      <c r="P492">
        <v>0.50550962962962975</v>
      </c>
      <c r="Q492">
        <v>0.4744574398960365</v>
      </c>
      <c r="R492">
        <v>4.0412499999999983E-2</v>
      </c>
    </row>
    <row r="493" spans="1:18">
      <c r="A493" s="1">
        <v>60</v>
      </c>
      <c r="B493" s="1">
        <v>1</v>
      </c>
      <c r="C493" s="1">
        <v>1</v>
      </c>
      <c r="D493" s="1">
        <v>1</v>
      </c>
      <c r="E493" s="1">
        <v>0</v>
      </c>
      <c r="F493" s="1">
        <v>23</v>
      </c>
      <c r="G493" s="1">
        <v>18</v>
      </c>
      <c r="H493" s="1">
        <v>3</v>
      </c>
      <c r="I493" s="1">
        <v>2</v>
      </c>
      <c r="J493" s="1">
        <v>6</v>
      </c>
      <c r="K493" s="1">
        <v>7</v>
      </c>
      <c r="L493" s="1">
        <v>5</v>
      </c>
      <c r="M493" s="1">
        <v>22</v>
      </c>
      <c r="N493" s="1">
        <v>24</v>
      </c>
      <c r="O493" s="1">
        <v>34</v>
      </c>
      <c r="P493">
        <v>0.31571555555555547</v>
      </c>
      <c r="Q493">
        <v>0.53208576998050694</v>
      </c>
      <c r="R493">
        <v>4.368749999999999E-2</v>
      </c>
    </row>
    <row r="494" spans="1:18">
      <c r="A494" s="1">
        <v>61</v>
      </c>
      <c r="B494" s="1">
        <v>0</v>
      </c>
      <c r="C494" s="1">
        <v>1</v>
      </c>
      <c r="D494" s="1">
        <v>0</v>
      </c>
      <c r="E494" s="1">
        <v>0</v>
      </c>
      <c r="F494" s="1">
        <v>6</v>
      </c>
      <c r="G494" s="1">
        <v>6</v>
      </c>
      <c r="H494" s="1">
        <v>1</v>
      </c>
      <c r="I494" s="1">
        <v>2</v>
      </c>
      <c r="J494" s="1">
        <v>2</v>
      </c>
      <c r="K494" s="1">
        <v>2</v>
      </c>
      <c r="L494" s="1">
        <v>5</v>
      </c>
      <c r="M494" s="1">
        <v>22</v>
      </c>
      <c r="N494" s="1">
        <v>24</v>
      </c>
      <c r="O494" s="1">
        <v>34</v>
      </c>
      <c r="P494">
        <v>0.70432148148148144</v>
      </c>
      <c r="Q494">
        <v>0.50813515269655618</v>
      </c>
      <c r="R494">
        <v>4.9720833333333346E-2</v>
      </c>
    </row>
    <row r="495" spans="1:18">
      <c r="A495" s="1">
        <v>62</v>
      </c>
      <c r="B495" s="1">
        <v>0</v>
      </c>
      <c r="C495" s="1">
        <v>1</v>
      </c>
      <c r="D495" s="1">
        <v>0</v>
      </c>
      <c r="E495" s="1">
        <v>0</v>
      </c>
      <c r="F495" s="1">
        <v>5</v>
      </c>
      <c r="G495" s="1">
        <v>6</v>
      </c>
      <c r="H495" s="1">
        <v>1</v>
      </c>
      <c r="I495" s="1">
        <v>2</v>
      </c>
      <c r="J495" s="1">
        <v>2</v>
      </c>
      <c r="K495" s="1">
        <v>2</v>
      </c>
      <c r="L495" s="1">
        <v>5</v>
      </c>
      <c r="M495" s="1">
        <v>22</v>
      </c>
      <c r="N495" s="1">
        <v>24</v>
      </c>
      <c r="O495" s="1">
        <v>34</v>
      </c>
      <c r="P495">
        <v>0.49612740740740746</v>
      </c>
      <c r="Q495">
        <v>0.42453541260558786</v>
      </c>
      <c r="R495">
        <v>4.720000000000002E-2</v>
      </c>
    </row>
    <row r="496" spans="1:18">
      <c r="A496" s="1">
        <v>63</v>
      </c>
      <c r="B496" s="1">
        <v>0</v>
      </c>
      <c r="C496" s="1">
        <v>1</v>
      </c>
      <c r="D496" s="1">
        <v>0</v>
      </c>
      <c r="E496" s="1">
        <v>1</v>
      </c>
      <c r="F496" s="1">
        <v>5</v>
      </c>
      <c r="G496" s="1">
        <v>6</v>
      </c>
      <c r="H496" s="1">
        <v>1</v>
      </c>
      <c r="I496" s="1">
        <v>2</v>
      </c>
      <c r="J496" s="1">
        <v>2</v>
      </c>
      <c r="K496" s="1">
        <v>2</v>
      </c>
      <c r="L496" s="1">
        <v>5</v>
      </c>
      <c r="M496" s="1">
        <v>22</v>
      </c>
      <c r="N496" s="1">
        <v>24</v>
      </c>
      <c r="O496" s="1">
        <v>34</v>
      </c>
      <c r="P496">
        <v>0.12216000000000009</v>
      </c>
      <c r="Q496">
        <v>0.48910818713450299</v>
      </c>
      <c r="R496">
        <v>4.7329166666666679E-2</v>
      </c>
    </row>
    <row r="497" spans="1:18">
      <c r="A497" s="1">
        <v>64</v>
      </c>
      <c r="B497" s="1">
        <v>1</v>
      </c>
      <c r="C497" s="1">
        <v>1</v>
      </c>
      <c r="D497" s="1">
        <v>0</v>
      </c>
      <c r="E497" s="1">
        <v>0</v>
      </c>
      <c r="F497" s="1">
        <v>9</v>
      </c>
      <c r="G497" s="1">
        <v>6</v>
      </c>
      <c r="H497" s="1">
        <v>2</v>
      </c>
      <c r="I497" s="1">
        <v>2</v>
      </c>
      <c r="J497" s="1">
        <v>3</v>
      </c>
      <c r="K497" s="1">
        <v>3</v>
      </c>
      <c r="L497" s="1">
        <v>5</v>
      </c>
      <c r="M497" s="1">
        <v>22</v>
      </c>
      <c r="N497" s="1">
        <v>24</v>
      </c>
      <c r="O497" s="1">
        <v>34</v>
      </c>
      <c r="P497">
        <v>0.56773925925925939</v>
      </c>
      <c r="Q497">
        <v>0.49417803768680973</v>
      </c>
      <c r="R497">
        <v>3.8016666666666664E-2</v>
      </c>
    </row>
    <row r="498" spans="1:18">
      <c r="A498" s="1">
        <v>65</v>
      </c>
      <c r="B498" s="1">
        <v>1</v>
      </c>
      <c r="C498" s="1">
        <v>1</v>
      </c>
      <c r="D498" s="1">
        <v>1</v>
      </c>
      <c r="E498" s="1">
        <v>0</v>
      </c>
      <c r="F498" s="1">
        <v>15</v>
      </c>
      <c r="G498" s="1">
        <v>6</v>
      </c>
      <c r="H498" s="1">
        <v>3</v>
      </c>
      <c r="I498" s="1">
        <v>2</v>
      </c>
      <c r="J498" s="1">
        <v>5</v>
      </c>
      <c r="K498" s="1">
        <v>5</v>
      </c>
      <c r="L498" s="1">
        <v>5</v>
      </c>
      <c r="M498" s="1">
        <v>22</v>
      </c>
      <c r="N498" s="1">
        <v>24</v>
      </c>
      <c r="O498" s="1">
        <v>34</v>
      </c>
      <c r="P498">
        <v>0.44834518518518524</v>
      </c>
      <c r="Q498">
        <v>0.36584145549057828</v>
      </c>
      <c r="R498">
        <v>4.2104166666666686E-2</v>
      </c>
    </row>
    <row r="499" spans="1:18">
      <c r="A499" s="1">
        <v>66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2</v>
      </c>
      <c r="J499" s="1">
        <v>0</v>
      </c>
      <c r="K499" s="1">
        <v>0</v>
      </c>
      <c r="L499" s="1">
        <v>5</v>
      </c>
      <c r="M499" s="1">
        <v>22</v>
      </c>
      <c r="N499" s="1">
        <v>24</v>
      </c>
      <c r="O499" s="1">
        <v>34</v>
      </c>
      <c r="P499">
        <v>0.39295111111111103</v>
      </c>
      <c r="Q499">
        <v>0.34627680311890841</v>
      </c>
      <c r="R499">
        <v>4.2887499999999988E-2</v>
      </c>
    </row>
    <row r="500" spans="1:18">
      <c r="A500" s="1">
        <v>67</v>
      </c>
      <c r="B500" s="1">
        <v>1</v>
      </c>
      <c r="C500" s="1">
        <v>1</v>
      </c>
      <c r="D500" s="1">
        <v>1</v>
      </c>
      <c r="E500" s="1">
        <v>0</v>
      </c>
      <c r="F500" s="1">
        <v>18</v>
      </c>
      <c r="G500" s="1">
        <v>6</v>
      </c>
      <c r="H500" s="1">
        <v>3</v>
      </c>
      <c r="I500" s="1">
        <v>2</v>
      </c>
      <c r="J500" s="1">
        <v>5</v>
      </c>
      <c r="K500" s="1">
        <v>6</v>
      </c>
      <c r="L500" s="1">
        <v>5</v>
      </c>
      <c r="M500" s="1">
        <v>22</v>
      </c>
      <c r="N500" s="1">
        <v>24</v>
      </c>
      <c r="O500" s="1">
        <v>34</v>
      </c>
      <c r="P500">
        <v>0.50235703703703705</v>
      </c>
      <c r="Q500">
        <v>0.52671215074723843</v>
      </c>
      <c r="R500">
        <v>4.3370833333333324E-2</v>
      </c>
    </row>
    <row r="501" spans="1:18">
      <c r="A501" s="1">
        <v>68</v>
      </c>
      <c r="B501" s="1">
        <v>1</v>
      </c>
      <c r="C501" s="1">
        <v>1</v>
      </c>
      <c r="D501" s="1">
        <v>0</v>
      </c>
      <c r="E501" s="1">
        <v>0</v>
      </c>
      <c r="F501" s="1">
        <v>8</v>
      </c>
      <c r="G501" s="1">
        <v>6</v>
      </c>
      <c r="H501" s="1">
        <v>2</v>
      </c>
      <c r="I501" s="1">
        <v>2</v>
      </c>
      <c r="J501" s="1">
        <v>3</v>
      </c>
      <c r="K501" s="1">
        <v>3</v>
      </c>
      <c r="L501" s="1">
        <v>5</v>
      </c>
      <c r="M501" s="1">
        <v>22</v>
      </c>
      <c r="N501" s="1">
        <v>24</v>
      </c>
      <c r="O501" s="1">
        <v>34</v>
      </c>
      <c r="P501">
        <v>0.3909629629629629</v>
      </c>
      <c r="Q501">
        <v>0.45363872644574388</v>
      </c>
      <c r="R501">
        <v>4.4841666666666669E-2</v>
      </c>
    </row>
    <row r="502" spans="1:18">
      <c r="A502" s="1">
        <v>69</v>
      </c>
      <c r="B502" s="1">
        <v>0</v>
      </c>
      <c r="C502" s="1">
        <v>1</v>
      </c>
      <c r="D502" s="1">
        <v>0</v>
      </c>
      <c r="E502" s="1">
        <v>0</v>
      </c>
      <c r="F502" s="1">
        <v>4</v>
      </c>
      <c r="G502" s="1">
        <v>6</v>
      </c>
      <c r="H502" s="1">
        <v>1</v>
      </c>
      <c r="I502" s="1">
        <v>2</v>
      </c>
      <c r="J502" s="1">
        <v>2</v>
      </c>
      <c r="K502" s="1">
        <v>2</v>
      </c>
      <c r="L502" s="1">
        <v>5</v>
      </c>
      <c r="M502" s="1">
        <v>22</v>
      </c>
      <c r="N502" s="1">
        <v>24</v>
      </c>
      <c r="O502" s="1">
        <v>34</v>
      </c>
      <c r="P502">
        <v>0.39716888888888879</v>
      </c>
      <c r="Q502">
        <v>0.3621442495126706</v>
      </c>
      <c r="R502">
        <v>3.4137500000000008E-2</v>
      </c>
    </row>
    <row r="503" spans="1:18">
      <c r="A503" s="1">
        <v>70</v>
      </c>
      <c r="B503" s="1">
        <v>1</v>
      </c>
      <c r="C503" s="1">
        <v>1</v>
      </c>
      <c r="D503" s="1">
        <v>1</v>
      </c>
      <c r="E503" s="1">
        <v>0</v>
      </c>
      <c r="F503" s="1">
        <v>21</v>
      </c>
      <c r="G503" s="1">
        <v>18</v>
      </c>
      <c r="H503" s="1">
        <v>3</v>
      </c>
      <c r="I503" s="1">
        <v>2</v>
      </c>
      <c r="J503" s="1">
        <v>6</v>
      </c>
      <c r="K503" s="1">
        <v>7</v>
      </c>
      <c r="L503" s="1">
        <v>5</v>
      </c>
      <c r="M503" s="1">
        <v>22</v>
      </c>
      <c r="N503" s="1">
        <v>24</v>
      </c>
      <c r="O503" s="1">
        <v>34</v>
      </c>
      <c r="P503">
        <v>0.57377481481481485</v>
      </c>
      <c r="Q503">
        <v>0.5083690708252111</v>
      </c>
      <c r="R503">
        <v>3.832083333333336E-2</v>
      </c>
    </row>
    <row r="504" spans="1:18">
      <c r="A504" s="1">
        <v>71</v>
      </c>
      <c r="B504" s="1">
        <v>1</v>
      </c>
      <c r="C504" s="1">
        <v>0</v>
      </c>
      <c r="D504" s="1">
        <v>0</v>
      </c>
      <c r="E504" s="1">
        <v>0</v>
      </c>
      <c r="F504" s="1">
        <v>2</v>
      </c>
      <c r="G504" s="1">
        <v>6</v>
      </c>
      <c r="H504" s="1">
        <v>1</v>
      </c>
      <c r="I504" s="1">
        <v>2</v>
      </c>
      <c r="J504" s="1">
        <v>1</v>
      </c>
      <c r="K504" s="1">
        <v>1</v>
      </c>
      <c r="L504" s="1">
        <v>5</v>
      </c>
      <c r="M504" s="1">
        <v>22</v>
      </c>
      <c r="N504" s="1">
        <v>24</v>
      </c>
      <c r="O504" s="1">
        <v>34</v>
      </c>
      <c r="P504">
        <v>0.60798074074074071</v>
      </c>
      <c r="Q504">
        <v>0.46599740090968128</v>
      </c>
      <c r="R504">
        <v>4.3399999999999973E-2</v>
      </c>
    </row>
    <row r="505" spans="1:18">
      <c r="A505" s="1">
        <v>72</v>
      </c>
      <c r="B505" s="1">
        <v>1</v>
      </c>
      <c r="C505" s="1">
        <v>1</v>
      </c>
      <c r="D505" s="1">
        <v>1</v>
      </c>
      <c r="E505" s="1">
        <v>0</v>
      </c>
      <c r="F505" s="1">
        <v>24</v>
      </c>
      <c r="G505" s="1">
        <v>18</v>
      </c>
      <c r="H505" s="1">
        <v>3</v>
      </c>
      <c r="I505" s="1">
        <v>2</v>
      </c>
      <c r="J505" s="1">
        <v>6</v>
      </c>
      <c r="K505" s="1">
        <v>7</v>
      </c>
      <c r="L505" s="1">
        <v>5</v>
      </c>
      <c r="M505" s="1">
        <v>22</v>
      </c>
      <c r="N505" s="1">
        <v>24</v>
      </c>
      <c r="O505" s="1">
        <v>34</v>
      </c>
      <c r="P505">
        <v>0.6349866666666667</v>
      </c>
      <c r="Q505">
        <v>0.58678362573099407</v>
      </c>
      <c r="R505">
        <v>4.1362500000000024E-2</v>
      </c>
    </row>
    <row r="506" spans="1:18">
      <c r="A506" s="1">
        <v>73</v>
      </c>
      <c r="B506" s="1">
        <v>1</v>
      </c>
      <c r="C506" s="1">
        <v>1</v>
      </c>
      <c r="D506" s="1">
        <v>1</v>
      </c>
      <c r="E506" s="1">
        <v>0</v>
      </c>
      <c r="F506" s="1">
        <v>14</v>
      </c>
      <c r="G506" s="1">
        <v>6</v>
      </c>
      <c r="H506" s="1">
        <v>3</v>
      </c>
      <c r="I506" s="1">
        <v>2</v>
      </c>
      <c r="J506" s="1">
        <v>5</v>
      </c>
      <c r="K506" s="1">
        <v>5</v>
      </c>
      <c r="L506" s="1">
        <v>5</v>
      </c>
      <c r="M506" s="1">
        <v>22</v>
      </c>
      <c r="N506" s="1">
        <v>24</v>
      </c>
      <c r="O506" s="1">
        <v>34</v>
      </c>
      <c r="P506">
        <v>0.82359259259259232</v>
      </c>
      <c r="Q506">
        <v>0.82335932423651703</v>
      </c>
      <c r="R506">
        <v>5.0179166666666684E-2</v>
      </c>
    </row>
    <row r="507" spans="1:18">
      <c r="A507" s="1">
        <v>74</v>
      </c>
      <c r="B507" s="1">
        <v>1</v>
      </c>
      <c r="C507" s="1">
        <v>1</v>
      </c>
      <c r="D507" s="1">
        <v>1</v>
      </c>
      <c r="E507" s="1">
        <v>0</v>
      </c>
      <c r="F507" s="1">
        <v>13</v>
      </c>
      <c r="G507" s="1">
        <v>6</v>
      </c>
      <c r="H507" s="1">
        <v>3</v>
      </c>
      <c r="I507" s="1">
        <v>2</v>
      </c>
      <c r="J507" s="1">
        <v>5</v>
      </c>
      <c r="K507" s="1">
        <v>5</v>
      </c>
      <c r="L507" s="1">
        <v>5</v>
      </c>
      <c r="M507" s="1">
        <v>22</v>
      </c>
      <c r="N507" s="1">
        <v>24</v>
      </c>
      <c r="O507" s="1">
        <v>34</v>
      </c>
      <c r="P507">
        <v>0.49619851851851854</v>
      </c>
      <c r="Q507">
        <v>0.45028589993502272</v>
      </c>
      <c r="R507">
        <v>4.398333333333334E-2</v>
      </c>
    </row>
    <row r="508" spans="1:18">
      <c r="A508" s="1">
        <v>75</v>
      </c>
      <c r="B508" s="1">
        <v>0</v>
      </c>
      <c r="C508" s="1">
        <v>1</v>
      </c>
      <c r="D508" s="1">
        <v>0</v>
      </c>
      <c r="E508" s="1">
        <v>1</v>
      </c>
      <c r="F508" s="1">
        <v>6</v>
      </c>
      <c r="G508" s="1">
        <v>6</v>
      </c>
      <c r="H508" s="1">
        <v>1</v>
      </c>
      <c r="I508" s="1">
        <v>2</v>
      </c>
      <c r="J508" s="1">
        <v>2</v>
      </c>
      <c r="K508" s="1">
        <v>2</v>
      </c>
      <c r="L508" s="1">
        <v>5</v>
      </c>
      <c r="M508" s="1">
        <v>22</v>
      </c>
      <c r="N508" s="1">
        <v>24</v>
      </c>
      <c r="O508" s="1">
        <v>34</v>
      </c>
      <c r="P508">
        <v>0.26505066666666671</v>
      </c>
      <c r="Q508">
        <v>0.31903021442495128</v>
      </c>
      <c r="R508">
        <v>4.8095833333333317E-2</v>
      </c>
    </row>
    <row r="509" spans="1:18">
      <c r="A509" s="1">
        <v>76</v>
      </c>
      <c r="B509" s="1">
        <v>1</v>
      </c>
      <c r="C509" s="1">
        <v>0</v>
      </c>
      <c r="D509" s="1">
        <v>0</v>
      </c>
      <c r="E509" s="1">
        <v>0</v>
      </c>
      <c r="F509" s="1">
        <v>1</v>
      </c>
      <c r="G509" s="1">
        <v>6</v>
      </c>
      <c r="H509" s="1">
        <v>1</v>
      </c>
      <c r="I509" s="1">
        <v>2</v>
      </c>
      <c r="J509" s="1">
        <v>1</v>
      </c>
      <c r="K509" s="1">
        <v>1</v>
      </c>
      <c r="L509" s="1">
        <v>5</v>
      </c>
      <c r="M509" s="1">
        <v>22</v>
      </c>
      <c r="N509" s="1">
        <v>24</v>
      </c>
      <c r="O509" s="1">
        <v>34</v>
      </c>
      <c r="P509">
        <v>0.60061037037037024</v>
      </c>
      <c r="Q509">
        <v>0.43659519168291094</v>
      </c>
      <c r="R509">
        <v>4.4845833333333328E-2</v>
      </c>
    </row>
    <row r="510" spans="1:18">
      <c r="A510" s="1">
        <v>77</v>
      </c>
      <c r="B510" s="1">
        <v>0</v>
      </c>
      <c r="C510" s="1">
        <v>0</v>
      </c>
      <c r="D510" s="1">
        <v>0</v>
      </c>
      <c r="E510" s="1">
        <v>1</v>
      </c>
      <c r="F510" s="1">
        <v>0</v>
      </c>
      <c r="G510" s="1">
        <v>0</v>
      </c>
      <c r="H510" s="1">
        <v>0</v>
      </c>
      <c r="I510" s="1">
        <v>2</v>
      </c>
      <c r="J510" s="1">
        <v>0</v>
      </c>
      <c r="K510" s="1">
        <v>0</v>
      </c>
      <c r="L510" s="1">
        <v>5</v>
      </c>
      <c r="M510" s="1">
        <v>22</v>
      </c>
      <c r="N510" s="1">
        <v>24</v>
      </c>
      <c r="O510" s="1">
        <v>34</v>
      </c>
      <c r="P510">
        <v>-0.16500088888888886</v>
      </c>
      <c r="Q510">
        <v>0.30968973359324242</v>
      </c>
      <c r="R510">
        <v>3.859583333333335E-2</v>
      </c>
    </row>
    <row r="511" spans="1:18">
      <c r="A511" s="1">
        <v>78</v>
      </c>
      <c r="B511" s="1">
        <v>1</v>
      </c>
      <c r="C511" s="1">
        <v>0</v>
      </c>
      <c r="D511" s="1">
        <v>0</v>
      </c>
      <c r="E511" s="1">
        <v>1</v>
      </c>
      <c r="F511" s="1">
        <v>1</v>
      </c>
      <c r="G511" s="1">
        <v>6</v>
      </c>
      <c r="H511" s="1">
        <v>1</v>
      </c>
      <c r="I511" s="1">
        <v>2</v>
      </c>
      <c r="J511" s="1">
        <v>1</v>
      </c>
      <c r="K511" s="1">
        <v>1</v>
      </c>
      <c r="L511" s="1">
        <v>5</v>
      </c>
      <c r="M511" s="1">
        <v>22</v>
      </c>
      <c r="N511" s="1">
        <v>24</v>
      </c>
      <c r="O511" s="1">
        <v>34</v>
      </c>
      <c r="P511">
        <v>-8.7626666666666603E-2</v>
      </c>
      <c r="Q511">
        <v>0.4225633528265107</v>
      </c>
      <c r="R511">
        <v>4.6199999999999998E-2</v>
      </c>
    </row>
    <row r="512" spans="1:18">
      <c r="A512" s="1">
        <v>79</v>
      </c>
      <c r="B512" s="1">
        <v>1</v>
      </c>
      <c r="C512" s="1">
        <v>1</v>
      </c>
      <c r="D512" s="1">
        <v>1</v>
      </c>
      <c r="E512" s="1">
        <v>0</v>
      </c>
      <c r="F512" s="1">
        <v>16</v>
      </c>
      <c r="G512" s="1">
        <v>6</v>
      </c>
      <c r="H512" s="1">
        <v>3</v>
      </c>
      <c r="I512" s="1">
        <v>2</v>
      </c>
      <c r="J512" s="1">
        <v>5</v>
      </c>
      <c r="K512" s="1">
        <v>6</v>
      </c>
      <c r="L512" s="1">
        <v>5</v>
      </c>
      <c r="M512" s="1">
        <v>22</v>
      </c>
      <c r="N512" s="1">
        <v>24</v>
      </c>
      <c r="O512" s="1">
        <v>34</v>
      </c>
      <c r="P512">
        <v>0.71202814814814819</v>
      </c>
      <c r="Q512">
        <v>0.71737491877842763</v>
      </c>
      <c r="R512">
        <v>4.9954166666666668E-2</v>
      </c>
    </row>
    <row r="513" spans="1:18">
      <c r="A513" s="1">
        <v>80</v>
      </c>
      <c r="B513" s="1">
        <v>1</v>
      </c>
      <c r="C513" s="1">
        <v>1</v>
      </c>
      <c r="D513" s="1">
        <v>1</v>
      </c>
      <c r="E513" s="1">
        <v>1</v>
      </c>
      <c r="F513" s="1">
        <v>23</v>
      </c>
      <c r="G513" s="1">
        <v>18</v>
      </c>
      <c r="H513" s="1">
        <v>3</v>
      </c>
      <c r="I513" s="1">
        <v>2</v>
      </c>
      <c r="J513" s="1">
        <v>6</v>
      </c>
      <c r="K513" s="1">
        <v>7</v>
      </c>
      <c r="L513" s="1">
        <v>5</v>
      </c>
      <c r="M513" s="1">
        <v>22</v>
      </c>
      <c r="N513" s="1">
        <v>24</v>
      </c>
      <c r="O513" s="1">
        <v>34</v>
      </c>
      <c r="P513">
        <v>0.36232177777777785</v>
      </c>
      <c r="Q513">
        <v>0.36936322287199475</v>
      </c>
      <c r="R513">
        <v>3.6662499999999987E-2</v>
      </c>
    </row>
    <row r="514" spans="1:18">
      <c r="A514" s="1">
        <v>81</v>
      </c>
      <c r="B514" s="1">
        <v>1</v>
      </c>
      <c r="C514" s="1">
        <v>1</v>
      </c>
      <c r="D514" s="1">
        <v>0</v>
      </c>
      <c r="E514" s="1">
        <v>0</v>
      </c>
      <c r="F514" s="1">
        <v>7</v>
      </c>
      <c r="G514" s="1">
        <v>6</v>
      </c>
      <c r="H514" s="1">
        <v>2</v>
      </c>
      <c r="I514" s="1">
        <v>2</v>
      </c>
      <c r="J514" s="1">
        <v>3</v>
      </c>
      <c r="K514" s="1">
        <v>3</v>
      </c>
      <c r="L514" s="1">
        <v>5</v>
      </c>
      <c r="M514" s="1">
        <v>22</v>
      </c>
      <c r="N514" s="1">
        <v>24</v>
      </c>
      <c r="O514" s="1">
        <v>34</v>
      </c>
      <c r="P514">
        <v>0.54043999999999992</v>
      </c>
      <c r="Q514">
        <v>0.53263157894736846</v>
      </c>
      <c r="R514">
        <v>4.7995833333333314E-2</v>
      </c>
    </row>
    <row r="515" spans="1:18">
      <c r="A515" s="1">
        <v>82</v>
      </c>
      <c r="B515" s="1">
        <v>1</v>
      </c>
      <c r="C515" s="1">
        <v>1</v>
      </c>
      <c r="D515" s="1">
        <v>1</v>
      </c>
      <c r="E515" s="1">
        <v>1</v>
      </c>
      <c r="F515" s="1">
        <v>21</v>
      </c>
      <c r="G515" s="1">
        <v>18</v>
      </c>
      <c r="H515" s="1">
        <v>3</v>
      </c>
      <c r="I515" s="1">
        <v>2</v>
      </c>
      <c r="J515" s="1">
        <v>6</v>
      </c>
      <c r="K515" s="1">
        <v>7</v>
      </c>
      <c r="L515" s="1">
        <v>5</v>
      </c>
      <c r="M515" s="1">
        <v>22</v>
      </c>
      <c r="N515" s="1">
        <v>24</v>
      </c>
      <c r="O515" s="1">
        <v>34</v>
      </c>
      <c r="P515">
        <v>-0.16452977777777777</v>
      </c>
      <c r="Q515">
        <v>0.24511046133853145</v>
      </c>
      <c r="R515">
        <v>4.3562499999999983E-2</v>
      </c>
    </row>
    <row r="516" spans="1:18">
      <c r="A516" s="1">
        <v>83</v>
      </c>
      <c r="B516" s="1">
        <v>1</v>
      </c>
      <c r="C516" s="1">
        <v>1</v>
      </c>
      <c r="D516" s="1">
        <v>1</v>
      </c>
      <c r="E516" s="1">
        <v>1</v>
      </c>
      <c r="F516" s="1">
        <v>18</v>
      </c>
      <c r="G516" s="1">
        <v>6</v>
      </c>
      <c r="H516" s="1">
        <v>3</v>
      </c>
      <c r="I516" s="1">
        <v>2</v>
      </c>
      <c r="J516" s="1">
        <v>5</v>
      </c>
      <c r="K516" s="1">
        <v>6</v>
      </c>
      <c r="L516" s="1">
        <v>5</v>
      </c>
      <c r="M516" s="1">
        <v>22</v>
      </c>
      <c r="N516" s="1">
        <v>24</v>
      </c>
      <c r="O516" s="1">
        <v>34</v>
      </c>
      <c r="P516">
        <v>7.6844444444444479E-2</v>
      </c>
      <c r="Q516">
        <v>0.30272092267706302</v>
      </c>
      <c r="R516">
        <v>3.9795833333333329E-2</v>
      </c>
    </row>
    <row r="517" spans="1:18">
      <c r="A517" s="1">
        <v>84</v>
      </c>
      <c r="B517" s="1">
        <v>1</v>
      </c>
      <c r="C517" s="1">
        <v>1</v>
      </c>
      <c r="D517" s="1">
        <v>1</v>
      </c>
      <c r="E517" s="1">
        <v>1</v>
      </c>
      <c r="F517" s="1">
        <v>24</v>
      </c>
      <c r="G517" s="1">
        <v>18</v>
      </c>
      <c r="H517" s="1">
        <v>3</v>
      </c>
      <c r="I517" s="1">
        <v>2</v>
      </c>
      <c r="J517" s="1">
        <v>6</v>
      </c>
      <c r="K517" s="1">
        <v>7</v>
      </c>
      <c r="L517" s="1">
        <v>5</v>
      </c>
      <c r="M517" s="1">
        <v>22</v>
      </c>
      <c r="N517" s="1">
        <v>24</v>
      </c>
      <c r="O517" s="1">
        <v>34</v>
      </c>
      <c r="P517">
        <v>0.27821866666666667</v>
      </c>
      <c r="Q517">
        <v>0.28401559454191033</v>
      </c>
      <c r="R517">
        <v>3.6029166666666688E-2</v>
      </c>
    </row>
    <row r="518" spans="1:18">
      <c r="A518" s="1">
        <v>85</v>
      </c>
      <c r="B518" s="1">
        <v>1</v>
      </c>
      <c r="C518" s="1">
        <v>1</v>
      </c>
      <c r="D518" s="1">
        <v>1</v>
      </c>
      <c r="E518" s="1">
        <v>1</v>
      </c>
      <c r="F518" s="1">
        <v>20</v>
      </c>
      <c r="G518" s="1">
        <v>18</v>
      </c>
      <c r="H518" s="1">
        <v>3</v>
      </c>
      <c r="I518" s="1">
        <v>2</v>
      </c>
      <c r="J518" s="1">
        <v>6</v>
      </c>
      <c r="K518" s="1">
        <v>7</v>
      </c>
      <c r="L518" s="1">
        <v>5</v>
      </c>
      <c r="M518" s="1">
        <v>22</v>
      </c>
      <c r="N518" s="1">
        <v>24</v>
      </c>
      <c r="O518" s="1">
        <v>34</v>
      </c>
      <c r="P518">
        <v>3.8792888888888939E-2</v>
      </c>
      <c r="Q518">
        <v>0.39250324886289806</v>
      </c>
      <c r="R518">
        <v>3.9612499999999974E-2</v>
      </c>
    </row>
    <row r="519" spans="1:18">
      <c r="A519" s="1">
        <v>86</v>
      </c>
      <c r="B519" s="1">
        <v>1</v>
      </c>
      <c r="C519" s="1">
        <v>1</v>
      </c>
      <c r="D519" s="1">
        <v>1</v>
      </c>
      <c r="E519" s="1">
        <v>1</v>
      </c>
      <c r="F519" s="1">
        <v>17</v>
      </c>
      <c r="G519" s="1">
        <v>6</v>
      </c>
      <c r="H519" s="1">
        <v>3</v>
      </c>
      <c r="I519" s="1">
        <v>2</v>
      </c>
      <c r="J519" s="1">
        <v>5</v>
      </c>
      <c r="K519" s="1">
        <v>6</v>
      </c>
      <c r="L519" s="1">
        <v>5</v>
      </c>
      <c r="M519" s="1">
        <v>22</v>
      </c>
      <c r="N519" s="1">
        <v>24</v>
      </c>
      <c r="O519" s="1">
        <v>34</v>
      </c>
      <c r="P519">
        <v>0.47696711111111112</v>
      </c>
      <c r="Q519">
        <v>0.3755523066926576</v>
      </c>
      <c r="R519">
        <v>3.6420833333333347E-2</v>
      </c>
    </row>
    <row r="520" spans="1:18">
      <c r="A520" s="1">
        <v>87</v>
      </c>
      <c r="B520" s="1">
        <v>0</v>
      </c>
      <c r="C520" s="1">
        <v>1</v>
      </c>
      <c r="D520" s="1">
        <v>1</v>
      </c>
      <c r="E520" s="1">
        <v>0</v>
      </c>
      <c r="F520" s="1">
        <v>12</v>
      </c>
      <c r="G520" s="1">
        <v>6</v>
      </c>
      <c r="H520" s="1">
        <v>2</v>
      </c>
      <c r="I520" s="1">
        <v>2</v>
      </c>
      <c r="J520" s="1">
        <v>4</v>
      </c>
      <c r="K520" s="1">
        <v>4</v>
      </c>
      <c r="L520" s="1">
        <v>5</v>
      </c>
      <c r="M520" s="1">
        <v>22</v>
      </c>
      <c r="N520" s="1">
        <v>24</v>
      </c>
      <c r="O520" s="1">
        <v>34</v>
      </c>
      <c r="P520">
        <v>0.39207555555555568</v>
      </c>
      <c r="Q520">
        <v>0.36787524366471736</v>
      </c>
      <c r="R520">
        <v>4.285000000000002E-2</v>
      </c>
    </row>
    <row r="521" spans="1:18">
      <c r="A521" s="1">
        <v>88</v>
      </c>
      <c r="B521" s="1">
        <v>1</v>
      </c>
      <c r="C521" s="1">
        <v>1</v>
      </c>
      <c r="D521" s="1">
        <v>1</v>
      </c>
      <c r="E521" s="1">
        <v>1</v>
      </c>
      <c r="F521" s="1">
        <v>15</v>
      </c>
      <c r="G521" s="1">
        <v>6</v>
      </c>
      <c r="H521" s="1">
        <v>3</v>
      </c>
      <c r="I521" s="1">
        <v>2</v>
      </c>
      <c r="J521" s="1">
        <v>5</v>
      </c>
      <c r="K521" s="1">
        <v>5</v>
      </c>
      <c r="L521" s="1">
        <v>5</v>
      </c>
      <c r="M521" s="1">
        <v>22</v>
      </c>
      <c r="N521" s="1">
        <v>24</v>
      </c>
      <c r="O521" s="1">
        <v>34</v>
      </c>
      <c r="P521">
        <v>0.38691555555555568</v>
      </c>
      <c r="Q521">
        <v>0.41094866796621193</v>
      </c>
      <c r="R521">
        <v>4.2941666666666677E-2</v>
      </c>
    </row>
    <row r="522" spans="1:18">
      <c r="A522" s="1">
        <v>89</v>
      </c>
      <c r="B522" s="1">
        <v>1</v>
      </c>
      <c r="C522" s="1">
        <v>0</v>
      </c>
      <c r="D522" s="1">
        <v>0</v>
      </c>
      <c r="E522" s="1">
        <v>0</v>
      </c>
      <c r="F522" s="1">
        <v>3</v>
      </c>
      <c r="G522" s="1">
        <v>6</v>
      </c>
      <c r="H522" s="1">
        <v>1</v>
      </c>
      <c r="I522" s="1">
        <v>2</v>
      </c>
      <c r="J522" s="1">
        <v>1</v>
      </c>
      <c r="K522" s="1">
        <v>1</v>
      </c>
      <c r="L522" s="1">
        <v>5</v>
      </c>
      <c r="M522" s="1">
        <v>22</v>
      </c>
      <c r="N522" s="1">
        <v>24</v>
      </c>
      <c r="O522" s="1">
        <v>34</v>
      </c>
      <c r="P522">
        <v>0.34368740740740739</v>
      </c>
      <c r="Q522">
        <v>0.37699155295646514</v>
      </c>
      <c r="R522">
        <v>4.8212499999999991E-2</v>
      </c>
    </row>
    <row r="523" spans="1:18">
      <c r="A523" s="1">
        <v>90</v>
      </c>
      <c r="B523" s="1">
        <v>1</v>
      </c>
      <c r="C523" s="1">
        <v>1</v>
      </c>
      <c r="D523" s="1">
        <v>1</v>
      </c>
      <c r="E523" s="1">
        <v>1</v>
      </c>
      <c r="F523" s="1">
        <v>16</v>
      </c>
      <c r="G523" s="1">
        <v>6</v>
      </c>
      <c r="H523" s="1">
        <v>3</v>
      </c>
      <c r="I523" s="1">
        <v>2</v>
      </c>
      <c r="J523" s="1">
        <v>5</v>
      </c>
      <c r="K523" s="1">
        <v>6</v>
      </c>
      <c r="L523" s="1">
        <v>5</v>
      </c>
      <c r="M523" s="1">
        <v>22</v>
      </c>
      <c r="N523" s="1">
        <v>24</v>
      </c>
      <c r="O523" s="1">
        <v>34</v>
      </c>
      <c r="P523">
        <v>0.18566399999999994</v>
      </c>
      <c r="Q523">
        <v>0.4331871345029239</v>
      </c>
      <c r="R523">
        <v>3.7200000000000011E-2</v>
      </c>
    </row>
    <row r="524" spans="1:18">
      <c r="A524" s="1">
        <v>91</v>
      </c>
      <c r="B524" s="1">
        <v>1</v>
      </c>
      <c r="C524" s="1">
        <v>1</v>
      </c>
      <c r="D524" s="1">
        <v>1</v>
      </c>
      <c r="E524" s="1">
        <v>0</v>
      </c>
      <c r="F524" s="1">
        <v>22</v>
      </c>
      <c r="G524" s="1">
        <v>18</v>
      </c>
      <c r="H524" s="1">
        <v>3</v>
      </c>
      <c r="I524" s="1">
        <v>2</v>
      </c>
      <c r="J524" s="1">
        <v>6</v>
      </c>
      <c r="K524" s="1">
        <v>7</v>
      </c>
      <c r="L524" s="1">
        <v>5</v>
      </c>
      <c r="M524" s="1">
        <v>22</v>
      </c>
      <c r="N524" s="1">
        <v>24</v>
      </c>
      <c r="O524" s="1">
        <v>34</v>
      </c>
      <c r="P524">
        <v>0.40569925925925931</v>
      </c>
      <c r="Q524">
        <v>0.40803768680961666</v>
      </c>
      <c r="R524">
        <v>4.2004166666666655E-2</v>
      </c>
    </row>
    <row r="525" spans="1:18">
      <c r="A525" s="1">
        <v>92</v>
      </c>
      <c r="B525" s="1">
        <v>1</v>
      </c>
      <c r="C525" s="1">
        <v>1</v>
      </c>
      <c r="D525" s="1">
        <v>0</v>
      </c>
      <c r="E525" s="1">
        <v>1</v>
      </c>
      <c r="F525" s="1">
        <v>7</v>
      </c>
      <c r="G525" s="1">
        <v>6</v>
      </c>
      <c r="H525" s="1">
        <v>2</v>
      </c>
      <c r="I525" s="1">
        <v>2</v>
      </c>
      <c r="J525" s="1">
        <v>3</v>
      </c>
      <c r="K525" s="1">
        <v>3</v>
      </c>
      <c r="L525" s="1">
        <v>5</v>
      </c>
      <c r="M525" s="1">
        <v>22</v>
      </c>
      <c r="N525" s="1">
        <v>24</v>
      </c>
      <c r="O525" s="1">
        <v>34</v>
      </c>
      <c r="P525">
        <v>-6.7587555555555595E-2</v>
      </c>
      <c r="Q525">
        <v>0.29928525016244317</v>
      </c>
      <c r="R525">
        <v>5.6654166666666693E-2</v>
      </c>
    </row>
    <row r="526" spans="1:18">
      <c r="A526" s="1">
        <v>93</v>
      </c>
      <c r="B526" s="1">
        <v>0</v>
      </c>
      <c r="C526" s="1">
        <v>1</v>
      </c>
      <c r="D526" s="1">
        <v>1</v>
      </c>
      <c r="E526" s="1">
        <v>1</v>
      </c>
      <c r="F526" s="1">
        <v>11</v>
      </c>
      <c r="G526" s="1">
        <v>6</v>
      </c>
      <c r="H526" s="1">
        <v>2</v>
      </c>
      <c r="I526" s="1">
        <v>2</v>
      </c>
      <c r="J526" s="1">
        <v>4</v>
      </c>
      <c r="K526" s="1">
        <v>4</v>
      </c>
      <c r="L526" s="1">
        <v>5</v>
      </c>
      <c r="M526" s="1">
        <v>22</v>
      </c>
      <c r="N526" s="1">
        <v>24</v>
      </c>
      <c r="O526" s="1">
        <v>34</v>
      </c>
      <c r="P526">
        <v>0.25618666666666678</v>
      </c>
      <c r="Q526">
        <v>0.36128167641325543</v>
      </c>
      <c r="R526">
        <v>4.8479166666666663E-2</v>
      </c>
    </row>
    <row r="527" spans="1:18">
      <c r="A527" s="1">
        <v>94</v>
      </c>
      <c r="B527" s="1">
        <v>1</v>
      </c>
      <c r="C527" s="1">
        <v>0</v>
      </c>
      <c r="D527" s="1">
        <v>0</v>
      </c>
      <c r="E527" s="1">
        <v>1</v>
      </c>
      <c r="F527" s="1">
        <v>3</v>
      </c>
      <c r="G527" s="1">
        <v>6</v>
      </c>
      <c r="H527" s="1">
        <v>1</v>
      </c>
      <c r="I527" s="1">
        <v>2</v>
      </c>
      <c r="J527" s="1">
        <v>1</v>
      </c>
      <c r="K527" s="1">
        <v>1</v>
      </c>
      <c r="L527" s="1">
        <v>5</v>
      </c>
      <c r="M527" s="1">
        <v>22</v>
      </c>
      <c r="N527" s="1">
        <v>24</v>
      </c>
      <c r="O527" s="1">
        <v>34</v>
      </c>
      <c r="P527">
        <v>-6.3239111111111079E-2</v>
      </c>
      <c r="Q527">
        <v>0.40924301494476922</v>
      </c>
      <c r="R527">
        <v>4.2037499999999985E-2</v>
      </c>
    </row>
    <row r="528" spans="1:18">
      <c r="A528" s="1">
        <v>95</v>
      </c>
      <c r="B528" s="1">
        <v>1</v>
      </c>
      <c r="C528" s="1">
        <v>1</v>
      </c>
      <c r="D528" s="1">
        <v>0</v>
      </c>
      <c r="E528" s="1">
        <v>1</v>
      </c>
      <c r="F528" s="1">
        <v>8</v>
      </c>
      <c r="G528" s="1">
        <v>6</v>
      </c>
      <c r="H528" s="1">
        <v>2</v>
      </c>
      <c r="I528" s="1">
        <v>2</v>
      </c>
      <c r="J528" s="1">
        <v>3</v>
      </c>
      <c r="K528" s="1">
        <v>3</v>
      </c>
      <c r="L528" s="1">
        <v>5</v>
      </c>
      <c r="M528" s="1">
        <v>22</v>
      </c>
      <c r="N528" s="1">
        <v>24</v>
      </c>
      <c r="O528" s="1">
        <v>34</v>
      </c>
      <c r="P528">
        <v>-9.0648888888889088E-3</v>
      </c>
      <c r="Q528">
        <v>0.32562540610786223</v>
      </c>
      <c r="R528">
        <v>4.0541666666666663E-2</v>
      </c>
    </row>
    <row r="529" spans="1:18">
      <c r="A529" s="1">
        <v>96</v>
      </c>
      <c r="B529" s="1">
        <v>1</v>
      </c>
      <c r="C529" s="1">
        <v>1</v>
      </c>
      <c r="D529" s="1">
        <v>0</v>
      </c>
      <c r="E529" s="1">
        <v>1</v>
      </c>
      <c r="F529" s="1">
        <v>9</v>
      </c>
      <c r="G529" s="1">
        <v>6</v>
      </c>
      <c r="H529" s="1">
        <v>2</v>
      </c>
      <c r="I529" s="1">
        <v>2</v>
      </c>
      <c r="J529" s="1">
        <v>3</v>
      </c>
      <c r="K529" s="1">
        <v>3</v>
      </c>
      <c r="L529" s="1">
        <v>5</v>
      </c>
      <c r="M529" s="1">
        <v>22</v>
      </c>
      <c r="N529" s="1">
        <v>24</v>
      </c>
      <c r="O529" s="1">
        <v>34</v>
      </c>
      <c r="P529">
        <v>-2.9290666666666673E-2</v>
      </c>
      <c r="Q529">
        <v>0.3542884990253411</v>
      </c>
      <c r="R529">
        <v>4.4749999999999991E-2</v>
      </c>
    </row>
    <row r="530" spans="1:18">
      <c r="A530" s="1">
        <v>97</v>
      </c>
      <c r="B530" s="1">
        <v>1</v>
      </c>
      <c r="C530" s="1">
        <v>1</v>
      </c>
      <c r="D530" s="1">
        <v>1</v>
      </c>
      <c r="E530" s="1">
        <v>1</v>
      </c>
      <c r="F530" s="1">
        <v>19</v>
      </c>
      <c r="G530" s="1">
        <v>6</v>
      </c>
      <c r="H530" s="1">
        <v>3</v>
      </c>
      <c r="I530" s="1">
        <v>2</v>
      </c>
      <c r="J530" s="1">
        <v>5</v>
      </c>
      <c r="K530" s="1">
        <v>6</v>
      </c>
      <c r="L530" s="1">
        <v>5</v>
      </c>
      <c r="M530" s="1">
        <v>22</v>
      </c>
      <c r="N530" s="1">
        <v>24</v>
      </c>
      <c r="O530" s="1">
        <v>34</v>
      </c>
      <c r="P530">
        <v>0.12488355555555558</v>
      </c>
      <c r="Q530">
        <v>0.36365334632878493</v>
      </c>
      <c r="R530">
        <v>3.9920833333333329E-2</v>
      </c>
    </row>
    <row r="531" spans="1:18">
      <c r="A531" s="1">
        <v>98</v>
      </c>
      <c r="B531" s="1">
        <v>1</v>
      </c>
      <c r="C531" s="1">
        <v>1</v>
      </c>
      <c r="D531" s="1">
        <v>1</v>
      </c>
      <c r="E531" s="1">
        <v>1</v>
      </c>
      <c r="F531" s="1">
        <v>25</v>
      </c>
      <c r="G531" s="1">
        <v>18</v>
      </c>
      <c r="H531" s="1">
        <v>3</v>
      </c>
      <c r="I531" s="1">
        <v>2</v>
      </c>
      <c r="J531" s="1">
        <v>6</v>
      </c>
      <c r="K531" s="1">
        <v>7</v>
      </c>
      <c r="L531" s="1">
        <v>5</v>
      </c>
      <c r="M531" s="1">
        <v>22</v>
      </c>
      <c r="N531" s="1">
        <v>24</v>
      </c>
      <c r="O531" s="1">
        <v>34</v>
      </c>
      <c r="P531">
        <v>3.5057777777777799E-2</v>
      </c>
      <c r="Q531">
        <v>0.34056205328135147</v>
      </c>
      <c r="R531">
        <v>4.8991666666666656E-2</v>
      </c>
    </row>
    <row r="532" spans="1:18">
      <c r="A532" s="1">
        <v>99</v>
      </c>
      <c r="B532" s="1">
        <v>1</v>
      </c>
      <c r="C532" s="1">
        <v>1</v>
      </c>
      <c r="D532" s="1">
        <v>1</v>
      </c>
      <c r="E532" s="1">
        <v>0</v>
      </c>
      <c r="F532" s="1">
        <v>26</v>
      </c>
      <c r="G532" s="1">
        <v>18</v>
      </c>
      <c r="H532" s="1">
        <v>3</v>
      </c>
      <c r="I532" s="1">
        <v>2</v>
      </c>
      <c r="J532" s="1">
        <v>6</v>
      </c>
      <c r="K532" s="1">
        <v>7</v>
      </c>
      <c r="L532" s="1">
        <v>5</v>
      </c>
      <c r="M532" s="1">
        <v>22</v>
      </c>
      <c r="N532" s="1">
        <v>24</v>
      </c>
      <c r="O532" s="1">
        <v>34</v>
      </c>
      <c r="P532">
        <v>0.55614666666666668</v>
      </c>
      <c r="Q532">
        <v>0.63046783625731007</v>
      </c>
      <c r="R532">
        <v>5.3291666666666661E-2</v>
      </c>
    </row>
    <row r="533" spans="1:18">
      <c r="A533" s="1">
        <v>100</v>
      </c>
      <c r="B533" s="1">
        <v>1</v>
      </c>
      <c r="C533" s="1">
        <v>1</v>
      </c>
      <c r="D533" s="1">
        <v>1</v>
      </c>
      <c r="E533" s="1">
        <v>1</v>
      </c>
      <c r="F533" s="1">
        <v>22</v>
      </c>
      <c r="G533" s="1">
        <v>18</v>
      </c>
      <c r="H533" s="1">
        <v>3</v>
      </c>
      <c r="I533" s="1">
        <v>2</v>
      </c>
      <c r="J533" s="1">
        <v>6</v>
      </c>
      <c r="K533" s="1">
        <v>7</v>
      </c>
      <c r="L533" s="1">
        <v>5</v>
      </c>
      <c r="M533" s="1">
        <v>22</v>
      </c>
      <c r="N533" s="1">
        <v>24</v>
      </c>
      <c r="O533" s="1">
        <v>34</v>
      </c>
      <c r="P533">
        <v>6.2606222222222174E-2</v>
      </c>
      <c r="Q533">
        <v>0.3031513970110461</v>
      </c>
      <c r="R533">
        <v>3.9020833333333317E-2</v>
      </c>
    </row>
    <row r="534" spans="1:18">
      <c r="A534" s="1">
        <v>101</v>
      </c>
      <c r="B534" s="1">
        <v>1</v>
      </c>
      <c r="C534" s="1">
        <v>1</v>
      </c>
      <c r="D534" s="1">
        <v>1</v>
      </c>
      <c r="E534" s="1">
        <v>1</v>
      </c>
      <c r="F534" s="1">
        <v>13</v>
      </c>
      <c r="G534" s="1">
        <v>6</v>
      </c>
      <c r="H534" s="1">
        <v>3</v>
      </c>
      <c r="I534" s="1">
        <v>2</v>
      </c>
      <c r="J534" s="1">
        <v>5</v>
      </c>
      <c r="K534" s="1">
        <v>5</v>
      </c>
      <c r="L534" s="1">
        <v>5</v>
      </c>
      <c r="M534" s="1">
        <v>22</v>
      </c>
      <c r="N534" s="1">
        <v>24</v>
      </c>
      <c r="O534" s="1">
        <v>34</v>
      </c>
      <c r="P534">
        <v>0.11518044444444442</v>
      </c>
      <c r="Q534">
        <v>0.37216536712150733</v>
      </c>
      <c r="R534">
        <v>5.1541666666666687E-2</v>
      </c>
    </row>
    <row r="535" spans="1:18">
      <c r="A535" s="1">
        <v>102</v>
      </c>
      <c r="B535" s="1">
        <v>0</v>
      </c>
      <c r="C535" s="1">
        <v>1</v>
      </c>
      <c r="D535" s="1">
        <v>0</v>
      </c>
      <c r="E535" s="1">
        <v>1</v>
      </c>
      <c r="F535" s="1">
        <v>4</v>
      </c>
      <c r="G535" s="1">
        <v>6</v>
      </c>
      <c r="H535" s="1">
        <v>1</v>
      </c>
      <c r="I535" s="1">
        <v>2</v>
      </c>
      <c r="J535" s="1">
        <v>2</v>
      </c>
      <c r="K535" s="1">
        <v>2</v>
      </c>
      <c r="L535" s="1">
        <v>5</v>
      </c>
      <c r="M535" s="1">
        <v>22</v>
      </c>
      <c r="N535" s="1">
        <v>24</v>
      </c>
      <c r="O535" s="1">
        <v>34</v>
      </c>
      <c r="P535">
        <v>0.39815466666666666</v>
      </c>
      <c r="Q535">
        <v>0.33591617933723195</v>
      </c>
      <c r="R535" s="4">
        <v>3.9985869972394748E-2</v>
      </c>
    </row>
    <row r="536" spans="1:18">
      <c r="A536" s="1">
        <v>103</v>
      </c>
      <c r="B536" s="1">
        <v>0</v>
      </c>
      <c r="C536" s="1">
        <v>1</v>
      </c>
      <c r="D536" s="1">
        <v>1</v>
      </c>
      <c r="E536" s="1">
        <v>1</v>
      </c>
      <c r="F536" s="1">
        <v>10</v>
      </c>
      <c r="G536" s="1">
        <v>6</v>
      </c>
      <c r="H536" s="1">
        <v>2</v>
      </c>
      <c r="I536" s="1">
        <v>2</v>
      </c>
      <c r="J536" s="1">
        <v>4</v>
      </c>
      <c r="K536" s="1">
        <v>4</v>
      </c>
      <c r="L536" s="1">
        <v>5</v>
      </c>
      <c r="M536" s="1">
        <v>22</v>
      </c>
      <c r="N536" s="1">
        <v>24</v>
      </c>
      <c r="O536" s="1">
        <v>34</v>
      </c>
      <c r="P536">
        <v>-3.9671111111111115E-2</v>
      </c>
      <c r="Q536">
        <v>0.39089506172839505</v>
      </c>
      <c r="R536">
        <v>4.9166666666666671E-2</v>
      </c>
    </row>
    <row r="537" spans="1:18">
      <c r="A537" s="1">
        <v>104</v>
      </c>
      <c r="B537" s="1">
        <v>0</v>
      </c>
      <c r="C537" s="1">
        <v>1</v>
      </c>
      <c r="D537" s="1">
        <v>1</v>
      </c>
      <c r="E537" s="1">
        <v>1</v>
      </c>
      <c r="F537" s="1">
        <v>12</v>
      </c>
      <c r="G537" s="1">
        <v>6</v>
      </c>
      <c r="H537" s="1">
        <v>2</v>
      </c>
      <c r="I537" s="1">
        <v>2</v>
      </c>
      <c r="J537" s="1">
        <v>4</v>
      </c>
      <c r="K537" s="1">
        <v>4</v>
      </c>
      <c r="L537" s="1">
        <v>5</v>
      </c>
      <c r="M537" s="1">
        <v>22</v>
      </c>
      <c r="N537" s="1">
        <v>24</v>
      </c>
      <c r="O537" s="1">
        <v>34</v>
      </c>
      <c r="P537">
        <v>4.9703111111111115E-2</v>
      </c>
      <c r="Q537">
        <v>0.32306692657569852</v>
      </c>
      <c r="R537">
        <v>3.7708333333333323E-2</v>
      </c>
    </row>
    <row r="538" spans="1:18">
      <c r="A538" s="1">
        <v>105</v>
      </c>
      <c r="B538" s="1">
        <v>1</v>
      </c>
      <c r="C538" s="1">
        <v>1</v>
      </c>
      <c r="D538" s="1">
        <v>1</v>
      </c>
      <c r="E538" s="1">
        <v>1</v>
      </c>
      <c r="F538" s="1">
        <v>14</v>
      </c>
      <c r="G538" s="1">
        <v>6</v>
      </c>
      <c r="H538" s="1">
        <v>3</v>
      </c>
      <c r="I538" s="1">
        <v>2</v>
      </c>
      <c r="J538" s="1">
        <v>5</v>
      </c>
      <c r="K538" s="1">
        <v>5</v>
      </c>
      <c r="L538" s="1">
        <v>5</v>
      </c>
      <c r="M538" s="1">
        <v>22</v>
      </c>
      <c r="N538" s="1">
        <v>24</v>
      </c>
      <c r="O538" s="1">
        <v>34</v>
      </c>
      <c r="P538">
        <v>0.40547733333333336</v>
      </c>
      <c r="Q538">
        <v>0.36751949317738786</v>
      </c>
      <c r="R538">
        <v>4.684166666666667E-2</v>
      </c>
    </row>
    <row r="539" spans="1:18">
      <c r="A539" s="1">
        <v>106</v>
      </c>
      <c r="B539" s="1">
        <v>1</v>
      </c>
      <c r="C539" s="1">
        <v>1</v>
      </c>
      <c r="D539" s="1">
        <v>1</v>
      </c>
      <c r="E539" s="1">
        <v>0</v>
      </c>
      <c r="F539" s="1">
        <v>19</v>
      </c>
      <c r="G539" s="1">
        <v>6</v>
      </c>
      <c r="H539" s="1">
        <v>3</v>
      </c>
      <c r="I539" s="1">
        <v>2</v>
      </c>
      <c r="J539" s="1">
        <v>5</v>
      </c>
      <c r="K539" s="1">
        <v>6</v>
      </c>
      <c r="L539" s="1">
        <v>5</v>
      </c>
      <c r="M539" s="1">
        <v>22</v>
      </c>
      <c r="N539" s="1">
        <v>24</v>
      </c>
      <c r="O539" s="1">
        <v>34</v>
      </c>
      <c r="P539">
        <v>0.34918814814814814</v>
      </c>
      <c r="Q539">
        <v>0.37158544509421704</v>
      </c>
      <c r="R539">
        <v>3.9933333333333321E-2</v>
      </c>
    </row>
    <row r="540" spans="1:18">
      <c r="A540" s="1">
        <v>107</v>
      </c>
      <c r="B540" s="1">
        <v>1</v>
      </c>
      <c r="C540" s="1">
        <v>1</v>
      </c>
      <c r="D540" s="1">
        <v>1</v>
      </c>
      <c r="E540" s="1">
        <v>1</v>
      </c>
      <c r="F540" s="1">
        <v>26</v>
      </c>
      <c r="G540" s="1">
        <v>18</v>
      </c>
      <c r="H540" s="1">
        <v>3</v>
      </c>
      <c r="I540" s="1">
        <v>2</v>
      </c>
      <c r="J540" s="1">
        <v>6</v>
      </c>
      <c r="K540" s="1">
        <v>7</v>
      </c>
      <c r="L540" s="1">
        <v>5</v>
      </c>
      <c r="M540" s="1">
        <v>22</v>
      </c>
      <c r="N540" s="1">
        <v>24</v>
      </c>
      <c r="O540" s="1">
        <v>34</v>
      </c>
      <c r="P540">
        <v>0.26662577777777791</v>
      </c>
      <c r="Q540">
        <v>0.32747725795971411</v>
      </c>
      <c r="R540">
        <v>4.6379166666666673E-2</v>
      </c>
    </row>
    <row r="541" spans="1:18">
      <c r="A541" s="1">
        <v>108</v>
      </c>
      <c r="B541" s="1">
        <v>1</v>
      </c>
      <c r="C541" s="1">
        <v>0</v>
      </c>
      <c r="D541" s="1">
        <v>0</v>
      </c>
      <c r="E541" s="1">
        <v>1</v>
      </c>
      <c r="F541" s="1">
        <v>2</v>
      </c>
      <c r="G541" s="1">
        <v>6</v>
      </c>
      <c r="H541" s="1">
        <v>1</v>
      </c>
      <c r="I541" s="1">
        <v>2</v>
      </c>
      <c r="J541" s="1">
        <v>1</v>
      </c>
      <c r="K541" s="1">
        <v>1</v>
      </c>
      <c r="L541" s="1">
        <v>5</v>
      </c>
      <c r="M541" s="1">
        <v>22</v>
      </c>
      <c r="N541" s="1">
        <v>24</v>
      </c>
      <c r="O541" s="1">
        <v>34</v>
      </c>
      <c r="P541">
        <v>-6.4000000000000055E-3</v>
      </c>
      <c r="Q541">
        <v>0.41228070175438597</v>
      </c>
      <c r="R541">
        <v>4.7591666666666678E-2</v>
      </c>
    </row>
    <row r="542" spans="1:18">
      <c r="A542" s="1">
        <v>1</v>
      </c>
      <c r="B542" s="1">
        <v>1</v>
      </c>
      <c r="C542" s="1">
        <v>1</v>
      </c>
      <c r="D542" s="1">
        <v>1</v>
      </c>
      <c r="E542" s="1">
        <v>0</v>
      </c>
      <c r="F542" s="1">
        <v>14</v>
      </c>
      <c r="G542" s="1">
        <v>6</v>
      </c>
      <c r="H542" s="1">
        <v>3</v>
      </c>
      <c r="I542" s="1">
        <v>1</v>
      </c>
      <c r="J542" s="1">
        <v>5</v>
      </c>
      <c r="K542" s="1">
        <v>5</v>
      </c>
      <c r="L542" s="1">
        <v>6</v>
      </c>
      <c r="M542" s="1">
        <v>23</v>
      </c>
      <c r="P542">
        <v>0.41968315972222225</v>
      </c>
      <c r="Q542">
        <v>0.64446097883597897</v>
      </c>
    </row>
    <row r="543" spans="1:18">
      <c r="A543" s="1">
        <v>2</v>
      </c>
      <c r="B543" s="1">
        <v>1</v>
      </c>
      <c r="C543" s="1">
        <v>1</v>
      </c>
      <c r="D543" s="1">
        <v>1</v>
      </c>
      <c r="E543" s="1">
        <v>0</v>
      </c>
      <c r="F543" s="1">
        <v>15</v>
      </c>
      <c r="G543" s="1">
        <v>6</v>
      </c>
      <c r="H543" s="1">
        <v>3</v>
      </c>
      <c r="I543" s="1">
        <v>1</v>
      </c>
      <c r="J543" s="1">
        <v>5</v>
      </c>
      <c r="K543" s="1">
        <v>5</v>
      </c>
      <c r="L543" s="1">
        <v>6</v>
      </c>
      <c r="M543" s="1">
        <v>23</v>
      </c>
      <c r="P543">
        <v>0.35733506944444438</v>
      </c>
      <c r="Q543">
        <v>0.74874338624338654</v>
      </c>
    </row>
    <row r="544" spans="1:18">
      <c r="A544" s="1">
        <v>3</v>
      </c>
      <c r="B544" s="1">
        <v>1</v>
      </c>
      <c r="C544" s="1">
        <v>1</v>
      </c>
      <c r="D544" s="1">
        <v>1</v>
      </c>
      <c r="E544" s="1">
        <v>0</v>
      </c>
      <c r="F544" s="1">
        <v>13</v>
      </c>
      <c r="G544" s="1">
        <v>6</v>
      </c>
      <c r="H544" s="1">
        <v>3</v>
      </c>
      <c r="I544" s="1">
        <v>1</v>
      </c>
      <c r="J544" s="1">
        <v>5</v>
      </c>
      <c r="K544" s="1">
        <v>5</v>
      </c>
      <c r="L544" s="1">
        <v>6</v>
      </c>
      <c r="M544" s="1">
        <v>23</v>
      </c>
      <c r="P544">
        <v>0.36295572916666669</v>
      </c>
      <c r="Q544">
        <v>0.65838293650793656</v>
      </c>
    </row>
    <row r="545" spans="1:17">
      <c r="A545" s="1">
        <v>4</v>
      </c>
      <c r="B545" s="1">
        <v>1</v>
      </c>
      <c r="C545" s="1">
        <v>0</v>
      </c>
      <c r="D545" s="1">
        <v>0</v>
      </c>
      <c r="E545" s="1">
        <v>0</v>
      </c>
      <c r="F545" s="1">
        <v>1</v>
      </c>
      <c r="G545" s="1">
        <v>6</v>
      </c>
      <c r="H545" s="1">
        <v>1</v>
      </c>
      <c r="I545" s="1">
        <v>1</v>
      </c>
      <c r="J545" s="1">
        <v>1</v>
      </c>
      <c r="K545" s="1">
        <v>1</v>
      </c>
      <c r="L545" s="1">
        <v>6</v>
      </c>
      <c r="M545" s="1">
        <v>23</v>
      </c>
      <c r="P545">
        <v>0.41388888888888875</v>
      </c>
      <c r="Q545">
        <v>0.84034391534391539</v>
      </c>
    </row>
    <row r="546" spans="1:17">
      <c r="A546" s="1">
        <v>5</v>
      </c>
      <c r="B546" s="1">
        <v>1</v>
      </c>
      <c r="C546" s="1">
        <v>1</v>
      </c>
      <c r="D546" s="1">
        <v>0</v>
      </c>
      <c r="E546" s="1">
        <v>0</v>
      </c>
      <c r="F546" s="1">
        <v>8</v>
      </c>
      <c r="G546" s="1">
        <v>6</v>
      </c>
      <c r="H546" s="1">
        <v>2</v>
      </c>
      <c r="I546" s="1">
        <v>1</v>
      </c>
      <c r="J546" s="1">
        <v>3</v>
      </c>
      <c r="K546" s="1">
        <v>3</v>
      </c>
      <c r="L546" s="1">
        <v>6</v>
      </c>
      <c r="M546" s="1">
        <v>23</v>
      </c>
      <c r="P546">
        <v>0.40466579861111113</v>
      </c>
      <c r="Q546">
        <v>0.67855489417989423</v>
      </c>
    </row>
    <row r="547" spans="1:17">
      <c r="A547" s="1">
        <v>6</v>
      </c>
      <c r="B547" s="1">
        <v>1</v>
      </c>
      <c r="C547" s="1">
        <v>0</v>
      </c>
      <c r="D547" s="1">
        <v>0</v>
      </c>
      <c r="E547" s="1">
        <v>0</v>
      </c>
      <c r="F547" s="1">
        <v>2</v>
      </c>
      <c r="G547" s="1">
        <v>6</v>
      </c>
      <c r="H547" s="1">
        <v>1</v>
      </c>
      <c r="I547" s="1">
        <v>1</v>
      </c>
      <c r="J547" s="1">
        <v>1</v>
      </c>
      <c r="K547" s="1">
        <v>1</v>
      </c>
      <c r="L547" s="1">
        <v>6</v>
      </c>
      <c r="M547" s="1">
        <v>23</v>
      </c>
      <c r="P547">
        <v>0.24778645833333335</v>
      </c>
      <c r="Q547">
        <v>0.65962301587301597</v>
      </c>
    </row>
    <row r="548" spans="1:17">
      <c r="A548" s="1">
        <v>7</v>
      </c>
      <c r="B548" s="1">
        <v>1</v>
      </c>
      <c r="C548" s="1">
        <v>1</v>
      </c>
      <c r="D548" s="1">
        <v>1</v>
      </c>
      <c r="E548" s="1">
        <v>0</v>
      </c>
      <c r="F548" s="1">
        <v>24</v>
      </c>
      <c r="G548" s="1">
        <v>18</v>
      </c>
      <c r="H548" s="1">
        <v>3</v>
      </c>
      <c r="I548" s="1">
        <v>1</v>
      </c>
      <c r="J548" s="1">
        <v>6</v>
      </c>
      <c r="K548" s="1">
        <v>7</v>
      </c>
      <c r="L548" s="1">
        <v>6</v>
      </c>
      <c r="M548" s="1">
        <v>23</v>
      </c>
      <c r="P548">
        <v>0.33465711805555559</v>
      </c>
      <c r="Q548">
        <v>0.69783399470899465</v>
      </c>
    </row>
    <row r="549" spans="1:17">
      <c r="A549" s="1">
        <v>8</v>
      </c>
      <c r="B549" s="1">
        <v>1</v>
      </c>
      <c r="C549" s="1">
        <v>1</v>
      </c>
      <c r="D549" s="1">
        <v>1</v>
      </c>
      <c r="E549" s="1">
        <v>0</v>
      </c>
      <c r="F549" s="1">
        <v>26</v>
      </c>
      <c r="G549" s="1">
        <v>18</v>
      </c>
      <c r="H549" s="1">
        <v>3</v>
      </c>
      <c r="I549" s="1">
        <v>1</v>
      </c>
      <c r="J549" s="1">
        <v>6</v>
      </c>
      <c r="K549" s="1">
        <v>7</v>
      </c>
      <c r="L549" s="1">
        <v>6</v>
      </c>
      <c r="M549" s="1">
        <v>23</v>
      </c>
      <c r="P549">
        <v>0.40746527777777791</v>
      </c>
      <c r="Q549">
        <v>0.78783068783068821</v>
      </c>
    </row>
    <row r="550" spans="1:17">
      <c r="A550" s="1">
        <v>9</v>
      </c>
      <c r="B550" s="1">
        <v>1</v>
      </c>
      <c r="C550" s="1">
        <v>1</v>
      </c>
      <c r="D550" s="1">
        <v>1</v>
      </c>
      <c r="E550" s="1">
        <v>0</v>
      </c>
      <c r="F550" s="1">
        <v>21</v>
      </c>
      <c r="G550" s="1">
        <v>18</v>
      </c>
      <c r="H550" s="1">
        <v>3</v>
      </c>
      <c r="I550" s="1">
        <v>1</v>
      </c>
      <c r="J550" s="1">
        <v>6</v>
      </c>
      <c r="K550" s="1">
        <v>7</v>
      </c>
      <c r="L550" s="1">
        <v>6</v>
      </c>
      <c r="M550" s="1">
        <v>23</v>
      </c>
      <c r="P550">
        <v>0.4794921875</v>
      </c>
      <c r="Q550">
        <v>0.86264880952380962</v>
      </c>
    </row>
    <row r="551" spans="1:17">
      <c r="A551" s="1">
        <v>10</v>
      </c>
      <c r="B551" s="1">
        <v>1</v>
      </c>
      <c r="C551" s="1">
        <v>1</v>
      </c>
      <c r="D551" s="1">
        <v>1</v>
      </c>
      <c r="E551" s="1">
        <v>0</v>
      </c>
      <c r="F551" s="1">
        <v>25</v>
      </c>
      <c r="G551" s="1">
        <v>18</v>
      </c>
      <c r="H551" s="1">
        <v>3</v>
      </c>
      <c r="I551" s="1">
        <v>1</v>
      </c>
      <c r="J551" s="1">
        <v>6</v>
      </c>
      <c r="K551" s="1">
        <v>7</v>
      </c>
      <c r="L551" s="1">
        <v>6</v>
      </c>
      <c r="M551" s="1">
        <v>23</v>
      </c>
      <c r="P551">
        <v>0.66636284722222217</v>
      </c>
      <c r="Q551">
        <v>1.1508597883597886</v>
      </c>
    </row>
    <row r="552" spans="1:17">
      <c r="A552" s="1">
        <v>11</v>
      </c>
      <c r="B552" s="1">
        <v>1</v>
      </c>
      <c r="C552" s="1">
        <v>1</v>
      </c>
      <c r="D552" s="1">
        <v>1</v>
      </c>
      <c r="E552" s="1">
        <v>0</v>
      </c>
      <c r="F552" s="1">
        <v>20</v>
      </c>
      <c r="G552" s="1">
        <v>18</v>
      </c>
      <c r="H552" s="1">
        <v>3</v>
      </c>
      <c r="I552" s="1">
        <v>1</v>
      </c>
      <c r="J552" s="1">
        <v>6</v>
      </c>
      <c r="K552" s="1">
        <v>7</v>
      </c>
      <c r="L552" s="1">
        <v>6</v>
      </c>
      <c r="M552" s="1">
        <v>23</v>
      </c>
      <c r="P552">
        <v>0.4118272569444445</v>
      </c>
      <c r="Q552">
        <v>0.87478505291005304</v>
      </c>
    </row>
    <row r="553" spans="1:17">
      <c r="A553" s="1">
        <v>12</v>
      </c>
      <c r="B553" s="1">
        <v>1</v>
      </c>
      <c r="C553" s="1">
        <v>1</v>
      </c>
      <c r="D553" s="1">
        <v>1</v>
      </c>
      <c r="E553" s="1">
        <v>1</v>
      </c>
      <c r="F553" s="1">
        <v>18</v>
      </c>
      <c r="G553" s="1">
        <v>6</v>
      </c>
      <c r="H553" s="1">
        <v>3</v>
      </c>
      <c r="I553" s="1">
        <v>1</v>
      </c>
      <c r="J553" s="1">
        <v>5</v>
      </c>
      <c r="K553" s="1">
        <v>6</v>
      </c>
      <c r="L553" s="1">
        <v>6</v>
      </c>
      <c r="M553" s="1">
        <v>23</v>
      </c>
      <c r="P553">
        <v>0.14423611111111112</v>
      </c>
      <c r="Q553">
        <v>0.32272222222222224</v>
      </c>
    </row>
    <row r="554" spans="1:17">
      <c r="A554" s="1">
        <v>13</v>
      </c>
      <c r="B554" s="1">
        <v>1</v>
      </c>
      <c r="C554" s="1">
        <v>1</v>
      </c>
      <c r="D554" s="1">
        <v>1</v>
      </c>
      <c r="E554" s="1">
        <v>1</v>
      </c>
      <c r="F554" s="1">
        <v>25</v>
      </c>
      <c r="G554" s="1">
        <v>18</v>
      </c>
      <c r="H554" s="1">
        <v>3</v>
      </c>
      <c r="I554" s="1">
        <v>1</v>
      </c>
      <c r="J554" s="1">
        <v>6</v>
      </c>
      <c r="K554" s="1">
        <v>7</v>
      </c>
      <c r="L554" s="1">
        <v>6</v>
      </c>
      <c r="M554" s="1">
        <v>23</v>
      </c>
      <c r="P554">
        <v>0.1728443287037037</v>
      </c>
      <c r="Q554">
        <v>0.34583002645502642</v>
      </c>
    </row>
    <row r="555" spans="1:17">
      <c r="A555" s="1">
        <v>14</v>
      </c>
      <c r="B555" s="1">
        <v>1</v>
      </c>
      <c r="C555" s="1">
        <v>1</v>
      </c>
      <c r="D555" s="1">
        <v>1</v>
      </c>
      <c r="E555" s="1">
        <v>1</v>
      </c>
      <c r="F555" s="1">
        <v>14</v>
      </c>
      <c r="G555" s="1">
        <v>6</v>
      </c>
      <c r="H555" s="1">
        <v>3</v>
      </c>
      <c r="I555" s="1">
        <v>1</v>
      </c>
      <c r="J555" s="1">
        <v>5</v>
      </c>
      <c r="K555" s="1">
        <v>5</v>
      </c>
      <c r="L555" s="1">
        <v>6</v>
      </c>
      <c r="M555" s="1">
        <v>23</v>
      </c>
      <c r="P555">
        <v>0.20848379629629626</v>
      </c>
      <c r="Q555">
        <v>0.32608068783068789</v>
      </c>
    </row>
    <row r="556" spans="1:17">
      <c r="A556" s="1">
        <v>15</v>
      </c>
      <c r="B556" s="1">
        <v>1</v>
      </c>
      <c r="C556" s="1">
        <v>1</v>
      </c>
      <c r="D556" s="1">
        <v>1</v>
      </c>
      <c r="E556" s="1">
        <v>0</v>
      </c>
      <c r="F556" s="1">
        <v>18</v>
      </c>
      <c r="G556" s="1">
        <v>6</v>
      </c>
      <c r="H556" s="1">
        <v>3</v>
      </c>
      <c r="I556" s="1">
        <v>1</v>
      </c>
      <c r="J556" s="1">
        <v>5</v>
      </c>
      <c r="K556" s="1">
        <v>6</v>
      </c>
      <c r="L556" s="1">
        <v>6</v>
      </c>
      <c r="M556" s="1">
        <v>23</v>
      </c>
      <c r="P556">
        <v>0.30071614583333334</v>
      </c>
      <c r="Q556">
        <v>0.7124503968253969</v>
      </c>
    </row>
    <row r="557" spans="1:17">
      <c r="A557" s="1">
        <v>16</v>
      </c>
      <c r="B557" s="1">
        <v>1</v>
      </c>
      <c r="C557" s="1">
        <v>1</v>
      </c>
      <c r="D557" s="1">
        <v>1</v>
      </c>
      <c r="E557" s="1">
        <v>1</v>
      </c>
      <c r="F557" s="1">
        <v>21</v>
      </c>
      <c r="G557" s="1">
        <v>18</v>
      </c>
      <c r="H557" s="1">
        <v>3</v>
      </c>
      <c r="I557" s="1">
        <v>1</v>
      </c>
      <c r="J557" s="1">
        <v>6</v>
      </c>
      <c r="K557" s="1">
        <v>7</v>
      </c>
      <c r="L557" s="1">
        <v>6</v>
      </c>
      <c r="M557" s="1">
        <v>23</v>
      </c>
      <c r="P557">
        <v>0.19070023148148152</v>
      </c>
      <c r="Q557">
        <v>0.35443915343915344</v>
      </c>
    </row>
    <row r="558" spans="1:17">
      <c r="A558" s="1">
        <v>17</v>
      </c>
      <c r="B558" s="1">
        <v>1</v>
      </c>
      <c r="C558" s="1">
        <v>0</v>
      </c>
      <c r="D558" s="1">
        <v>0</v>
      </c>
      <c r="E558" s="1">
        <v>1</v>
      </c>
      <c r="F558" s="1">
        <v>1</v>
      </c>
      <c r="G558" s="1">
        <v>6</v>
      </c>
      <c r="H558" s="1">
        <v>1</v>
      </c>
      <c r="I558" s="1">
        <v>1</v>
      </c>
      <c r="J558" s="1">
        <v>1</v>
      </c>
      <c r="K558" s="1">
        <v>1</v>
      </c>
      <c r="L558" s="1">
        <v>6</v>
      </c>
      <c r="M558" s="1">
        <v>23</v>
      </c>
      <c r="P558">
        <v>7.7120949074074061E-2</v>
      </c>
      <c r="Q558">
        <v>0.17933267195767197</v>
      </c>
    </row>
    <row r="559" spans="1:17">
      <c r="A559" s="1">
        <v>18</v>
      </c>
      <c r="B559" s="1">
        <v>1</v>
      </c>
      <c r="C559" s="1">
        <v>1</v>
      </c>
      <c r="D559" s="1">
        <v>1</v>
      </c>
      <c r="E559" s="1">
        <v>0</v>
      </c>
      <c r="F559" s="1">
        <v>22</v>
      </c>
      <c r="G559" s="1">
        <v>18</v>
      </c>
      <c r="H559" s="1">
        <v>3</v>
      </c>
      <c r="I559" s="1">
        <v>1</v>
      </c>
      <c r="J559" s="1">
        <v>6</v>
      </c>
      <c r="K559" s="1">
        <v>7</v>
      </c>
      <c r="L559" s="1">
        <v>6</v>
      </c>
      <c r="M559" s="1">
        <v>23</v>
      </c>
      <c r="P559">
        <v>0.38710937499999998</v>
      </c>
      <c r="Q559">
        <v>0.62261904761904763</v>
      </c>
    </row>
    <row r="560" spans="1:17">
      <c r="A560" s="1">
        <v>19</v>
      </c>
      <c r="B560" s="1">
        <v>1</v>
      </c>
      <c r="C560" s="1">
        <v>1</v>
      </c>
      <c r="D560" s="1">
        <v>1</v>
      </c>
      <c r="E560" s="1">
        <v>1</v>
      </c>
      <c r="F560" s="1">
        <v>26</v>
      </c>
      <c r="G560" s="1">
        <v>18</v>
      </c>
      <c r="H560" s="1">
        <v>3</v>
      </c>
      <c r="I560" s="1">
        <v>1</v>
      </c>
      <c r="J560" s="1">
        <v>6</v>
      </c>
      <c r="K560" s="1">
        <v>7</v>
      </c>
      <c r="L560" s="1">
        <v>6</v>
      </c>
      <c r="M560" s="1">
        <v>23</v>
      </c>
      <c r="P560">
        <v>0.19058738425925928</v>
      </c>
      <c r="Q560">
        <v>0.31483399470899476</v>
      </c>
    </row>
    <row r="561" spans="1:17">
      <c r="A561" s="1">
        <v>20</v>
      </c>
      <c r="B561" s="1">
        <v>1</v>
      </c>
      <c r="C561" s="1">
        <v>1</v>
      </c>
      <c r="D561" s="1">
        <v>1</v>
      </c>
      <c r="E561" s="1">
        <v>0</v>
      </c>
      <c r="F561" s="1">
        <v>17</v>
      </c>
      <c r="G561" s="1">
        <v>6</v>
      </c>
      <c r="H561" s="1">
        <v>3</v>
      </c>
      <c r="I561" s="1">
        <v>1</v>
      </c>
      <c r="J561" s="1">
        <v>5</v>
      </c>
      <c r="K561" s="1">
        <v>6</v>
      </c>
      <c r="L561" s="1">
        <v>6</v>
      </c>
      <c r="M561" s="1">
        <v>23</v>
      </c>
      <c r="P561">
        <v>0.21631944444444445</v>
      </c>
      <c r="Q561">
        <v>0.46154100529100528</v>
      </c>
    </row>
    <row r="562" spans="1:17">
      <c r="A562" s="1">
        <v>21</v>
      </c>
      <c r="B562" s="1">
        <v>1</v>
      </c>
      <c r="C562" s="1">
        <v>1</v>
      </c>
      <c r="D562" s="1">
        <v>1</v>
      </c>
      <c r="E562" s="1">
        <v>0</v>
      </c>
      <c r="F562" s="1">
        <v>19</v>
      </c>
      <c r="G562" s="1">
        <v>6</v>
      </c>
      <c r="H562" s="1">
        <v>3</v>
      </c>
      <c r="I562" s="1">
        <v>1</v>
      </c>
      <c r="J562" s="1">
        <v>5</v>
      </c>
      <c r="K562" s="1">
        <v>6</v>
      </c>
      <c r="L562" s="1">
        <v>6</v>
      </c>
      <c r="M562" s="1">
        <v>23</v>
      </c>
      <c r="P562">
        <v>0.23990885416666669</v>
      </c>
      <c r="Q562">
        <v>0.53903769841269844</v>
      </c>
    </row>
    <row r="563" spans="1:17">
      <c r="A563" s="1">
        <v>22</v>
      </c>
      <c r="B563" s="1">
        <v>1</v>
      </c>
      <c r="C563" s="1">
        <v>0</v>
      </c>
      <c r="D563" s="1">
        <v>0</v>
      </c>
      <c r="E563" s="1">
        <v>0</v>
      </c>
      <c r="F563" s="1">
        <v>3</v>
      </c>
      <c r="G563" s="1">
        <v>6</v>
      </c>
      <c r="H563" s="1">
        <v>1</v>
      </c>
      <c r="I563" s="1">
        <v>1</v>
      </c>
      <c r="J563" s="1">
        <v>1</v>
      </c>
      <c r="K563" s="1">
        <v>1</v>
      </c>
      <c r="L563" s="1">
        <v>6</v>
      </c>
      <c r="M563" s="1">
        <v>23</v>
      </c>
      <c r="P563">
        <v>0.31427951388888886</v>
      </c>
      <c r="Q563">
        <v>0.66564153439153428</v>
      </c>
    </row>
    <row r="564" spans="1:17">
      <c r="A564" s="1">
        <v>23</v>
      </c>
      <c r="B564" s="1">
        <v>1</v>
      </c>
      <c r="C564" s="1">
        <v>1</v>
      </c>
      <c r="D564" s="1">
        <v>1</v>
      </c>
      <c r="E564" s="1">
        <v>1</v>
      </c>
      <c r="F564" s="1">
        <v>24</v>
      </c>
      <c r="G564" s="1">
        <v>18</v>
      </c>
      <c r="H564" s="1">
        <v>3</v>
      </c>
      <c r="I564" s="1">
        <v>1</v>
      </c>
      <c r="J564" s="1">
        <v>6</v>
      </c>
      <c r="K564" s="1">
        <v>7</v>
      </c>
      <c r="L564" s="1">
        <v>6</v>
      </c>
      <c r="M564" s="1">
        <v>23</v>
      </c>
      <c r="P564">
        <v>0.30658275462962964</v>
      </c>
      <c r="Q564">
        <v>0.38851521164021174</v>
      </c>
    </row>
    <row r="565" spans="1:17">
      <c r="A565" s="1">
        <v>24</v>
      </c>
      <c r="B565" s="1">
        <v>1</v>
      </c>
      <c r="C565" s="1">
        <v>1</v>
      </c>
      <c r="D565" s="1">
        <v>1</v>
      </c>
      <c r="E565" s="1">
        <v>0</v>
      </c>
      <c r="F565" s="1">
        <v>16</v>
      </c>
      <c r="G565" s="1">
        <v>6</v>
      </c>
      <c r="H565" s="1">
        <v>3</v>
      </c>
      <c r="I565" s="1">
        <v>1</v>
      </c>
      <c r="J565" s="1">
        <v>5</v>
      </c>
      <c r="K565" s="1">
        <v>6</v>
      </c>
      <c r="L565" s="1">
        <v>6</v>
      </c>
      <c r="M565" s="1">
        <v>23</v>
      </c>
      <c r="P565">
        <v>0.39661458333333327</v>
      </c>
      <c r="Q565">
        <v>0.85099206349206347</v>
      </c>
    </row>
    <row r="566" spans="1:17">
      <c r="A566" s="1">
        <v>25</v>
      </c>
      <c r="B566" s="1">
        <v>0</v>
      </c>
      <c r="C566" s="1">
        <v>1</v>
      </c>
      <c r="D566" s="1">
        <v>1</v>
      </c>
      <c r="E566" s="1">
        <v>0</v>
      </c>
      <c r="F566" s="1">
        <v>10</v>
      </c>
      <c r="G566" s="1">
        <v>6</v>
      </c>
      <c r="H566" s="1">
        <v>2</v>
      </c>
      <c r="I566" s="1">
        <v>1</v>
      </c>
      <c r="J566" s="1">
        <v>4</v>
      </c>
      <c r="K566" s="1">
        <v>4</v>
      </c>
      <c r="L566" s="1">
        <v>6</v>
      </c>
      <c r="M566" s="1">
        <v>23</v>
      </c>
      <c r="P566">
        <v>0.28270399305555538</v>
      </c>
      <c r="Q566">
        <v>0.59991732804232811</v>
      </c>
    </row>
    <row r="567" spans="1:17">
      <c r="A567" s="1">
        <v>26</v>
      </c>
      <c r="B567" s="1">
        <v>0</v>
      </c>
      <c r="C567" s="1">
        <v>1</v>
      </c>
      <c r="D567" s="1">
        <v>0</v>
      </c>
      <c r="E567" s="1">
        <v>0</v>
      </c>
      <c r="F567" s="1">
        <v>6</v>
      </c>
      <c r="G567" s="1">
        <v>6</v>
      </c>
      <c r="H567" s="1">
        <v>1</v>
      </c>
      <c r="I567" s="1">
        <v>1</v>
      </c>
      <c r="J567" s="1">
        <v>2</v>
      </c>
      <c r="K567" s="1">
        <v>2</v>
      </c>
      <c r="L567" s="1">
        <v>6</v>
      </c>
      <c r="M567" s="1">
        <v>23</v>
      </c>
      <c r="P567">
        <v>0.64848090277777792</v>
      </c>
      <c r="Q567">
        <v>0.86580687830687819</v>
      </c>
    </row>
    <row r="568" spans="1:17">
      <c r="A568" s="1">
        <v>27</v>
      </c>
      <c r="B568" s="1">
        <v>1</v>
      </c>
      <c r="C568" s="1">
        <v>1</v>
      </c>
      <c r="D568" s="1">
        <v>0</v>
      </c>
      <c r="E568" s="1">
        <v>0</v>
      </c>
      <c r="F568" s="1">
        <v>9</v>
      </c>
      <c r="G568" s="1">
        <v>6</v>
      </c>
      <c r="H568" s="1">
        <v>2</v>
      </c>
      <c r="I568" s="1">
        <v>1</v>
      </c>
      <c r="J568" s="1">
        <v>3</v>
      </c>
      <c r="K568" s="1">
        <v>3</v>
      </c>
      <c r="L568" s="1">
        <v>6</v>
      </c>
      <c r="M568" s="1">
        <v>23</v>
      </c>
      <c r="P568">
        <v>0.18613281249999999</v>
      </c>
      <c r="Q568">
        <v>0.5352678571428573</v>
      </c>
    </row>
    <row r="569" spans="1:17">
      <c r="A569" s="1">
        <v>28</v>
      </c>
      <c r="B569" s="1">
        <v>1</v>
      </c>
      <c r="C569" s="1">
        <v>1</v>
      </c>
      <c r="D569" s="1">
        <v>0</v>
      </c>
      <c r="E569" s="1">
        <v>0</v>
      </c>
      <c r="F569" s="1">
        <v>7</v>
      </c>
      <c r="G569" s="1">
        <v>6</v>
      </c>
      <c r="H569" s="1">
        <v>2</v>
      </c>
      <c r="I569" s="1">
        <v>1</v>
      </c>
      <c r="J569" s="1">
        <v>3</v>
      </c>
      <c r="K569" s="1">
        <v>3</v>
      </c>
      <c r="L569" s="1">
        <v>6</v>
      </c>
      <c r="M569" s="1">
        <v>23</v>
      </c>
      <c r="P569">
        <v>0.42222222222222222</v>
      </c>
      <c r="Q569">
        <v>0.66633597883597906</v>
      </c>
    </row>
    <row r="570" spans="1:17">
      <c r="A570" s="1">
        <v>29</v>
      </c>
      <c r="B570" s="1">
        <v>1</v>
      </c>
      <c r="C570" s="1">
        <v>1</v>
      </c>
      <c r="D570" s="1">
        <v>1</v>
      </c>
      <c r="E570" s="1">
        <v>0</v>
      </c>
      <c r="F570" s="1">
        <v>23</v>
      </c>
      <c r="G570" s="1">
        <v>18</v>
      </c>
      <c r="H570" s="1">
        <v>3</v>
      </c>
      <c r="I570" s="1">
        <v>1</v>
      </c>
      <c r="J570" s="1">
        <v>6</v>
      </c>
      <c r="K570" s="1">
        <v>7</v>
      </c>
      <c r="L570" s="1">
        <v>6</v>
      </c>
      <c r="M570" s="1">
        <v>23</v>
      </c>
      <c r="P570">
        <v>0.22784288194444446</v>
      </c>
      <c r="Q570">
        <v>0.60633267195767204</v>
      </c>
    </row>
    <row r="571" spans="1:17">
      <c r="A571" s="1">
        <v>30</v>
      </c>
      <c r="B571" s="1">
        <v>0</v>
      </c>
      <c r="C571" s="1">
        <v>1</v>
      </c>
      <c r="D571" s="1">
        <v>0</v>
      </c>
      <c r="E571" s="1">
        <v>0</v>
      </c>
      <c r="F571" s="1">
        <v>4</v>
      </c>
      <c r="G571" s="1">
        <v>6</v>
      </c>
      <c r="H571" s="1">
        <v>1</v>
      </c>
      <c r="I571" s="1">
        <v>1</v>
      </c>
      <c r="J571" s="1">
        <v>2</v>
      </c>
      <c r="K571" s="1">
        <v>2</v>
      </c>
      <c r="L571" s="1">
        <v>6</v>
      </c>
      <c r="M571" s="1">
        <v>23</v>
      </c>
      <c r="P571">
        <v>0.3850260416666666</v>
      </c>
      <c r="Q571">
        <v>0.85882936507936491</v>
      </c>
    </row>
    <row r="572" spans="1:17">
      <c r="A572" s="1">
        <v>31</v>
      </c>
      <c r="B572" s="1">
        <v>1</v>
      </c>
      <c r="C572" s="1">
        <v>0</v>
      </c>
      <c r="D572" s="1">
        <v>0</v>
      </c>
      <c r="E572" s="1">
        <v>1</v>
      </c>
      <c r="F572" s="1">
        <v>3</v>
      </c>
      <c r="G572" s="1">
        <v>6</v>
      </c>
      <c r="H572" s="1">
        <v>1</v>
      </c>
      <c r="I572" s="1">
        <v>1</v>
      </c>
      <c r="J572" s="1">
        <v>1</v>
      </c>
      <c r="K572" s="1">
        <v>1</v>
      </c>
      <c r="L572" s="1">
        <v>6</v>
      </c>
      <c r="M572" s="1">
        <v>23</v>
      </c>
      <c r="P572">
        <v>0.31357349537037038</v>
      </c>
      <c r="Q572">
        <v>0.45284193121693134</v>
      </c>
    </row>
    <row r="573" spans="1:17">
      <c r="A573" s="1">
        <v>32</v>
      </c>
      <c r="B573" s="1">
        <v>1</v>
      </c>
      <c r="C573" s="1">
        <v>1</v>
      </c>
      <c r="D573" s="1">
        <v>1</v>
      </c>
      <c r="E573" s="1">
        <v>1</v>
      </c>
      <c r="F573" s="1">
        <v>13</v>
      </c>
      <c r="G573" s="1">
        <v>6</v>
      </c>
      <c r="H573" s="1">
        <v>3</v>
      </c>
      <c r="I573" s="1">
        <v>1</v>
      </c>
      <c r="J573" s="1">
        <v>5</v>
      </c>
      <c r="K573" s="1">
        <v>5</v>
      </c>
      <c r="L573" s="1">
        <v>6</v>
      </c>
      <c r="M573" s="1">
        <v>23</v>
      </c>
      <c r="P573">
        <v>0.204681712962963</v>
      </c>
      <c r="Q573">
        <v>0.31077116402116411</v>
      </c>
    </row>
    <row r="574" spans="1:17">
      <c r="A574" s="1">
        <v>33</v>
      </c>
      <c r="B574" s="1">
        <v>0</v>
      </c>
      <c r="C574" s="1">
        <v>1</v>
      </c>
      <c r="D574" s="1">
        <v>1</v>
      </c>
      <c r="E574" s="1">
        <v>0</v>
      </c>
      <c r="F574" s="1">
        <v>12</v>
      </c>
      <c r="G574" s="1">
        <v>6</v>
      </c>
      <c r="H574" s="1">
        <v>2</v>
      </c>
      <c r="I574" s="1">
        <v>1</v>
      </c>
      <c r="J574" s="1">
        <v>4</v>
      </c>
      <c r="K574" s="1">
        <v>4</v>
      </c>
      <c r="L574" s="1">
        <v>6</v>
      </c>
      <c r="M574" s="1">
        <v>23</v>
      </c>
      <c r="P574">
        <v>0.24016927083333334</v>
      </c>
      <c r="Q574">
        <v>0.55203373015873014</v>
      </c>
    </row>
    <row r="575" spans="1:17">
      <c r="A575" s="1">
        <v>34</v>
      </c>
      <c r="B575" s="1">
        <v>0</v>
      </c>
      <c r="C575" s="1">
        <v>1</v>
      </c>
      <c r="D575" s="1">
        <v>1</v>
      </c>
      <c r="E575" s="1">
        <v>1</v>
      </c>
      <c r="F575" s="1">
        <v>10</v>
      </c>
      <c r="G575" s="1">
        <v>6</v>
      </c>
      <c r="H575" s="1">
        <v>2</v>
      </c>
      <c r="I575" s="1">
        <v>1</v>
      </c>
      <c r="J575" s="1">
        <v>4</v>
      </c>
      <c r="K575" s="1">
        <v>4</v>
      </c>
      <c r="L575" s="1">
        <v>6</v>
      </c>
      <c r="M575" s="1">
        <v>23</v>
      </c>
      <c r="P575">
        <v>0.20799189814814822</v>
      </c>
      <c r="Q575">
        <v>0.35609391534391538</v>
      </c>
    </row>
    <row r="576" spans="1:17">
      <c r="A576" s="1">
        <v>35</v>
      </c>
      <c r="B576" s="1">
        <v>1</v>
      </c>
      <c r="C576" s="1">
        <v>1</v>
      </c>
      <c r="D576" s="1">
        <v>0</v>
      </c>
      <c r="E576" s="1">
        <v>1</v>
      </c>
      <c r="F576" s="1">
        <v>8</v>
      </c>
      <c r="G576" s="1">
        <v>6</v>
      </c>
      <c r="H576" s="1">
        <v>2</v>
      </c>
      <c r="I576" s="1">
        <v>1</v>
      </c>
      <c r="J576" s="1">
        <v>3</v>
      </c>
      <c r="K576" s="1">
        <v>3</v>
      </c>
      <c r="L576" s="1">
        <v>6</v>
      </c>
      <c r="M576" s="1">
        <v>23</v>
      </c>
      <c r="P576">
        <v>0.12878761574074074</v>
      </c>
      <c r="Q576">
        <v>0.19616600529100525</v>
      </c>
    </row>
    <row r="577" spans="1:17">
      <c r="A577" s="1">
        <v>36</v>
      </c>
      <c r="B577" s="1">
        <v>1</v>
      </c>
      <c r="C577" s="1">
        <v>1</v>
      </c>
      <c r="D577" s="1">
        <v>1</v>
      </c>
      <c r="E577" s="1">
        <v>1</v>
      </c>
      <c r="F577" s="1">
        <v>20</v>
      </c>
      <c r="G577" s="1">
        <v>18</v>
      </c>
      <c r="H577" s="1">
        <v>3</v>
      </c>
      <c r="I577" s="1">
        <v>1</v>
      </c>
      <c r="J577" s="1">
        <v>6</v>
      </c>
      <c r="K577" s="1">
        <v>7</v>
      </c>
      <c r="L577" s="1">
        <v>6</v>
      </c>
      <c r="M577" s="1">
        <v>23</v>
      </c>
      <c r="P577">
        <v>0.15348958333333332</v>
      </c>
      <c r="Q577">
        <v>0.27820238095238092</v>
      </c>
    </row>
    <row r="578" spans="1:17">
      <c r="A578" s="1">
        <v>37</v>
      </c>
      <c r="B578" s="1">
        <v>1</v>
      </c>
      <c r="C578" s="1">
        <v>1</v>
      </c>
      <c r="D578" s="1">
        <v>1</v>
      </c>
      <c r="E578" s="1">
        <v>1</v>
      </c>
      <c r="F578" s="1">
        <v>23</v>
      </c>
      <c r="G578" s="1">
        <v>18</v>
      </c>
      <c r="H578" s="1">
        <v>3</v>
      </c>
      <c r="I578" s="1">
        <v>1</v>
      </c>
      <c r="J578" s="1">
        <v>6</v>
      </c>
      <c r="K578" s="1">
        <v>7</v>
      </c>
      <c r="L578" s="1">
        <v>6</v>
      </c>
      <c r="M578" s="1">
        <v>23</v>
      </c>
      <c r="P578">
        <v>0.13131655092592592</v>
      </c>
      <c r="Q578">
        <v>0.256667328042328</v>
      </c>
    </row>
    <row r="579" spans="1:17">
      <c r="A579" s="1">
        <v>38</v>
      </c>
      <c r="B579" s="1">
        <v>0</v>
      </c>
      <c r="C579" s="1">
        <v>1</v>
      </c>
      <c r="D579" s="1">
        <v>0</v>
      </c>
      <c r="E579" s="1">
        <v>1</v>
      </c>
      <c r="F579" s="1">
        <v>4</v>
      </c>
      <c r="G579" s="1">
        <v>6</v>
      </c>
      <c r="H579" s="1">
        <v>1</v>
      </c>
      <c r="I579" s="1">
        <v>1</v>
      </c>
      <c r="J579" s="1">
        <v>2</v>
      </c>
      <c r="K579" s="1">
        <v>2</v>
      </c>
      <c r="L579" s="1">
        <v>6</v>
      </c>
      <c r="M579" s="1">
        <v>23</v>
      </c>
      <c r="P579">
        <v>0.31617476851851845</v>
      </c>
      <c r="Q579">
        <v>0.4753108465608466</v>
      </c>
    </row>
    <row r="580" spans="1:17">
      <c r="A580" s="1">
        <v>39</v>
      </c>
      <c r="B580" s="1">
        <v>1</v>
      </c>
      <c r="C580" s="1">
        <v>1</v>
      </c>
      <c r="D580" s="1">
        <v>1</v>
      </c>
      <c r="E580" s="1">
        <v>1</v>
      </c>
      <c r="F580" s="1">
        <v>22</v>
      </c>
      <c r="G580" s="1">
        <v>18</v>
      </c>
      <c r="H580" s="1">
        <v>3</v>
      </c>
      <c r="I580" s="1">
        <v>1</v>
      </c>
      <c r="J580" s="1">
        <v>6</v>
      </c>
      <c r="K580" s="1">
        <v>7</v>
      </c>
      <c r="L580" s="1">
        <v>6</v>
      </c>
      <c r="M580" s="1">
        <v>23</v>
      </c>
      <c r="P580">
        <v>0.13306423611111109</v>
      </c>
      <c r="Q580">
        <v>0.31895436507936514</v>
      </c>
    </row>
    <row r="581" spans="1:17">
      <c r="A581" s="1">
        <v>40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1</v>
      </c>
      <c r="J581" s="1">
        <v>0</v>
      </c>
      <c r="K581" s="1">
        <v>0</v>
      </c>
      <c r="L581" s="1">
        <v>6</v>
      </c>
      <c r="M581" s="1">
        <v>23</v>
      </c>
      <c r="P581">
        <v>0.2287326388888889</v>
      </c>
      <c r="Q581">
        <v>0.42308201058201061</v>
      </c>
    </row>
    <row r="582" spans="1:17">
      <c r="A582" s="1">
        <v>41</v>
      </c>
      <c r="B582" s="1">
        <v>1</v>
      </c>
      <c r="C582" s="1">
        <v>1</v>
      </c>
      <c r="D582" s="1">
        <v>0</v>
      </c>
      <c r="E582" s="1">
        <v>1</v>
      </c>
      <c r="F582" s="1">
        <v>9</v>
      </c>
      <c r="G582" s="1">
        <v>6</v>
      </c>
      <c r="H582" s="1">
        <v>2</v>
      </c>
      <c r="I582" s="1">
        <v>1</v>
      </c>
      <c r="J582" s="1">
        <v>3</v>
      </c>
      <c r="K582" s="1">
        <v>3</v>
      </c>
      <c r="L582" s="1">
        <v>6</v>
      </c>
      <c r="M582" s="1">
        <v>23</v>
      </c>
      <c r="P582">
        <v>1.99681712962963E-2</v>
      </c>
      <c r="Q582">
        <v>6.2491402116402119E-2</v>
      </c>
    </row>
    <row r="583" spans="1:17">
      <c r="A583" s="1">
        <v>42</v>
      </c>
      <c r="B583" s="1">
        <v>0</v>
      </c>
      <c r="C583" s="1">
        <v>0</v>
      </c>
      <c r="D583" s="1">
        <v>0</v>
      </c>
      <c r="E583" s="1">
        <v>1</v>
      </c>
      <c r="F583" s="1">
        <v>0</v>
      </c>
      <c r="G583" s="1">
        <v>0</v>
      </c>
      <c r="H583" s="1">
        <v>0</v>
      </c>
      <c r="I583" s="1">
        <v>1</v>
      </c>
      <c r="J583" s="1">
        <v>0</v>
      </c>
      <c r="K583" s="1">
        <v>0</v>
      </c>
      <c r="L583" s="1">
        <v>6</v>
      </c>
      <c r="M583" s="1">
        <v>23</v>
      </c>
      <c r="P583">
        <v>8.3732638888888877E-2</v>
      </c>
      <c r="Q583">
        <v>0.11952777777777777</v>
      </c>
    </row>
    <row r="584" spans="1:17">
      <c r="A584" s="1">
        <v>43</v>
      </c>
      <c r="B584" s="1">
        <v>1</v>
      </c>
      <c r="C584" s="1">
        <v>1</v>
      </c>
      <c r="D584" s="1">
        <v>0</v>
      </c>
      <c r="E584" s="1">
        <v>1</v>
      </c>
      <c r="F584" s="1">
        <v>7</v>
      </c>
      <c r="G584" s="1">
        <v>6</v>
      </c>
      <c r="H584" s="1">
        <v>2</v>
      </c>
      <c r="I584" s="1">
        <v>1</v>
      </c>
      <c r="J584" s="1">
        <v>3</v>
      </c>
      <c r="K584" s="1">
        <v>3</v>
      </c>
      <c r="L584" s="1">
        <v>6</v>
      </c>
      <c r="M584" s="1">
        <v>23</v>
      </c>
      <c r="P584">
        <v>0.29515335648148139</v>
      </c>
      <c r="Q584">
        <v>0.41317129629629629</v>
      </c>
    </row>
    <row r="585" spans="1:17">
      <c r="A585" s="1">
        <v>44</v>
      </c>
      <c r="B585" s="1">
        <v>0</v>
      </c>
      <c r="C585" s="1">
        <v>1</v>
      </c>
      <c r="D585" s="1">
        <v>0</v>
      </c>
      <c r="E585" s="1">
        <v>0</v>
      </c>
      <c r="F585" s="1">
        <v>5</v>
      </c>
      <c r="G585" s="1">
        <v>6</v>
      </c>
      <c r="H585" s="1">
        <v>1</v>
      </c>
      <c r="I585" s="1">
        <v>1</v>
      </c>
      <c r="J585" s="1">
        <v>2</v>
      </c>
      <c r="K585" s="1">
        <v>2</v>
      </c>
      <c r="L585" s="1">
        <v>6</v>
      </c>
      <c r="M585" s="1">
        <v>23</v>
      </c>
      <c r="P585">
        <v>0.27387152777777768</v>
      </c>
      <c r="Q585">
        <v>0.52592592592592602</v>
      </c>
    </row>
    <row r="586" spans="1:17">
      <c r="A586" s="1">
        <v>45</v>
      </c>
      <c r="B586" s="1">
        <v>0</v>
      </c>
      <c r="C586" s="1">
        <v>1</v>
      </c>
      <c r="D586" s="1">
        <v>0</v>
      </c>
      <c r="E586" s="1">
        <v>1</v>
      </c>
      <c r="F586" s="1">
        <v>5</v>
      </c>
      <c r="G586" s="1">
        <v>6</v>
      </c>
      <c r="H586" s="1">
        <v>1</v>
      </c>
      <c r="I586" s="1">
        <v>1</v>
      </c>
      <c r="J586" s="1">
        <v>2</v>
      </c>
      <c r="K586" s="1">
        <v>2</v>
      </c>
      <c r="L586" s="1">
        <v>6</v>
      </c>
      <c r="M586" s="1">
        <v>23</v>
      </c>
      <c r="P586">
        <v>0.31252604166666675</v>
      </c>
      <c r="Q586">
        <v>0.47456547619047618</v>
      </c>
    </row>
    <row r="587" spans="1:17">
      <c r="A587" s="1">
        <v>46</v>
      </c>
      <c r="B587" s="1">
        <v>0</v>
      </c>
      <c r="C587" s="1">
        <v>1</v>
      </c>
      <c r="D587" s="1">
        <v>0</v>
      </c>
      <c r="E587" s="1">
        <v>1</v>
      </c>
      <c r="F587" s="1">
        <v>6</v>
      </c>
      <c r="G587" s="1">
        <v>6</v>
      </c>
      <c r="H587" s="1">
        <v>1</v>
      </c>
      <c r="I587" s="1">
        <v>1</v>
      </c>
      <c r="J587" s="1">
        <v>2</v>
      </c>
      <c r="K587" s="1">
        <v>2</v>
      </c>
      <c r="L587" s="1">
        <v>6</v>
      </c>
      <c r="M587" s="1">
        <v>23</v>
      </c>
      <c r="P587">
        <v>0.27472800925925911</v>
      </c>
      <c r="Q587">
        <v>0.37178042328042327</v>
      </c>
    </row>
    <row r="588" spans="1:17">
      <c r="A588" s="1">
        <v>47</v>
      </c>
      <c r="B588" s="1">
        <v>1</v>
      </c>
      <c r="C588" s="1">
        <v>1</v>
      </c>
      <c r="D588" s="1">
        <v>1</v>
      </c>
      <c r="E588" s="1">
        <v>1</v>
      </c>
      <c r="F588" s="1">
        <v>16</v>
      </c>
      <c r="G588" s="1">
        <v>6</v>
      </c>
      <c r="H588" s="1">
        <v>3</v>
      </c>
      <c r="I588" s="1">
        <v>1</v>
      </c>
      <c r="J588" s="1">
        <v>5</v>
      </c>
      <c r="K588" s="1">
        <v>6</v>
      </c>
      <c r="L588" s="1">
        <v>6</v>
      </c>
      <c r="M588" s="1">
        <v>23</v>
      </c>
      <c r="P588">
        <v>0.24708622685185189</v>
      </c>
      <c r="Q588">
        <v>0.39667394179894178</v>
      </c>
    </row>
    <row r="589" spans="1:17">
      <c r="A589" s="1">
        <v>48</v>
      </c>
      <c r="B589" s="1">
        <v>0</v>
      </c>
      <c r="C589" s="1">
        <v>1</v>
      </c>
      <c r="D589" s="1">
        <v>1</v>
      </c>
      <c r="E589" s="1">
        <v>1</v>
      </c>
      <c r="F589" s="1">
        <v>12</v>
      </c>
      <c r="G589" s="1">
        <v>6</v>
      </c>
      <c r="H589" s="1">
        <v>2</v>
      </c>
      <c r="I589" s="1">
        <v>1</v>
      </c>
      <c r="J589" s="1">
        <v>4</v>
      </c>
      <c r="K589" s="1">
        <v>4</v>
      </c>
      <c r="L589" s="1">
        <v>6</v>
      </c>
      <c r="M589" s="1">
        <v>23</v>
      </c>
      <c r="P589">
        <v>0.13350694444444441</v>
      </c>
      <c r="Q589">
        <v>0.13049603174603175</v>
      </c>
    </row>
    <row r="590" spans="1:17">
      <c r="A590" s="1">
        <v>49</v>
      </c>
      <c r="B590" s="1">
        <v>1</v>
      </c>
      <c r="C590" s="1">
        <v>0</v>
      </c>
      <c r="D590" s="1">
        <v>0</v>
      </c>
      <c r="E590" s="1">
        <v>1</v>
      </c>
      <c r="F590" s="1">
        <v>2</v>
      </c>
      <c r="G590" s="1">
        <v>6</v>
      </c>
      <c r="H590" s="1">
        <v>1</v>
      </c>
      <c r="I590" s="1">
        <v>1</v>
      </c>
      <c r="J590" s="1">
        <v>1</v>
      </c>
      <c r="K590" s="1">
        <v>1</v>
      </c>
      <c r="L590" s="1">
        <v>6</v>
      </c>
      <c r="M590" s="1">
        <v>23</v>
      </c>
      <c r="P590">
        <v>0.27539641203703707</v>
      </c>
      <c r="Q590">
        <v>0.45360383597883608</v>
      </c>
    </row>
    <row r="591" spans="1:17">
      <c r="A591" s="1">
        <v>50</v>
      </c>
      <c r="B591" s="1">
        <v>1</v>
      </c>
      <c r="C591" s="1">
        <v>1</v>
      </c>
      <c r="D591" s="1">
        <v>1</v>
      </c>
      <c r="E591" s="1">
        <v>1</v>
      </c>
      <c r="F591" s="1">
        <v>17</v>
      </c>
      <c r="G591" s="1">
        <v>6</v>
      </c>
      <c r="H591" s="1">
        <v>3</v>
      </c>
      <c r="I591" s="1">
        <v>1</v>
      </c>
      <c r="J591" s="1">
        <v>5</v>
      </c>
      <c r="K591" s="1">
        <v>6</v>
      </c>
      <c r="L591" s="1">
        <v>6</v>
      </c>
      <c r="M591" s="1">
        <v>23</v>
      </c>
      <c r="P591">
        <v>0.2602546296296297</v>
      </c>
      <c r="Q591">
        <v>0.43296164021164035</v>
      </c>
    </row>
    <row r="592" spans="1:17">
      <c r="A592" s="1">
        <v>51</v>
      </c>
      <c r="B592" s="1">
        <v>0</v>
      </c>
      <c r="C592" s="1">
        <v>1</v>
      </c>
      <c r="D592" s="1">
        <v>1</v>
      </c>
      <c r="E592" s="1">
        <v>0</v>
      </c>
      <c r="F592" s="1">
        <v>11</v>
      </c>
      <c r="G592" s="1">
        <v>6</v>
      </c>
      <c r="H592" s="1">
        <v>2</v>
      </c>
      <c r="I592" s="1">
        <v>1</v>
      </c>
      <c r="J592" s="1">
        <v>4</v>
      </c>
      <c r="K592" s="1">
        <v>4</v>
      </c>
      <c r="L592" s="1">
        <v>6</v>
      </c>
      <c r="M592" s="1">
        <v>23</v>
      </c>
      <c r="P592">
        <v>0.17102864583333341</v>
      </c>
      <c r="Q592">
        <v>0.56393849206349211</v>
      </c>
    </row>
    <row r="593" spans="1:17">
      <c r="A593" s="1">
        <v>52</v>
      </c>
      <c r="B593" s="1">
        <v>0</v>
      </c>
      <c r="C593" s="1">
        <v>1</v>
      </c>
      <c r="D593" s="1">
        <v>1</v>
      </c>
      <c r="E593" s="1">
        <v>1</v>
      </c>
      <c r="F593" s="1">
        <v>11</v>
      </c>
      <c r="G593" s="1">
        <v>6</v>
      </c>
      <c r="H593" s="1">
        <v>2</v>
      </c>
      <c r="I593" s="1">
        <v>1</v>
      </c>
      <c r="J593" s="1">
        <v>4</v>
      </c>
      <c r="K593" s="1">
        <v>4</v>
      </c>
      <c r="L593" s="1">
        <v>6</v>
      </c>
      <c r="M593" s="1">
        <v>23</v>
      </c>
      <c r="P593">
        <v>0.36747106481481484</v>
      </c>
      <c r="Q593">
        <v>0.38721296296296293</v>
      </c>
    </row>
    <row r="594" spans="1:17">
      <c r="A594" s="1">
        <v>53</v>
      </c>
      <c r="B594" s="1">
        <v>1</v>
      </c>
      <c r="C594" s="1">
        <v>1</v>
      </c>
      <c r="D594" s="1">
        <v>1</v>
      </c>
      <c r="E594" s="1">
        <v>1</v>
      </c>
      <c r="F594" s="1">
        <v>15</v>
      </c>
      <c r="G594" s="1">
        <v>6</v>
      </c>
      <c r="H594" s="1">
        <v>3</v>
      </c>
      <c r="I594" s="1">
        <v>1</v>
      </c>
      <c r="J594" s="1">
        <v>5</v>
      </c>
      <c r="K594" s="1">
        <v>5</v>
      </c>
      <c r="L594" s="1">
        <v>6</v>
      </c>
      <c r="M594" s="1">
        <v>23</v>
      </c>
      <c r="P594">
        <v>1.639178240740741E-2</v>
      </c>
      <c r="Q594">
        <v>5.8564814814814868E-3</v>
      </c>
    </row>
    <row r="595" spans="1:17">
      <c r="A595" s="1">
        <v>54</v>
      </c>
      <c r="B595" s="1">
        <v>1</v>
      </c>
      <c r="C595" s="1">
        <v>1</v>
      </c>
      <c r="D595" s="1">
        <v>1</v>
      </c>
      <c r="E595" s="1">
        <v>1</v>
      </c>
      <c r="F595" s="1">
        <v>19</v>
      </c>
      <c r="G595" s="1">
        <v>6</v>
      </c>
      <c r="H595" s="1">
        <v>3</v>
      </c>
      <c r="I595" s="1">
        <v>1</v>
      </c>
      <c r="J595" s="1">
        <v>5</v>
      </c>
      <c r="K595" s="1">
        <v>6</v>
      </c>
      <c r="L595" s="1">
        <v>6</v>
      </c>
      <c r="M595" s="1">
        <v>23</v>
      </c>
      <c r="P595">
        <v>0.33640625000000002</v>
      </c>
      <c r="Q595">
        <v>0.62182142857142852</v>
      </c>
    </row>
    <row r="596" spans="1:17">
      <c r="A596" s="1">
        <v>55</v>
      </c>
      <c r="B596" s="1">
        <v>0</v>
      </c>
      <c r="C596" s="1">
        <v>1</v>
      </c>
      <c r="D596" s="1">
        <v>1</v>
      </c>
      <c r="E596" s="1">
        <v>0</v>
      </c>
      <c r="F596" s="1">
        <v>11</v>
      </c>
      <c r="G596" s="1">
        <v>6</v>
      </c>
      <c r="H596" s="1">
        <v>2</v>
      </c>
      <c r="I596" s="1">
        <v>2</v>
      </c>
      <c r="J596" s="1">
        <v>4</v>
      </c>
      <c r="K596" s="1">
        <v>4</v>
      </c>
      <c r="L596" s="1">
        <v>6</v>
      </c>
      <c r="M596" s="1">
        <v>23</v>
      </c>
      <c r="P596">
        <v>0.30523003472222227</v>
      </c>
      <c r="Q596">
        <v>0.54803240740740755</v>
      </c>
    </row>
    <row r="597" spans="1:17">
      <c r="A597" s="1">
        <v>56</v>
      </c>
      <c r="B597" s="1">
        <v>0</v>
      </c>
      <c r="C597" s="1">
        <v>1</v>
      </c>
      <c r="D597" s="1">
        <v>1</v>
      </c>
      <c r="E597" s="1">
        <v>0</v>
      </c>
      <c r="F597" s="1">
        <v>10</v>
      </c>
      <c r="G597" s="1">
        <v>6</v>
      </c>
      <c r="H597" s="1">
        <v>2</v>
      </c>
      <c r="I597" s="1">
        <v>2</v>
      </c>
      <c r="J597" s="1">
        <v>4</v>
      </c>
      <c r="K597" s="1">
        <v>4</v>
      </c>
      <c r="L597" s="1">
        <v>6</v>
      </c>
      <c r="M597" s="1">
        <v>23</v>
      </c>
      <c r="P597">
        <v>0.16631944444444441</v>
      </c>
      <c r="Q597">
        <v>0.45767195767195779</v>
      </c>
    </row>
    <row r="598" spans="1:17">
      <c r="A598" s="1">
        <v>57</v>
      </c>
      <c r="B598" s="1">
        <v>1</v>
      </c>
      <c r="C598" s="1">
        <v>1</v>
      </c>
      <c r="D598" s="1">
        <v>1</v>
      </c>
      <c r="E598" s="1">
        <v>0</v>
      </c>
      <c r="F598" s="1">
        <v>20</v>
      </c>
      <c r="G598" s="1">
        <v>18</v>
      </c>
      <c r="H598" s="1">
        <v>3</v>
      </c>
      <c r="I598" s="1">
        <v>2</v>
      </c>
      <c r="J598" s="1">
        <v>6</v>
      </c>
      <c r="K598" s="1">
        <v>7</v>
      </c>
      <c r="L598" s="1">
        <v>6</v>
      </c>
      <c r="M598" s="1">
        <v>23</v>
      </c>
      <c r="P598">
        <v>0.37897135416666655</v>
      </c>
      <c r="Q598">
        <v>0.73963293650793671</v>
      </c>
    </row>
    <row r="599" spans="1:17">
      <c r="A599" s="1">
        <v>58</v>
      </c>
      <c r="B599" s="1">
        <v>1</v>
      </c>
      <c r="C599" s="1">
        <v>1</v>
      </c>
      <c r="D599" s="1">
        <v>1</v>
      </c>
      <c r="E599" s="1">
        <v>0</v>
      </c>
      <c r="F599" s="1">
        <v>25</v>
      </c>
      <c r="G599" s="1">
        <v>18</v>
      </c>
      <c r="H599" s="1">
        <v>3</v>
      </c>
      <c r="I599" s="1">
        <v>2</v>
      </c>
      <c r="J599" s="1">
        <v>6</v>
      </c>
      <c r="K599" s="1">
        <v>7</v>
      </c>
      <c r="L599" s="1">
        <v>6</v>
      </c>
      <c r="M599" s="1">
        <v>23</v>
      </c>
      <c r="P599">
        <v>0.49396701388888892</v>
      </c>
      <c r="Q599">
        <v>0.75641534391534382</v>
      </c>
    </row>
    <row r="600" spans="1:17">
      <c r="A600" s="1">
        <v>59</v>
      </c>
      <c r="B600" s="1">
        <v>1</v>
      </c>
      <c r="C600" s="1">
        <v>1</v>
      </c>
      <c r="D600" s="1">
        <v>1</v>
      </c>
      <c r="E600" s="1">
        <v>0</v>
      </c>
      <c r="F600" s="1">
        <v>17</v>
      </c>
      <c r="G600" s="1">
        <v>6</v>
      </c>
      <c r="H600" s="1">
        <v>3</v>
      </c>
      <c r="I600" s="1">
        <v>2</v>
      </c>
      <c r="J600" s="1">
        <v>5</v>
      </c>
      <c r="K600" s="1">
        <v>6</v>
      </c>
      <c r="L600" s="1">
        <v>6</v>
      </c>
      <c r="M600" s="1">
        <v>23</v>
      </c>
      <c r="P600">
        <v>0.21208767361111108</v>
      </c>
      <c r="Q600">
        <v>0.54819775132275139</v>
      </c>
    </row>
    <row r="601" spans="1:17">
      <c r="A601" s="1">
        <v>60</v>
      </c>
      <c r="B601" s="1">
        <v>1</v>
      </c>
      <c r="C601" s="1">
        <v>1</v>
      </c>
      <c r="D601" s="1">
        <v>1</v>
      </c>
      <c r="E601" s="1">
        <v>0</v>
      </c>
      <c r="F601" s="1">
        <v>23</v>
      </c>
      <c r="G601" s="1">
        <v>18</v>
      </c>
      <c r="H601" s="1">
        <v>3</v>
      </c>
      <c r="I601" s="1">
        <v>2</v>
      </c>
      <c r="J601" s="1">
        <v>6</v>
      </c>
      <c r="K601" s="1">
        <v>7</v>
      </c>
      <c r="L601" s="1">
        <v>6</v>
      </c>
      <c r="M601" s="1">
        <v>23</v>
      </c>
      <c r="P601">
        <v>0.27552083333333327</v>
      </c>
      <c r="Q601">
        <v>0.49444444444444446</v>
      </c>
    </row>
    <row r="602" spans="1:17">
      <c r="A602" s="1">
        <v>61</v>
      </c>
      <c r="B602" s="1">
        <v>0</v>
      </c>
      <c r="C602" s="1">
        <v>1</v>
      </c>
      <c r="D602" s="1">
        <v>0</v>
      </c>
      <c r="E602" s="1">
        <v>0</v>
      </c>
      <c r="F602" s="1">
        <v>6</v>
      </c>
      <c r="G602" s="1">
        <v>6</v>
      </c>
      <c r="H602" s="1">
        <v>1</v>
      </c>
      <c r="I602" s="1">
        <v>2</v>
      </c>
      <c r="J602" s="1">
        <v>2</v>
      </c>
      <c r="K602" s="1">
        <v>2</v>
      </c>
      <c r="L602" s="1">
        <v>6</v>
      </c>
      <c r="M602" s="1">
        <v>23</v>
      </c>
      <c r="P602">
        <v>0.44364149305555556</v>
      </c>
      <c r="Q602">
        <v>0.72819113756613763</v>
      </c>
    </row>
    <row r="603" spans="1:17">
      <c r="A603" s="1">
        <v>62</v>
      </c>
      <c r="B603" s="1">
        <v>0</v>
      </c>
      <c r="C603" s="1">
        <v>1</v>
      </c>
      <c r="D603" s="1">
        <v>0</v>
      </c>
      <c r="E603" s="1">
        <v>0</v>
      </c>
      <c r="F603" s="1">
        <v>5</v>
      </c>
      <c r="G603" s="1">
        <v>6</v>
      </c>
      <c r="H603" s="1">
        <v>1</v>
      </c>
      <c r="I603" s="1">
        <v>2</v>
      </c>
      <c r="J603" s="1">
        <v>2</v>
      </c>
      <c r="K603" s="1">
        <v>2</v>
      </c>
      <c r="L603" s="1">
        <v>6</v>
      </c>
      <c r="M603" s="1">
        <v>23</v>
      </c>
      <c r="P603">
        <v>0.23988715277777767</v>
      </c>
      <c r="Q603">
        <v>0.56908068783068788</v>
      </c>
    </row>
    <row r="604" spans="1:17">
      <c r="A604" s="1">
        <v>63</v>
      </c>
      <c r="B604" s="1">
        <v>0</v>
      </c>
      <c r="C604" s="1">
        <v>1</v>
      </c>
      <c r="D604" s="1">
        <v>0</v>
      </c>
      <c r="E604" s="1">
        <v>1</v>
      </c>
      <c r="F604" s="1">
        <v>5</v>
      </c>
      <c r="G604" s="1">
        <v>6</v>
      </c>
      <c r="H604" s="1">
        <v>1</v>
      </c>
      <c r="I604" s="1">
        <v>2</v>
      </c>
      <c r="J604" s="1">
        <v>2</v>
      </c>
      <c r="K604" s="1">
        <v>2</v>
      </c>
      <c r="L604" s="1">
        <v>6</v>
      </c>
      <c r="M604" s="1">
        <v>23</v>
      </c>
      <c r="P604">
        <v>0.3891927083333333</v>
      </c>
      <c r="Q604">
        <v>0.42979166666666674</v>
      </c>
    </row>
    <row r="605" spans="1:17">
      <c r="A605" s="1">
        <v>64</v>
      </c>
      <c r="B605" s="1">
        <v>1</v>
      </c>
      <c r="C605" s="1">
        <v>1</v>
      </c>
      <c r="D605" s="1">
        <v>0</v>
      </c>
      <c r="E605" s="1">
        <v>0</v>
      </c>
      <c r="F605" s="1">
        <v>9</v>
      </c>
      <c r="G605" s="1">
        <v>6</v>
      </c>
      <c r="H605" s="1">
        <v>2</v>
      </c>
      <c r="I605" s="1">
        <v>2</v>
      </c>
      <c r="J605" s="1">
        <v>3</v>
      </c>
      <c r="K605" s="1">
        <v>3</v>
      </c>
      <c r="L605" s="1">
        <v>6</v>
      </c>
      <c r="M605" s="1">
        <v>23</v>
      </c>
      <c r="P605">
        <v>0.33706597222222229</v>
      </c>
      <c r="Q605">
        <v>0.65443121693121709</v>
      </c>
    </row>
    <row r="606" spans="1:17">
      <c r="A606" s="1">
        <v>65</v>
      </c>
      <c r="B606" s="1">
        <v>1</v>
      </c>
      <c r="C606" s="1">
        <v>1</v>
      </c>
      <c r="D606" s="1">
        <v>1</v>
      </c>
      <c r="E606" s="1">
        <v>0</v>
      </c>
      <c r="F606" s="1">
        <v>15</v>
      </c>
      <c r="G606" s="1">
        <v>6</v>
      </c>
      <c r="H606" s="1">
        <v>3</v>
      </c>
      <c r="I606" s="1">
        <v>2</v>
      </c>
      <c r="J606" s="1">
        <v>5</v>
      </c>
      <c r="K606" s="1">
        <v>5</v>
      </c>
      <c r="L606" s="1">
        <v>6</v>
      </c>
      <c r="M606" s="1">
        <v>23</v>
      </c>
      <c r="P606">
        <v>0.3090928819444444</v>
      </c>
      <c r="Q606">
        <v>0.46496362433862432</v>
      </c>
    </row>
    <row r="607" spans="1:17">
      <c r="A607" s="1">
        <v>66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2</v>
      </c>
      <c r="J607" s="1">
        <v>0</v>
      </c>
      <c r="K607" s="1">
        <v>0</v>
      </c>
      <c r="L607" s="1">
        <v>6</v>
      </c>
      <c r="M607" s="1">
        <v>23</v>
      </c>
      <c r="P607">
        <v>0.27955729166666671</v>
      </c>
      <c r="Q607">
        <v>0.42638888888888887</v>
      </c>
    </row>
    <row r="608" spans="1:17">
      <c r="A608" s="1">
        <v>67</v>
      </c>
      <c r="B608" s="1">
        <v>1</v>
      </c>
      <c r="C608" s="1">
        <v>1</v>
      </c>
      <c r="D608" s="1">
        <v>1</v>
      </c>
      <c r="E608" s="1">
        <v>0</v>
      </c>
      <c r="F608" s="1">
        <v>18</v>
      </c>
      <c r="G608" s="1">
        <v>6</v>
      </c>
      <c r="H608" s="1">
        <v>3</v>
      </c>
      <c r="I608" s="1">
        <v>2</v>
      </c>
      <c r="J608" s="1">
        <v>5</v>
      </c>
      <c r="K608" s="1">
        <v>6</v>
      </c>
      <c r="L608" s="1">
        <v>6</v>
      </c>
      <c r="M608" s="1">
        <v>23</v>
      </c>
      <c r="P608">
        <v>0.26017795138888894</v>
      </c>
      <c r="Q608">
        <v>0.56906415343915351</v>
      </c>
    </row>
    <row r="609" spans="1:17">
      <c r="A609" s="1">
        <v>68</v>
      </c>
      <c r="B609" s="1">
        <v>1</v>
      </c>
      <c r="C609" s="1">
        <v>1</v>
      </c>
      <c r="D609" s="1">
        <v>0</v>
      </c>
      <c r="E609" s="1">
        <v>0</v>
      </c>
      <c r="F609" s="1">
        <v>8</v>
      </c>
      <c r="G609" s="1">
        <v>6</v>
      </c>
      <c r="H609" s="1">
        <v>2</v>
      </c>
      <c r="I609" s="1">
        <v>2</v>
      </c>
      <c r="J609" s="1">
        <v>3</v>
      </c>
      <c r="K609" s="1">
        <v>3</v>
      </c>
      <c r="L609" s="1">
        <v>6</v>
      </c>
      <c r="M609" s="1">
        <v>23</v>
      </c>
      <c r="P609">
        <v>0.35329861111111116</v>
      </c>
      <c r="Q609">
        <v>0.49388227513227512</v>
      </c>
    </row>
    <row r="610" spans="1:17">
      <c r="A610" s="1">
        <v>69</v>
      </c>
      <c r="B610" s="1">
        <v>0</v>
      </c>
      <c r="C610" s="1">
        <v>1</v>
      </c>
      <c r="D610" s="1">
        <v>0</v>
      </c>
      <c r="E610" s="1">
        <v>0</v>
      </c>
      <c r="F610" s="1">
        <v>4</v>
      </c>
      <c r="G610" s="1">
        <v>6</v>
      </c>
      <c r="H610" s="1">
        <v>1</v>
      </c>
      <c r="I610" s="1">
        <v>2</v>
      </c>
      <c r="J610" s="1">
        <v>2</v>
      </c>
      <c r="K610" s="1">
        <v>2</v>
      </c>
      <c r="L610" s="1">
        <v>6</v>
      </c>
      <c r="M610" s="1">
        <v>23</v>
      </c>
      <c r="P610">
        <v>0.25579427083333339</v>
      </c>
      <c r="Q610">
        <v>0.41245039682539675</v>
      </c>
    </row>
    <row r="611" spans="1:17">
      <c r="A611" s="1">
        <v>70</v>
      </c>
      <c r="B611" s="1">
        <v>1</v>
      </c>
      <c r="C611" s="1">
        <v>1</v>
      </c>
      <c r="D611" s="1">
        <v>1</v>
      </c>
      <c r="E611" s="1">
        <v>0</v>
      </c>
      <c r="F611" s="1">
        <v>21</v>
      </c>
      <c r="G611" s="1">
        <v>18</v>
      </c>
      <c r="H611" s="1">
        <v>3</v>
      </c>
      <c r="I611" s="1">
        <v>2</v>
      </c>
      <c r="J611" s="1">
        <v>6</v>
      </c>
      <c r="K611" s="1">
        <v>7</v>
      </c>
      <c r="L611" s="1">
        <v>6</v>
      </c>
      <c r="M611" s="1">
        <v>23</v>
      </c>
      <c r="P611">
        <v>0.42782118055555546</v>
      </c>
      <c r="Q611">
        <v>0.64530423280423288</v>
      </c>
    </row>
    <row r="612" spans="1:17">
      <c r="A612" s="1">
        <v>71</v>
      </c>
      <c r="B612" s="1">
        <v>1</v>
      </c>
      <c r="C612" s="1">
        <v>0</v>
      </c>
      <c r="D612" s="1">
        <v>0</v>
      </c>
      <c r="E612" s="1">
        <v>0</v>
      </c>
      <c r="F612" s="1">
        <v>2</v>
      </c>
      <c r="G612" s="1">
        <v>6</v>
      </c>
      <c r="H612" s="1">
        <v>1</v>
      </c>
      <c r="I612" s="1">
        <v>2</v>
      </c>
      <c r="J612" s="1">
        <v>1</v>
      </c>
      <c r="K612" s="1">
        <v>1</v>
      </c>
      <c r="L612" s="1">
        <v>6</v>
      </c>
      <c r="M612" s="1">
        <v>23</v>
      </c>
      <c r="P612">
        <v>0.29516059027777775</v>
      </c>
      <c r="Q612">
        <v>0.62726521164021165</v>
      </c>
    </row>
    <row r="613" spans="1:17">
      <c r="A613" s="1">
        <v>72</v>
      </c>
      <c r="B613" s="1">
        <v>1</v>
      </c>
      <c r="C613" s="1">
        <v>1</v>
      </c>
      <c r="D613" s="1">
        <v>1</v>
      </c>
      <c r="E613" s="1">
        <v>0</v>
      </c>
      <c r="F613" s="1">
        <v>24</v>
      </c>
      <c r="G613" s="1">
        <v>18</v>
      </c>
      <c r="H613" s="1">
        <v>3</v>
      </c>
      <c r="I613" s="1">
        <v>2</v>
      </c>
      <c r="J613" s="1">
        <v>6</v>
      </c>
      <c r="K613" s="1">
        <v>7</v>
      </c>
      <c r="L613" s="1">
        <v>6</v>
      </c>
      <c r="M613" s="1">
        <v>23</v>
      </c>
      <c r="P613">
        <v>0.27187499999999998</v>
      </c>
      <c r="Q613">
        <v>0.67619047619047612</v>
      </c>
    </row>
    <row r="614" spans="1:17">
      <c r="A614" s="1">
        <v>73</v>
      </c>
      <c r="B614" s="1">
        <v>1</v>
      </c>
      <c r="C614" s="1">
        <v>1</v>
      </c>
      <c r="D614" s="1">
        <v>1</v>
      </c>
      <c r="E614" s="1">
        <v>0</v>
      </c>
      <c r="F614" s="1">
        <v>14</v>
      </c>
      <c r="G614" s="1">
        <v>6</v>
      </c>
      <c r="H614" s="1">
        <v>3</v>
      </c>
      <c r="I614" s="1">
        <v>2</v>
      </c>
      <c r="J614" s="1">
        <v>5</v>
      </c>
      <c r="K614" s="1">
        <v>5</v>
      </c>
      <c r="L614" s="1">
        <v>6</v>
      </c>
      <c r="M614" s="1">
        <v>23</v>
      </c>
      <c r="P614">
        <v>0.37515190972222223</v>
      </c>
      <c r="Q614">
        <v>0.93047288359788349</v>
      </c>
    </row>
    <row r="615" spans="1:17">
      <c r="A615" s="1">
        <v>74</v>
      </c>
      <c r="B615" s="1">
        <v>1</v>
      </c>
      <c r="C615" s="1">
        <v>1</v>
      </c>
      <c r="D615" s="1">
        <v>1</v>
      </c>
      <c r="E615" s="1">
        <v>0</v>
      </c>
      <c r="F615" s="1">
        <v>13</v>
      </c>
      <c r="G615" s="1">
        <v>6</v>
      </c>
      <c r="H615" s="1">
        <v>3</v>
      </c>
      <c r="I615" s="1">
        <v>2</v>
      </c>
      <c r="J615" s="1">
        <v>5</v>
      </c>
      <c r="K615" s="1">
        <v>5</v>
      </c>
      <c r="L615" s="1">
        <v>6</v>
      </c>
      <c r="M615" s="1">
        <v>23</v>
      </c>
      <c r="P615">
        <v>0.40186631944444445</v>
      </c>
      <c r="Q615">
        <v>0.55439814814814825</v>
      </c>
    </row>
    <row r="616" spans="1:17">
      <c r="A616" s="1">
        <v>75</v>
      </c>
      <c r="B616" s="1">
        <v>0</v>
      </c>
      <c r="C616" s="1">
        <v>1</v>
      </c>
      <c r="D616" s="1">
        <v>0</v>
      </c>
      <c r="E616" s="1">
        <v>1</v>
      </c>
      <c r="F616" s="1">
        <v>6</v>
      </c>
      <c r="G616" s="1">
        <v>6</v>
      </c>
      <c r="H616" s="1">
        <v>1</v>
      </c>
      <c r="I616" s="1">
        <v>2</v>
      </c>
      <c r="J616" s="1">
        <v>2</v>
      </c>
      <c r="K616" s="1">
        <v>2</v>
      </c>
      <c r="L616" s="1">
        <v>6</v>
      </c>
      <c r="M616" s="1">
        <v>23</v>
      </c>
      <c r="P616">
        <v>0.30827256944444437</v>
      </c>
      <c r="Q616">
        <v>0.36779960317460325</v>
      </c>
    </row>
    <row r="617" spans="1:17">
      <c r="A617" s="1">
        <v>76</v>
      </c>
      <c r="B617" s="1">
        <v>1</v>
      </c>
      <c r="C617" s="1">
        <v>0</v>
      </c>
      <c r="D617" s="1">
        <v>0</v>
      </c>
      <c r="E617" s="1">
        <v>0</v>
      </c>
      <c r="F617" s="1">
        <v>1</v>
      </c>
      <c r="G617" s="1">
        <v>6</v>
      </c>
      <c r="H617" s="1">
        <v>1</v>
      </c>
      <c r="I617" s="1">
        <v>2</v>
      </c>
      <c r="J617" s="1">
        <v>1</v>
      </c>
      <c r="K617" s="1">
        <v>1</v>
      </c>
      <c r="L617" s="1">
        <v>6</v>
      </c>
      <c r="M617" s="1">
        <v>23</v>
      </c>
      <c r="P617">
        <v>0.32717013888888896</v>
      </c>
      <c r="Q617">
        <v>0.62546296296296289</v>
      </c>
    </row>
    <row r="618" spans="1:17">
      <c r="A618" s="1">
        <v>77</v>
      </c>
      <c r="B618" s="1">
        <v>0</v>
      </c>
      <c r="C618" s="1">
        <v>0</v>
      </c>
      <c r="D618" s="1">
        <v>0</v>
      </c>
      <c r="E618" s="1">
        <v>1</v>
      </c>
      <c r="F618" s="1">
        <v>0</v>
      </c>
      <c r="G618" s="1">
        <v>0</v>
      </c>
      <c r="H618" s="1">
        <v>0</v>
      </c>
      <c r="I618" s="1">
        <v>2</v>
      </c>
      <c r="J618" s="1">
        <v>0</v>
      </c>
      <c r="K618" s="1">
        <v>0</v>
      </c>
      <c r="L618" s="1">
        <v>6</v>
      </c>
      <c r="M618" s="1">
        <v>23</v>
      </c>
      <c r="P618">
        <v>0.11002025462962962</v>
      </c>
      <c r="Q618">
        <v>0.18812235449735448</v>
      </c>
    </row>
    <row r="619" spans="1:17">
      <c r="A619" s="1">
        <v>78</v>
      </c>
      <c r="B619" s="1">
        <v>1</v>
      </c>
      <c r="C619" s="1">
        <v>0</v>
      </c>
      <c r="D619" s="1">
        <v>0</v>
      </c>
      <c r="E619" s="1">
        <v>1</v>
      </c>
      <c r="F619" s="1">
        <v>1</v>
      </c>
      <c r="G619" s="1">
        <v>6</v>
      </c>
      <c r="H619" s="1">
        <v>1</v>
      </c>
      <c r="I619" s="1">
        <v>2</v>
      </c>
      <c r="J619" s="1">
        <v>1</v>
      </c>
      <c r="K619" s="1">
        <v>1</v>
      </c>
      <c r="L619" s="1">
        <v>6</v>
      </c>
      <c r="M619" s="1">
        <v>23</v>
      </c>
      <c r="P619">
        <v>0.1511284722222222</v>
      </c>
      <c r="Q619">
        <v>0.30051587301587307</v>
      </c>
    </row>
    <row r="620" spans="1:17">
      <c r="A620" s="1">
        <v>79</v>
      </c>
      <c r="B620" s="1">
        <v>1</v>
      </c>
      <c r="C620" s="1">
        <v>1</v>
      </c>
      <c r="D620" s="1">
        <v>1</v>
      </c>
      <c r="E620" s="1">
        <v>0</v>
      </c>
      <c r="F620" s="1">
        <v>16</v>
      </c>
      <c r="G620" s="1">
        <v>6</v>
      </c>
      <c r="H620" s="1">
        <v>3</v>
      </c>
      <c r="I620" s="1">
        <v>2</v>
      </c>
      <c r="J620" s="1">
        <v>5</v>
      </c>
      <c r="K620" s="1">
        <v>6</v>
      </c>
      <c r="L620" s="1">
        <v>6</v>
      </c>
      <c r="M620" s="1">
        <v>23</v>
      </c>
      <c r="P620">
        <v>0.59481336805555562</v>
      </c>
      <c r="Q620">
        <v>0.83027447089947115</v>
      </c>
    </row>
    <row r="621" spans="1:17">
      <c r="A621" s="1">
        <v>80</v>
      </c>
      <c r="B621" s="1">
        <v>1</v>
      </c>
      <c r="C621" s="1">
        <v>1</v>
      </c>
      <c r="D621" s="1">
        <v>1</v>
      </c>
      <c r="E621" s="1">
        <v>1</v>
      </c>
      <c r="F621" s="1">
        <v>23</v>
      </c>
      <c r="G621" s="1">
        <v>18</v>
      </c>
      <c r="H621" s="1">
        <v>3</v>
      </c>
      <c r="I621" s="1">
        <v>2</v>
      </c>
      <c r="J621" s="1">
        <v>6</v>
      </c>
      <c r="K621" s="1">
        <v>7</v>
      </c>
      <c r="L621" s="1">
        <v>6</v>
      </c>
      <c r="M621" s="1">
        <v>23</v>
      </c>
      <c r="P621">
        <v>0.26381365740740748</v>
      </c>
      <c r="Q621">
        <v>0.50387433862433884</v>
      </c>
    </row>
    <row r="622" spans="1:17">
      <c r="A622" s="1">
        <v>81</v>
      </c>
      <c r="B622" s="1">
        <v>1</v>
      </c>
      <c r="C622" s="1">
        <v>1</v>
      </c>
      <c r="D622" s="1">
        <v>0</v>
      </c>
      <c r="E622" s="1">
        <v>0</v>
      </c>
      <c r="F622" s="1">
        <v>7</v>
      </c>
      <c r="G622" s="1">
        <v>6</v>
      </c>
      <c r="H622" s="1">
        <v>2</v>
      </c>
      <c r="I622" s="1">
        <v>2</v>
      </c>
      <c r="J622" s="1">
        <v>3</v>
      </c>
      <c r="K622" s="1">
        <v>3</v>
      </c>
      <c r="L622" s="1">
        <v>6</v>
      </c>
      <c r="M622" s="1">
        <v>23</v>
      </c>
      <c r="P622">
        <v>0.45136718749999999</v>
      </c>
      <c r="Q622">
        <v>0.65312499999999996</v>
      </c>
    </row>
    <row r="623" spans="1:17">
      <c r="A623" s="1">
        <v>82</v>
      </c>
      <c r="B623" s="1">
        <v>1</v>
      </c>
      <c r="C623" s="1">
        <v>1</v>
      </c>
      <c r="D623" s="1">
        <v>1</v>
      </c>
      <c r="E623" s="1">
        <v>1</v>
      </c>
      <c r="F623" s="1">
        <v>21</v>
      </c>
      <c r="G623" s="1">
        <v>18</v>
      </c>
      <c r="H623" s="1">
        <v>3</v>
      </c>
      <c r="I623" s="1">
        <v>2</v>
      </c>
      <c r="J623" s="1">
        <v>6</v>
      </c>
      <c r="K623" s="1">
        <v>7</v>
      </c>
      <c r="L623" s="1">
        <v>6</v>
      </c>
      <c r="M623" s="1">
        <v>23</v>
      </c>
      <c r="P623">
        <v>6.00925925925926E-2</v>
      </c>
      <c r="Q623">
        <v>0.29205423280423287</v>
      </c>
    </row>
    <row r="624" spans="1:17">
      <c r="A624" s="1">
        <v>83</v>
      </c>
      <c r="B624" s="1">
        <v>1</v>
      </c>
      <c r="C624" s="1">
        <v>1</v>
      </c>
      <c r="D624" s="1">
        <v>1</v>
      </c>
      <c r="E624" s="1">
        <v>1</v>
      </c>
      <c r="F624" s="1">
        <v>18</v>
      </c>
      <c r="G624" s="1">
        <v>6</v>
      </c>
      <c r="H624" s="1">
        <v>3</v>
      </c>
      <c r="I624" s="1">
        <v>2</v>
      </c>
      <c r="J624" s="1">
        <v>5</v>
      </c>
      <c r="K624" s="1">
        <v>6</v>
      </c>
      <c r="L624" s="1">
        <v>6</v>
      </c>
      <c r="M624" s="1">
        <v>23</v>
      </c>
      <c r="P624">
        <v>0.13557581018518514</v>
      </c>
      <c r="Q624">
        <v>0.28212632275132277</v>
      </c>
    </row>
    <row r="625" spans="1:17">
      <c r="A625" s="1">
        <v>84</v>
      </c>
      <c r="B625" s="1">
        <v>1</v>
      </c>
      <c r="C625" s="1">
        <v>1</v>
      </c>
      <c r="D625" s="1">
        <v>1</v>
      </c>
      <c r="E625" s="1">
        <v>1</v>
      </c>
      <c r="F625" s="1">
        <v>24</v>
      </c>
      <c r="G625" s="1">
        <v>18</v>
      </c>
      <c r="H625" s="1">
        <v>3</v>
      </c>
      <c r="I625" s="1">
        <v>2</v>
      </c>
      <c r="J625" s="1">
        <v>6</v>
      </c>
      <c r="K625" s="1">
        <v>7</v>
      </c>
      <c r="L625" s="1">
        <v>6</v>
      </c>
      <c r="M625" s="1">
        <v>23</v>
      </c>
      <c r="P625">
        <v>0.2579340277777778</v>
      </c>
      <c r="Q625">
        <v>0.41326984126984134</v>
      </c>
    </row>
    <row r="626" spans="1:17">
      <c r="A626" s="1">
        <v>85</v>
      </c>
      <c r="B626" s="1">
        <v>1</v>
      </c>
      <c r="C626" s="1">
        <v>1</v>
      </c>
      <c r="D626" s="1">
        <v>1</v>
      </c>
      <c r="E626" s="1">
        <v>1</v>
      </c>
      <c r="F626" s="1">
        <v>20</v>
      </c>
      <c r="G626" s="1">
        <v>18</v>
      </c>
      <c r="H626" s="1">
        <v>3</v>
      </c>
      <c r="I626" s="1">
        <v>2</v>
      </c>
      <c r="J626" s="1">
        <v>6</v>
      </c>
      <c r="K626" s="1">
        <v>7</v>
      </c>
      <c r="L626" s="1">
        <v>6</v>
      </c>
      <c r="M626" s="1">
        <v>23</v>
      </c>
      <c r="P626">
        <v>0.12638599537037037</v>
      </c>
      <c r="Q626">
        <v>0.39530621693121692</v>
      </c>
    </row>
    <row r="627" spans="1:17">
      <c r="A627" s="1">
        <v>86</v>
      </c>
      <c r="B627" s="1">
        <v>1</v>
      </c>
      <c r="C627" s="1">
        <v>1</v>
      </c>
      <c r="D627" s="1">
        <v>1</v>
      </c>
      <c r="E627" s="1">
        <v>1</v>
      </c>
      <c r="F627" s="1">
        <v>17</v>
      </c>
      <c r="G627" s="1">
        <v>6</v>
      </c>
      <c r="H627" s="1">
        <v>3</v>
      </c>
      <c r="I627" s="1">
        <v>2</v>
      </c>
      <c r="J627" s="1">
        <v>5</v>
      </c>
      <c r="K627" s="1">
        <v>6</v>
      </c>
      <c r="L627" s="1">
        <v>6</v>
      </c>
      <c r="M627" s="1">
        <v>23</v>
      </c>
      <c r="P627">
        <v>0.2237442129629629</v>
      </c>
      <c r="Q627">
        <v>0.50502116402116404</v>
      </c>
    </row>
    <row r="628" spans="1:17">
      <c r="A628" s="1">
        <v>87</v>
      </c>
      <c r="B628" s="1">
        <v>0</v>
      </c>
      <c r="C628" s="1">
        <v>1</v>
      </c>
      <c r="D628" s="1">
        <v>1</v>
      </c>
      <c r="E628" s="1">
        <v>0</v>
      </c>
      <c r="F628" s="1">
        <v>12</v>
      </c>
      <c r="G628" s="1">
        <v>6</v>
      </c>
      <c r="H628" s="1">
        <v>2</v>
      </c>
      <c r="I628" s="1">
        <v>2</v>
      </c>
      <c r="J628" s="1">
        <v>4</v>
      </c>
      <c r="K628" s="1">
        <v>4</v>
      </c>
      <c r="L628" s="1">
        <v>6</v>
      </c>
      <c r="M628" s="1">
        <v>23</v>
      </c>
      <c r="P628">
        <v>0.15696614583333329</v>
      </c>
      <c r="Q628">
        <v>0.43506944444444451</v>
      </c>
    </row>
    <row r="629" spans="1:17">
      <c r="A629" s="1">
        <v>88</v>
      </c>
      <c r="B629" s="1">
        <v>1</v>
      </c>
      <c r="C629" s="1">
        <v>1</v>
      </c>
      <c r="D629" s="1">
        <v>1</v>
      </c>
      <c r="E629" s="1">
        <v>1</v>
      </c>
      <c r="F629" s="1">
        <v>15</v>
      </c>
      <c r="G629" s="1">
        <v>6</v>
      </c>
      <c r="H629" s="1">
        <v>3</v>
      </c>
      <c r="I629" s="1">
        <v>2</v>
      </c>
      <c r="J629" s="1">
        <v>5</v>
      </c>
      <c r="K629" s="1">
        <v>5</v>
      </c>
      <c r="L629" s="1">
        <v>6</v>
      </c>
      <c r="M629" s="1">
        <v>23</v>
      </c>
      <c r="P629">
        <v>0.39580439814814822</v>
      </c>
      <c r="Q629">
        <v>0.47087962962962981</v>
      </c>
    </row>
    <row r="630" spans="1:17">
      <c r="A630" s="1">
        <v>89</v>
      </c>
      <c r="B630" s="1">
        <v>1</v>
      </c>
      <c r="C630" s="1">
        <v>0</v>
      </c>
      <c r="D630" s="1">
        <v>0</v>
      </c>
      <c r="E630" s="1">
        <v>0</v>
      </c>
      <c r="F630" s="1">
        <v>3</v>
      </c>
      <c r="G630" s="1">
        <v>6</v>
      </c>
      <c r="H630" s="1">
        <v>1</v>
      </c>
      <c r="I630" s="1">
        <v>2</v>
      </c>
      <c r="J630" s="1">
        <v>1</v>
      </c>
      <c r="K630" s="1">
        <v>1</v>
      </c>
      <c r="L630" s="1">
        <v>6</v>
      </c>
      <c r="M630" s="1">
        <v>23</v>
      </c>
      <c r="P630">
        <v>0.24086371527777775</v>
      </c>
      <c r="Q630">
        <v>0.41863425925925929</v>
      </c>
    </row>
    <row r="631" spans="1:17">
      <c r="A631" s="1">
        <v>90</v>
      </c>
      <c r="B631" s="1">
        <v>1</v>
      </c>
      <c r="C631" s="1">
        <v>1</v>
      </c>
      <c r="D631" s="1">
        <v>1</v>
      </c>
      <c r="E631" s="1">
        <v>1</v>
      </c>
      <c r="F631" s="1">
        <v>16</v>
      </c>
      <c r="G631" s="1">
        <v>6</v>
      </c>
      <c r="H631" s="1">
        <v>3</v>
      </c>
      <c r="I631" s="1">
        <v>2</v>
      </c>
      <c r="J631" s="1">
        <v>5</v>
      </c>
      <c r="K631" s="1">
        <v>6</v>
      </c>
      <c r="L631" s="1">
        <v>6</v>
      </c>
      <c r="M631" s="1">
        <v>23</v>
      </c>
      <c r="P631">
        <v>0.39520833333333338</v>
      </c>
      <c r="Q631">
        <v>0.44477380952380952</v>
      </c>
    </row>
    <row r="632" spans="1:17">
      <c r="A632" s="1">
        <v>91</v>
      </c>
      <c r="B632" s="1">
        <v>1</v>
      </c>
      <c r="C632" s="1">
        <v>1</v>
      </c>
      <c r="D632" s="1">
        <v>1</v>
      </c>
      <c r="E632" s="1">
        <v>0</v>
      </c>
      <c r="F632" s="1">
        <v>22</v>
      </c>
      <c r="G632" s="1">
        <v>18</v>
      </c>
      <c r="H632" s="1">
        <v>3</v>
      </c>
      <c r="I632" s="1">
        <v>2</v>
      </c>
      <c r="J632" s="1">
        <v>6</v>
      </c>
      <c r="K632" s="1">
        <v>7</v>
      </c>
      <c r="L632" s="1">
        <v>6</v>
      </c>
      <c r="M632" s="1">
        <v>23</v>
      </c>
      <c r="P632">
        <v>0.33101128472222219</v>
      </c>
      <c r="Q632">
        <v>0.47362764550264552</v>
      </c>
    </row>
    <row r="633" spans="1:17">
      <c r="A633" s="1">
        <v>92</v>
      </c>
      <c r="B633" s="1">
        <v>1</v>
      </c>
      <c r="C633" s="1">
        <v>1</v>
      </c>
      <c r="D633" s="1">
        <v>0</v>
      </c>
      <c r="E633" s="1">
        <v>1</v>
      </c>
      <c r="F633" s="1">
        <v>7</v>
      </c>
      <c r="G633" s="1">
        <v>6</v>
      </c>
      <c r="H633" s="1">
        <v>2</v>
      </c>
      <c r="I633" s="1">
        <v>2</v>
      </c>
      <c r="J633" s="1">
        <v>3</v>
      </c>
      <c r="K633" s="1">
        <v>3</v>
      </c>
      <c r="L633" s="1">
        <v>6</v>
      </c>
      <c r="M633" s="1">
        <v>23</v>
      </c>
      <c r="P633">
        <v>0.17429976851851853</v>
      </c>
      <c r="Q633">
        <v>0.36063227513227519</v>
      </c>
    </row>
    <row r="634" spans="1:17">
      <c r="A634" s="1">
        <v>93</v>
      </c>
      <c r="B634" s="1">
        <v>0</v>
      </c>
      <c r="C634" s="1">
        <v>1</v>
      </c>
      <c r="D634" s="1">
        <v>1</v>
      </c>
      <c r="E634" s="1">
        <v>1</v>
      </c>
      <c r="F634" s="1">
        <v>11</v>
      </c>
      <c r="G634" s="1">
        <v>6</v>
      </c>
      <c r="H634" s="1">
        <v>2</v>
      </c>
      <c r="I634" s="1">
        <v>2</v>
      </c>
      <c r="J634" s="1">
        <v>4</v>
      </c>
      <c r="K634" s="1">
        <v>4</v>
      </c>
      <c r="L634" s="1">
        <v>6</v>
      </c>
      <c r="M634" s="1">
        <v>23</v>
      </c>
      <c r="P634">
        <v>0.41853298611111117</v>
      </c>
      <c r="Q634">
        <v>0.4221329365079366</v>
      </c>
    </row>
    <row r="635" spans="1:17">
      <c r="A635" s="1">
        <v>94</v>
      </c>
      <c r="B635" s="1">
        <v>1</v>
      </c>
      <c r="C635" s="1">
        <v>0</v>
      </c>
      <c r="D635" s="1">
        <v>0</v>
      </c>
      <c r="E635" s="1">
        <v>1</v>
      </c>
      <c r="F635" s="1">
        <v>3</v>
      </c>
      <c r="G635" s="1">
        <v>6</v>
      </c>
      <c r="H635" s="1">
        <v>1</v>
      </c>
      <c r="I635" s="1">
        <v>2</v>
      </c>
      <c r="J635" s="1">
        <v>1</v>
      </c>
      <c r="K635" s="1">
        <v>1</v>
      </c>
      <c r="L635" s="1">
        <v>6</v>
      </c>
      <c r="M635" s="1">
        <v>23</v>
      </c>
      <c r="P635">
        <v>0.22292245370370367</v>
      </c>
      <c r="Q635">
        <v>0.42113359788359794</v>
      </c>
    </row>
    <row r="636" spans="1:17">
      <c r="A636" s="1">
        <v>95</v>
      </c>
      <c r="B636" s="1">
        <v>1</v>
      </c>
      <c r="C636" s="1">
        <v>1</v>
      </c>
      <c r="D636" s="1">
        <v>0</v>
      </c>
      <c r="E636" s="1">
        <v>1</v>
      </c>
      <c r="F636" s="1">
        <v>8</v>
      </c>
      <c r="G636" s="1">
        <v>6</v>
      </c>
      <c r="H636" s="1">
        <v>2</v>
      </c>
      <c r="I636" s="1">
        <v>2</v>
      </c>
      <c r="J636" s="1">
        <v>3</v>
      </c>
      <c r="K636" s="1">
        <v>3</v>
      </c>
      <c r="L636" s="1">
        <v>6</v>
      </c>
      <c r="M636" s="1">
        <v>23</v>
      </c>
      <c r="P636">
        <v>8.9030671296296299E-2</v>
      </c>
      <c r="Q636">
        <v>0.24156283068783069</v>
      </c>
    </row>
    <row r="637" spans="1:17">
      <c r="A637" s="1">
        <v>96</v>
      </c>
      <c r="B637" s="1">
        <v>1</v>
      </c>
      <c r="C637" s="1">
        <v>1</v>
      </c>
      <c r="D637" s="1">
        <v>0</v>
      </c>
      <c r="E637" s="1">
        <v>1</v>
      </c>
      <c r="F637" s="1">
        <v>9</v>
      </c>
      <c r="G637" s="1">
        <v>6</v>
      </c>
      <c r="H637" s="1">
        <v>2</v>
      </c>
      <c r="I637" s="1">
        <v>2</v>
      </c>
      <c r="J637" s="1">
        <v>3</v>
      </c>
      <c r="K637" s="1">
        <v>3</v>
      </c>
      <c r="L637" s="1">
        <v>6</v>
      </c>
      <c r="M637" s="1">
        <v>23</v>
      </c>
      <c r="P637">
        <v>9.4982638888888887E-2</v>
      </c>
      <c r="Q637">
        <v>0.25574206349206352</v>
      </c>
    </row>
    <row r="638" spans="1:17">
      <c r="A638" s="1">
        <v>97</v>
      </c>
      <c r="B638" s="1">
        <v>1</v>
      </c>
      <c r="C638" s="1">
        <v>1</v>
      </c>
      <c r="D638" s="1">
        <v>1</v>
      </c>
      <c r="E638" s="1">
        <v>1</v>
      </c>
      <c r="F638" s="1">
        <v>19</v>
      </c>
      <c r="G638" s="1">
        <v>6</v>
      </c>
      <c r="H638" s="1">
        <v>3</v>
      </c>
      <c r="I638" s="1">
        <v>2</v>
      </c>
      <c r="J638" s="1">
        <v>5</v>
      </c>
      <c r="K638" s="1">
        <v>6</v>
      </c>
      <c r="L638" s="1">
        <v>6</v>
      </c>
      <c r="M638" s="1">
        <v>23</v>
      </c>
      <c r="P638">
        <v>0.29624710648148145</v>
      </c>
      <c r="Q638">
        <v>0.35117129629629634</v>
      </c>
    </row>
    <row r="639" spans="1:17">
      <c r="A639" s="1">
        <v>98</v>
      </c>
      <c r="B639" s="1">
        <v>1</v>
      </c>
      <c r="C639" s="1">
        <v>1</v>
      </c>
      <c r="D639" s="1">
        <v>1</v>
      </c>
      <c r="E639" s="1">
        <v>1</v>
      </c>
      <c r="F639" s="1">
        <v>25</v>
      </c>
      <c r="G639" s="1">
        <v>18</v>
      </c>
      <c r="H639" s="1">
        <v>3</v>
      </c>
      <c r="I639" s="1">
        <v>2</v>
      </c>
      <c r="J639" s="1">
        <v>6</v>
      </c>
      <c r="K639" s="1">
        <v>7</v>
      </c>
      <c r="L639" s="1">
        <v>6</v>
      </c>
      <c r="M639" s="1">
        <v>23</v>
      </c>
      <c r="P639">
        <v>0.23579282407407401</v>
      </c>
      <c r="Q639">
        <v>0.4251719576719577</v>
      </c>
    </row>
    <row r="640" spans="1:17">
      <c r="A640" s="1">
        <v>99</v>
      </c>
      <c r="B640" s="1">
        <v>1</v>
      </c>
      <c r="C640" s="1">
        <v>1</v>
      </c>
      <c r="D640" s="1">
        <v>1</v>
      </c>
      <c r="E640" s="1">
        <v>0</v>
      </c>
      <c r="F640" s="1">
        <v>26</v>
      </c>
      <c r="G640" s="1">
        <v>18</v>
      </c>
      <c r="H640" s="1">
        <v>3</v>
      </c>
      <c r="I640" s="1">
        <v>2</v>
      </c>
      <c r="J640" s="1">
        <v>6</v>
      </c>
      <c r="K640" s="1">
        <v>7</v>
      </c>
      <c r="L640" s="1">
        <v>6</v>
      </c>
      <c r="M640" s="1">
        <v>23</v>
      </c>
      <c r="P640">
        <v>0.51425781250000002</v>
      </c>
      <c r="Q640">
        <v>0.71056547619047616</v>
      </c>
    </row>
    <row r="641" spans="1:18">
      <c r="A641" s="1">
        <v>100</v>
      </c>
      <c r="B641" s="1">
        <v>1</v>
      </c>
      <c r="C641" s="1">
        <v>1</v>
      </c>
      <c r="D641" s="1">
        <v>1</v>
      </c>
      <c r="E641" s="1">
        <v>1</v>
      </c>
      <c r="F641" s="1">
        <v>22</v>
      </c>
      <c r="G641" s="1">
        <v>18</v>
      </c>
      <c r="H641" s="1">
        <v>3</v>
      </c>
      <c r="I641" s="1">
        <v>2</v>
      </c>
      <c r="J641" s="1">
        <v>6</v>
      </c>
      <c r="K641" s="1">
        <v>7</v>
      </c>
      <c r="L641" s="1">
        <v>6</v>
      </c>
      <c r="M641" s="1">
        <v>23</v>
      </c>
      <c r="P641">
        <v>0.9226967592592592</v>
      </c>
      <c r="Q641">
        <v>0.33120899470899468</v>
      </c>
    </row>
    <row r="642" spans="1:18">
      <c r="A642" s="1">
        <v>101</v>
      </c>
      <c r="B642" s="1">
        <v>1</v>
      </c>
      <c r="C642" s="1">
        <v>1</v>
      </c>
      <c r="D642" s="1">
        <v>1</v>
      </c>
      <c r="E642" s="1">
        <v>1</v>
      </c>
      <c r="F642" s="1">
        <v>13</v>
      </c>
      <c r="G642" s="1">
        <v>6</v>
      </c>
      <c r="H642" s="1">
        <v>3</v>
      </c>
      <c r="I642" s="1">
        <v>2</v>
      </c>
      <c r="J642" s="1">
        <v>5</v>
      </c>
      <c r="K642" s="1">
        <v>5</v>
      </c>
      <c r="L642" s="1">
        <v>6</v>
      </c>
      <c r="M642" s="1">
        <v>23</v>
      </c>
      <c r="P642">
        <v>0.23724247685185182</v>
      </c>
      <c r="Q642">
        <v>0.43020965608465611</v>
      </c>
    </row>
    <row r="643" spans="1:18">
      <c r="A643" s="1">
        <v>102</v>
      </c>
      <c r="B643" s="1">
        <v>0</v>
      </c>
      <c r="C643" s="1">
        <v>1</v>
      </c>
      <c r="D643" s="1">
        <v>0</v>
      </c>
      <c r="E643" s="1">
        <v>1</v>
      </c>
      <c r="F643" s="1">
        <v>4</v>
      </c>
      <c r="G643" s="1">
        <v>6</v>
      </c>
      <c r="H643" s="1">
        <v>1</v>
      </c>
      <c r="I643" s="1">
        <v>2</v>
      </c>
      <c r="J643" s="1">
        <v>2</v>
      </c>
      <c r="K643" s="1">
        <v>2</v>
      </c>
      <c r="L643" s="1">
        <v>6</v>
      </c>
      <c r="M643" s="1">
        <v>23</v>
      </c>
      <c r="P643">
        <v>5.3350694444444444E-2</v>
      </c>
      <c r="Q643">
        <v>0.4881388888888889</v>
      </c>
    </row>
    <row r="644" spans="1:18">
      <c r="A644" s="1">
        <v>103</v>
      </c>
      <c r="B644" s="1">
        <v>0</v>
      </c>
      <c r="C644" s="1">
        <v>1</v>
      </c>
      <c r="D644" s="1">
        <v>1</v>
      </c>
      <c r="E644" s="1">
        <v>1</v>
      </c>
      <c r="F644" s="1">
        <v>10</v>
      </c>
      <c r="G644" s="1">
        <v>6</v>
      </c>
      <c r="H644" s="1">
        <v>2</v>
      </c>
      <c r="I644" s="1">
        <v>2</v>
      </c>
      <c r="J644" s="1">
        <v>4</v>
      </c>
      <c r="K644" s="1">
        <v>4</v>
      </c>
      <c r="L644" s="1">
        <v>6</v>
      </c>
      <c r="M644" s="1">
        <v>23</v>
      </c>
      <c r="P644">
        <v>8.1958912037037035E-2</v>
      </c>
      <c r="Q644">
        <v>4.1038359788359794E-3</v>
      </c>
    </row>
    <row r="645" spans="1:18">
      <c r="A645" s="1">
        <v>104</v>
      </c>
      <c r="B645" s="1">
        <v>0</v>
      </c>
      <c r="C645" s="1">
        <v>1</v>
      </c>
      <c r="D645" s="1">
        <v>1</v>
      </c>
      <c r="E645" s="1">
        <v>1</v>
      </c>
      <c r="F645" s="1">
        <v>12</v>
      </c>
      <c r="G645" s="1">
        <v>6</v>
      </c>
      <c r="H645" s="1">
        <v>2</v>
      </c>
      <c r="I645" s="1">
        <v>2</v>
      </c>
      <c r="J645" s="1">
        <v>4</v>
      </c>
      <c r="K645" s="1">
        <v>4</v>
      </c>
      <c r="L645" s="1">
        <v>6</v>
      </c>
      <c r="M645" s="1">
        <v>23</v>
      </c>
      <c r="P645">
        <v>1.19212962962963E-3</v>
      </c>
      <c r="Q645">
        <v>0.11292592592592593</v>
      </c>
    </row>
    <row r="646" spans="1:18">
      <c r="A646" s="1">
        <v>105</v>
      </c>
      <c r="B646" s="1">
        <v>1</v>
      </c>
      <c r="C646" s="1">
        <v>1</v>
      </c>
      <c r="D646" s="1">
        <v>1</v>
      </c>
      <c r="E646" s="1">
        <v>1</v>
      </c>
      <c r="F646" s="1">
        <v>14</v>
      </c>
      <c r="G646" s="1">
        <v>6</v>
      </c>
      <c r="H646" s="1">
        <v>3</v>
      </c>
      <c r="I646" s="1">
        <v>2</v>
      </c>
      <c r="J646" s="1">
        <v>5</v>
      </c>
      <c r="K646" s="1">
        <v>5</v>
      </c>
      <c r="L646" s="1">
        <v>6</v>
      </c>
      <c r="M646" s="1">
        <v>23</v>
      </c>
      <c r="P646">
        <v>0.28058159722222209</v>
      </c>
      <c r="Q646">
        <v>0.48514087301587305</v>
      </c>
    </row>
    <row r="647" spans="1:18">
      <c r="A647" s="1">
        <v>106</v>
      </c>
      <c r="B647" s="1">
        <v>1</v>
      </c>
      <c r="C647" s="1">
        <v>1</v>
      </c>
      <c r="D647" s="1">
        <v>1</v>
      </c>
      <c r="E647" s="1">
        <v>0</v>
      </c>
      <c r="F647" s="1">
        <v>19</v>
      </c>
      <c r="G647" s="1">
        <v>6</v>
      </c>
      <c r="H647" s="1">
        <v>3</v>
      </c>
      <c r="I647" s="1">
        <v>2</v>
      </c>
      <c r="J647" s="1">
        <v>5</v>
      </c>
      <c r="K647" s="1">
        <v>6</v>
      </c>
      <c r="L647" s="1">
        <v>6</v>
      </c>
      <c r="M647" s="1">
        <v>23</v>
      </c>
      <c r="P647">
        <v>0.21453993055555556</v>
      </c>
      <c r="Q647">
        <v>0.44143518518518526</v>
      </c>
    </row>
    <row r="648" spans="1:18">
      <c r="A648" s="1">
        <v>107</v>
      </c>
      <c r="B648" s="1">
        <v>1</v>
      </c>
      <c r="C648" s="1">
        <v>1</v>
      </c>
      <c r="D648" s="1">
        <v>1</v>
      </c>
      <c r="E648" s="1">
        <v>1</v>
      </c>
      <c r="F648" s="1">
        <v>26</v>
      </c>
      <c r="G648" s="1">
        <v>18</v>
      </c>
      <c r="H648" s="1">
        <v>3</v>
      </c>
      <c r="I648" s="1">
        <v>2</v>
      </c>
      <c r="J648" s="1">
        <v>6</v>
      </c>
      <c r="K648" s="1">
        <v>7</v>
      </c>
      <c r="L648" s="1">
        <v>6</v>
      </c>
      <c r="M648" s="1">
        <v>23</v>
      </c>
      <c r="P648">
        <v>0.2893605324074075</v>
      </c>
      <c r="Q648">
        <v>0.38939219576719597</v>
      </c>
    </row>
    <row r="649" spans="1:18">
      <c r="A649" s="1">
        <v>108</v>
      </c>
      <c r="B649" s="1">
        <v>1</v>
      </c>
      <c r="C649" s="1">
        <v>0</v>
      </c>
      <c r="D649" s="1">
        <v>0</v>
      </c>
      <c r="E649" s="1">
        <v>1</v>
      </c>
      <c r="F649" s="1">
        <v>2</v>
      </c>
      <c r="G649" s="1">
        <v>6</v>
      </c>
      <c r="H649" s="1">
        <v>1</v>
      </c>
      <c r="I649" s="1">
        <v>2</v>
      </c>
      <c r="J649" s="1">
        <v>1</v>
      </c>
      <c r="K649" s="1">
        <v>1</v>
      </c>
      <c r="L649" s="1">
        <v>6</v>
      </c>
      <c r="M649" s="1">
        <v>23</v>
      </c>
      <c r="P649">
        <v>0.27109375000000002</v>
      </c>
      <c r="Q649">
        <v>0.39374999999999999</v>
      </c>
    </row>
    <row r="650" spans="1:18">
      <c r="A650" s="1">
        <v>1</v>
      </c>
      <c r="B650" s="1">
        <v>1</v>
      </c>
      <c r="C650" s="1">
        <v>1</v>
      </c>
      <c r="D650" s="1">
        <v>1</v>
      </c>
      <c r="E650" s="1">
        <v>0</v>
      </c>
      <c r="F650" s="1">
        <v>14</v>
      </c>
      <c r="G650" s="1">
        <v>6</v>
      </c>
      <c r="H650" s="1">
        <v>3</v>
      </c>
      <c r="I650" s="1">
        <v>1</v>
      </c>
      <c r="J650" s="1">
        <v>5</v>
      </c>
      <c r="K650" s="1">
        <v>5</v>
      </c>
      <c r="L650" s="1">
        <v>7</v>
      </c>
      <c r="M650" s="1">
        <v>28</v>
      </c>
      <c r="N650" s="1">
        <v>31</v>
      </c>
      <c r="O650" s="1">
        <v>38</v>
      </c>
      <c r="P650">
        <v>0.2109244677748616</v>
      </c>
      <c r="Q650">
        <v>0.31311302681992331</v>
      </c>
      <c r="R650">
        <v>4.9554545454545448E-2</v>
      </c>
    </row>
    <row r="651" spans="1:18">
      <c r="A651" s="1">
        <v>2</v>
      </c>
      <c r="B651" s="1">
        <v>1</v>
      </c>
      <c r="C651" s="1">
        <v>1</v>
      </c>
      <c r="D651" s="1">
        <v>1</v>
      </c>
      <c r="E651" s="1">
        <v>0</v>
      </c>
      <c r="F651" s="1">
        <v>15</v>
      </c>
      <c r="G651" s="1">
        <v>6</v>
      </c>
      <c r="H651" s="1">
        <v>3</v>
      </c>
      <c r="I651" s="1">
        <v>1</v>
      </c>
      <c r="J651" s="1">
        <v>5</v>
      </c>
      <c r="K651" s="1">
        <v>5</v>
      </c>
      <c r="L651" s="1">
        <v>7</v>
      </c>
      <c r="M651" s="1">
        <v>28</v>
      </c>
      <c r="N651" s="1">
        <v>31</v>
      </c>
      <c r="O651" s="1">
        <v>38</v>
      </c>
      <c r="P651">
        <v>0.22641586468358135</v>
      </c>
      <c r="Q651">
        <v>0.41208812260536409</v>
      </c>
      <c r="R651">
        <v>5.6272727272727273E-2</v>
      </c>
    </row>
    <row r="652" spans="1:18">
      <c r="A652" s="1">
        <v>3</v>
      </c>
      <c r="B652" s="1">
        <v>1</v>
      </c>
      <c r="C652" s="1">
        <v>1</v>
      </c>
      <c r="D652" s="1">
        <v>1</v>
      </c>
      <c r="E652" s="1">
        <v>0</v>
      </c>
      <c r="F652" s="1">
        <v>13</v>
      </c>
      <c r="G652" s="1">
        <v>6</v>
      </c>
      <c r="H652" s="1">
        <v>3</v>
      </c>
      <c r="I652" s="1">
        <v>1</v>
      </c>
      <c r="J652" s="1">
        <v>5</v>
      </c>
      <c r="K652" s="1">
        <v>5</v>
      </c>
      <c r="L652" s="1">
        <v>7</v>
      </c>
      <c r="M652" s="1">
        <v>28</v>
      </c>
      <c r="N652" s="1">
        <v>31</v>
      </c>
      <c r="O652" s="1">
        <v>38</v>
      </c>
      <c r="P652">
        <v>0.23954505686789163</v>
      </c>
      <c r="Q652">
        <v>0.34037356321839074</v>
      </c>
      <c r="R652">
        <v>4.7195454545454547E-2</v>
      </c>
    </row>
    <row r="653" spans="1:18">
      <c r="A653" s="1">
        <v>4</v>
      </c>
      <c r="B653" s="1">
        <v>1</v>
      </c>
      <c r="C653" s="1">
        <v>0</v>
      </c>
      <c r="D653" s="1">
        <v>0</v>
      </c>
      <c r="E653" s="1">
        <v>0</v>
      </c>
      <c r="F653" s="1">
        <v>1</v>
      </c>
      <c r="G653" s="1">
        <v>6</v>
      </c>
      <c r="H653" s="1">
        <v>1</v>
      </c>
      <c r="I653" s="1">
        <v>1</v>
      </c>
      <c r="J653" s="1">
        <v>1</v>
      </c>
      <c r="K653" s="1">
        <v>1</v>
      </c>
      <c r="L653" s="1">
        <v>7</v>
      </c>
      <c r="M653" s="1">
        <v>28</v>
      </c>
      <c r="N653" s="1">
        <v>31</v>
      </c>
      <c r="O653" s="1">
        <v>38</v>
      </c>
      <c r="P653">
        <v>0.22905220180810723</v>
      </c>
      <c r="Q653">
        <v>0.31348659003831408</v>
      </c>
      <c r="R653">
        <v>5.3531818181818173E-2</v>
      </c>
    </row>
    <row r="654" spans="1:18">
      <c r="A654" s="1">
        <v>5</v>
      </c>
      <c r="B654" s="1">
        <v>1</v>
      </c>
      <c r="C654" s="1">
        <v>1</v>
      </c>
      <c r="D654" s="1">
        <v>0</v>
      </c>
      <c r="E654" s="1">
        <v>0</v>
      </c>
      <c r="F654" s="1">
        <v>8</v>
      </c>
      <c r="G654" s="1">
        <v>6</v>
      </c>
      <c r="H654" s="1">
        <v>2</v>
      </c>
      <c r="I654" s="1">
        <v>1</v>
      </c>
      <c r="J654" s="1">
        <v>3</v>
      </c>
      <c r="K654" s="1">
        <v>3</v>
      </c>
      <c r="L654" s="1">
        <v>7</v>
      </c>
      <c r="M654" s="1">
        <v>28</v>
      </c>
      <c r="N654" s="1">
        <v>31</v>
      </c>
      <c r="O654" s="1">
        <v>38</v>
      </c>
      <c r="P654">
        <v>0.25084281131525232</v>
      </c>
      <c r="Q654">
        <v>0.32453065134099618</v>
      </c>
      <c r="R654">
        <v>5.0740909090909107E-2</v>
      </c>
    </row>
    <row r="655" spans="1:18">
      <c r="A655" s="1">
        <v>6</v>
      </c>
      <c r="B655" s="1">
        <v>1</v>
      </c>
      <c r="C655" s="1">
        <v>0</v>
      </c>
      <c r="D655" s="1">
        <v>0</v>
      </c>
      <c r="E655" s="1">
        <v>0</v>
      </c>
      <c r="F655" s="1">
        <v>2</v>
      </c>
      <c r="G655" s="1">
        <v>6</v>
      </c>
      <c r="H655" s="1">
        <v>1</v>
      </c>
      <c r="I655" s="1">
        <v>1</v>
      </c>
      <c r="J655" s="1">
        <v>1</v>
      </c>
      <c r="K655" s="1">
        <v>1</v>
      </c>
      <c r="L655" s="1">
        <v>7</v>
      </c>
      <c r="M655" s="1">
        <v>28</v>
      </c>
      <c r="N655" s="1">
        <v>31</v>
      </c>
      <c r="O655" s="1">
        <v>38</v>
      </c>
      <c r="P655">
        <v>0.202554680664917</v>
      </c>
      <c r="Q655">
        <v>0.23298850574712643</v>
      </c>
      <c r="R655">
        <v>4.6309090909090897E-2</v>
      </c>
    </row>
    <row r="656" spans="1:18">
      <c r="A656" s="1">
        <v>7</v>
      </c>
      <c r="B656" s="1">
        <v>1</v>
      </c>
      <c r="C656" s="1">
        <v>1</v>
      </c>
      <c r="D656" s="1">
        <v>1</v>
      </c>
      <c r="E656" s="1">
        <v>0</v>
      </c>
      <c r="F656" s="1">
        <v>24</v>
      </c>
      <c r="G656" s="1">
        <v>18</v>
      </c>
      <c r="H656" s="1">
        <v>3</v>
      </c>
      <c r="I656" s="1">
        <v>1</v>
      </c>
      <c r="J656" s="1">
        <v>6</v>
      </c>
      <c r="K656" s="1">
        <v>7</v>
      </c>
      <c r="L656" s="1">
        <v>7</v>
      </c>
      <c r="M656" s="1">
        <v>28</v>
      </c>
      <c r="N656" s="1">
        <v>31</v>
      </c>
      <c r="O656" s="1">
        <v>38</v>
      </c>
      <c r="P656">
        <v>0.28103820355788861</v>
      </c>
      <c r="Q656">
        <v>0.40523946360153251</v>
      </c>
      <c r="R656">
        <v>4.1831818181818164E-2</v>
      </c>
    </row>
    <row r="657" spans="1:18">
      <c r="A657" s="1">
        <v>8</v>
      </c>
      <c r="B657" s="1">
        <v>1</v>
      </c>
      <c r="C657" s="1">
        <v>1</v>
      </c>
      <c r="D657" s="1">
        <v>1</v>
      </c>
      <c r="E657" s="1">
        <v>0</v>
      </c>
      <c r="F657" s="1">
        <v>26</v>
      </c>
      <c r="G657" s="1">
        <v>18</v>
      </c>
      <c r="H657" s="1">
        <v>3</v>
      </c>
      <c r="I657" s="1">
        <v>1</v>
      </c>
      <c r="J657" s="1">
        <v>6</v>
      </c>
      <c r="K657" s="1">
        <v>7</v>
      </c>
      <c r="L657" s="1">
        <v>7</v>
      </c>
      <c r="M657" s="1">
        <v>28</v>
      </c>
      <c r="N657" s="1">
        <v>31</v>
      </c>
      <c r="O657" s="1">
        <v>38</v>
      </c>
      <c r="P657">
        <v>0.26582093904928555</v>
      </c>
      <c r="Q657">
        <v>0.34559386973180073</v>
      </c>
      <c r="R657">
        <v>5.0009090909090934E-2</v>
      </c>
    </row>
    <row r="658" spans="1:18">
      <c r="A658" s="1">
        <v>9</v>
      </c>
      <c r="B658" s="1">
        <v>1</v>
      </c>
      <c r="C658" s="1">
        <v>1</v>
      </c>
      <c r="D658" s="1">
        <v>1</v>
      </c>
      <c r="E658" s="1">
        <v>0</v>
      </c>
      <c r="F658" s="1">
        <v>21</v>
      </c>
      <c r="G658" s="1">
        <v>18</v>
      </c>
      <c r="H658" s="1">
        <v>3</v>
      </c>
      <c r="I658" s="1">
        <v>1</v>
      </c>
      <c r="J658" s="1">
        <v>6</v>
      </c>
      <c r="K658" s="1">
        <v>7</v>
      </c>
      <c r="L658" s="1">
        <v>7</v>
      </c>
      <c r="M658" s="1">
        <v>28</v>
      </c>
      <c r="N658" s="1">
        <v>31</v>
      </c>
      <c r="O658" s="1">
        <v>38</v>
      </c>
      <c r="P658">
        <v>0.36398950131233609</v>
      </c>
      <c r="Q658">
        <v>0.43853448275862078</v>
      </c>
      <c r="R658">
        <v>4.9686363636363647E-2</v>
      </c>
    </row>
    <row r="659" spans="1:18">
      <c r="A659" s="1">
        <v>10</v>
      </c>
      <c r="B659" s="1">
        <v>1</v>
      </c>
      <c r="C659" s="1">
        <v>1</v>
      </c>
      <c r="D659" s="1">
        <v>1</v>
      </c>
      <c r="E659" s="1">
        <v>0</v>
      </c>
      <c r="F659" s="1">
        <v>25</v>
      </c>
      <c r="G659" s="1">
        <v>18</v>
      </c>
      <c r="H659" s="1">
        <v>3</v>
      </c>
      <c r="I659" s="1">
        <v>1</v>
      </c>
      <c r="J659" s="1">
        <v>6</v>
      </c>
      <c r="K659" s="1">
        <v>7</v>
      </c>
      <c r="L659" s="1">
        <v>7</v>
      </c>
      <c r="M659" s="1">
        <v>28</v>
      </c>
      <c r="N659" s="1">
        <v>31</v>
      </c>
      <c r="O659" s="1">
        <v>38</v>
      </c>
      <c r="P659">
        <v>0.54719743365412654</v>
      </c>
      <c r="Q659">
        <v>0.50992337164750956</v>
      </c>
      <c r="R659">
        <v>6.0104545454545445E-2</v>
      </c>
    </row>
    <row r="660" spans="1:18">
      <c r="A660" s="1">
        <v>11</v>
      </c>
      <c r="B660" s="1">
        <v>1</v>
      </c>
      <c r="C660" s="1">
        <v>1</v>
      </c>
      <c r="D660" s="1">
        <v>1</v>
      </c>
      <c r="E660" s="1">
        <v>0</v>
      </c>
      <c r="F660" s="1">
        <v>20</v>
      </c>
      <c r="G660" s="1">
        <v>18</v>
      </c>
      <c r="H660" s="1">
        <v>3</v>
      </c>
      <c r="I660" s="1">
        <v>1</v>
      </c>
      <c r="J660" s="1">
        <v>6</v>
      </c>
      <c r="K660" s="1">
        <v>7</v>
      </c>
      <c r="L660" s="1">
        <v>7</v>
      </c>
      <c r="M660" s="1">
        <v>28</v>
      </c>
      <c r="N660" s="1">
        <v>31</v>
      </c>
      <c r="O660" s="1">
        <v>38</v>
      </c>
      <c r="P660">
        <v>0.31150772820064165</v>
      </c>
      <c r="Q660">
        <v>0.35458812260536393</v>
      </c>
      <c r="R660">
        <v>5.2999999999999999E-2</v>
      </c>
    </row>
    <row r="661" spans="1:18">
      <c r="A661" s="1">
        <v>12</v>
      </c>
      <c r="B661" s="1">
        <v>1</v>
      </c>
      <c r="C661" s="1">
        <v>1</v>
      </c>
      <c r="D661" s="1">
        <v>1</v>
      </c>
      <c r="E661" s="1">
        <v>1</v>
      </c>
      <c r="F661" s="1">
        <v>18</v>
      </c>
      <c r="G661" s="1">
        <v>6</v>
      </c>
      <c r="H661" s="1">
        <v>3</v>
      </c>
      <c r="I661" s="1">
        <v>1</v>
      </c>
      <c r="J661" s="1">
        <v>5</v>
      </c>
      <c r="K661" s="1">
        <v>6</v>
      </c>
      <c r="L661" s="1">
        <v>7</v>
      </c>
      <c r="M661" s="1">
        <v>28</v>
      </c>
      <c r="N661" s="1">
        <v>31</v>
      </c>
      <c r="O661" s="1">
        <v>38</v>
      </c>
      <c r="P661">
        <v>0.12699912510936132</v>
      </c>
      <c r="Q661">
        <v>0.11733716475095782</v>
      </c>
      <c r="R661">
        <v>4.1977272727272717E-2</v>
      </c>
    </row>
    <row r="662" spans="1:18">
      <c r="A662" s="1">
        <v>13</v>
      </c>
      <c r="B662" s="1">
        <v>1</v>
      </c>
      <c r="C662" s="1">
        <v>1</v>
      </c>
      <c r="D662" s="1">
        <v>1</v>
      </c>
      <c r="E662" s="1">
        <v>1</v>
      </c>
      <c r="F662" s="1">
        <v>25</v>
      </c>
      <c r="G662" s="1">
        <v>18</v>
      </c>
      <c r="H662" s="1">
        <v>3</v>
      </c>
      <c r="I662" s="1">
        <v>1</v>
      </c>
      <c r="J662" s="1">
        <v>6</v>
      </c>
      <c r="K662" s="1">
        <v>7</v>
      </c>
      <c r="L662" s="1">
        <v>7</v>
      </c>
      <c r="M662" s="1">
        <v>28</v>
      </c>
      <c r="N662" s="1">
        <v>31</v>
      </c>
      <c r="O662" s="1">
        <v>38</v>
      </c>
      <c r="P662">
        <v>0.22917031204432783</v>
      </c>
      <c r="Q662">
        <v>0.18447876756066411</v>
      </c>
      <c r="R662">
        <v>4.3872727272727265E-2</v>
      </c>
    </row>
    <row r="663" spans="1:18">
      <c r="A663" s="1">
        <v>14</v>
      </c>
      <c r="B663" s="1">
        <v>1</v>
      </c>
      <c r="C663" s="1">
        <v>1</v>
      </c>
      <c r="D663" s="1">
        <v>1</v>
      </c>
      <c r="E663" s="1">
        <v>1</v>
      </c>
      <c r="F663" s="1">
        <v>14</v>
      </c>
      <c r="G663" s="1">
        <v>6</v>
      </c>
      <c r="H663" s="1">
        <v>3</v>
      </c>
      <c r="I663" s="1">
        <v>1</v>
      </c>
      <c r="J663" s="1">
        <v>5</v>
      </c>
      <c r="K663" s="1">
        <v>5</v>
      </c>
      <c r="L663" s="1">
        <v>7</v>
      </c>
      <c r="M663" s="1">
        <v>28</v>
      </c>
      <c r="N663" s="1">
        <v>31</v>
      </c>
      <c r="O663" s="1">
        <v>38</v>
      </c>
      <c r="P663">
        <v>0.19197142023913674</v>
      </c>
      <c r="Q663">
        <v>0.16368933588761175</v>
      </c>
      <c r="R663">
        <v>3.963636363636365E-2</v>
      </c>
    </row>
    <row r="664" spans="1:18">
      <c r="A664" s="1">
        <v>15</v>
      </c>
      <c r="B664" s="1">
        <v>1</v>
      </c>
      <c r="C664" s="1">
        <v>1</v>
      </c>
      <c r="D664" s="1">
        <v>1</v>
      </c>
      <c r="E664" s="1">
        <v>0</v>
      </c>
      <c r="F664" s="1">
        <v>18</v>
      </c>
      <c r="G664" s="1">
        <v>6</v>
      </c>
      <c r="H664" s="1">
        <v>3</v>
      </c>
      <c r="I664" s="1">
        <v>1</v>
      </c>
      <c r="J664" s="1">
        <v>5</v>
      </c>
      <c r="K664" s="1">
        <v>6</v>
      </c>
      <c r="L664" s="1">
        <v>7</v>
      </c>
      <c r="M664" s="1">
        <v>28</v>
      </c>
      <c r="N664" s="1">
        <v>31</v>
      </c>
      <c r="O664" s="1">
        <v>38</v>
      </c>
      <c r="P664">
        <v>0.20339457567804034</v>
      </c>
      <c r="Q664">
        <v>0.32979885057471264</v>
      </c>
      <c r="R664">
        <v>4.6727272727272749E-2</v>
      </c>
    </row>
    <row r="665" spans="1:18">
      <c r="A665" s="1">
        <v>16</v>
      </c>
      <c r="B665" s="1">
        <v>1</v>
      </c>
      <c r="C665" s="1">
        <v>1</v>
      </c>
      <c r="D665" s="1">
        <v>1</v>
      </c>
      <c r="E665" s="1">
        <v>1</v>
      </c>
      <c r="F665" s="1">
        <v>21</v>
      </c>
      <c r="G665" s="1">
        <v>18</v>
      </c>
      <c r="H665" s="1">
        <v>3</v>
      </c>
      <c r="I665" s="1">
        <v>1</v>
      </c>
      <c r="J665" s="1">
        <v>6</v>
      </c>
      <c r="K665" s="1">
        <v>7</v>
      </c>
      <c r="L665" s="1">
        <v>7</v>
      </c>
      <c r="M665" s="1">
        <v>28</v>
      </c>
      <c r="N665" s="1">
        <v>31</v>
      </c>
      <c r="O665" s="1">
        <v>38</v>
      </c>
      <c r="P665">
        <v>0.24670749489647126</v>
      </c>
      <c r="Q665">
        <v>0.21090357598978288</v>
      </c>
      <c r="R665">
        <v>5.0727272727272732E-2</v>
      </c>
    </row>
    <row r="666" spans="1:18">
      <c r="A666" s="1">
        <v>17</v>
      </c>
      <c r="B666" s="1">
        <v>1</v>
      </c>
      <c r="C666" s="1">
        <v>0</v>
      </c>
      <c r="D666" s="1">
        <v>0</v>
      </c>
      <c r="E666" s="1">
        <v>1</v>
      </c>
      <c r="F666" s="1">
        <v>1</v>
      </c>
      <c r="G666" s="1">
        <v>6</v>
      </c>
      <c r="H666" s="1">
        <v>1</v>
      </c>
      <c r="I666" s="1">
        <v>1</v>
      </c>
      <c r="J666" s="1">
        <v>1</v>
      </c>
      <c r="K666" s="1">
        <v>1</v>
      </c>
      <c r="L666" s="1">
        <v>7</v>
      </c>
      <c r="M666" s="1">
        <v>28</v>
      </c>
      <c r="N666" s="1">
        <v>31</v>
      </c>
      <c r="O666" s="1">
        <v>38</v>
      </c>
      <c r="P666">
        <v>0.12446923301254008</v>
      </c>
      <c r="Q666">
        <v>6.4252075351213286E-2</v>
      </c>
      <c r="R666">
        <v>4.34181818181818E-2</v>
      </c>
    </row>
    <row r="667" spans="1:18">
      <c r="A667" s="1">
        <v>18</v>
      </c>
      <c r="B667" s="1">
        <v>1</v>
      </c>
      <c r="C667" s="1">
        <v>1</v>
      </c>
      <c r="D667" s="1">
        <v>1</v>
      </c>
      <c r="E667" s="1">
        <v>0</v>
      </c>
      <c r="F667" s="1">
        <v>22</v>
      </c>
      <c r="G667" s="1">
        <v>18</v>
      </c>
      <c r="H667" s="1">
        <v>3</v>
      </c>
      <c r="I667" s="1">
        <v>1</v>
      </c>
      <c r="J667" s="1">
        <v>6</v>
      </c>
      <c r="K667" s="1">
        <v>7</v>
      </c>
      <c r="L667" s="1">
        <v>7</v>
      </c>
      <c r="M667" s="1">
        <v>28</v>
      </c>
      <c r="N667" s="1">
        <v>31</v>
      </c>
      <c r="O667" s="1">
        <v>38</v>
      </c>
      <c r="P667">
        <v>0.31994750656167981</v>
      </c>
      <c r="Q667">
        <v>0.34655172413793106</v>
      </c>
      <c r="R667">
        <v>4.2995454545454545E-2</v>
      </c>
    </row>
    <row r="668" spans="1:18">
      <c r="A668" s="1">
        <v>19</v>
      </c>
      <c r="B668" s="1">
        <v>1</v>
      </c>
      <c r="C668" s="1">
        <v>1</v>
      </c>
      <c r="D668" s="1">
        <v>1</v>
      </c>
      <c r="E668" s="1">
        <v>1</v>
      </c>
      <c r="F668" s="1">
        <v>26</v>
      </c>
      <c r="G668" s="1">
        <v>18</v>
      </c>
      <c r="H668" s="1">
        <v>3</v>
      </c>
      <c r="I668" s="1">
        <v>1</v>
      </c>
      <c r="J668" s="1">
        <v>6</v>
      </c>
      <c r="K668" s="1">
        <v>7</v>
      </c>
      <c r="L668" s="1">
        <v>7</v>
      </c>
      <c r="M668" s="1">
        <v>28</v>
      </c>
      <c r="N668" s="1">
        <v>31</v>
      </c>
      <c r="O668" s="1">
        <v>38</v>
      </c>
      <c r="P668">
        <v>0.26030766987459891</v>
      </c>
      <c r="Q668">
        <v>0.24163872924648799</v>
      </c>
      <c r="R668">
        <v>4.2936363636363613E-2</v>
      </c>
    </row>
    <row r="669" spans="1:18">
      <c r="A669" s="1">
        <v>20</v>
      </c>
      <c r="B669" s="1">
        <v>1</v>
      </c>
      <c r="C669" s="1">
        <v>1</v>
      </c>
      <c r="D669" s="1">
        <v>1</v>
      </c>
      <c r="E669" s="1">
        <v>0</v>
      </c>
      <c r="F669" s="1">
        <v>17</v>
      </c>
      <c r="G669" s="1">
        <v>6</v>
      </c>
      <c r="H669" s="1">
        <v>3</v>
      </c>
      <c r="I669" s="1">
        <v>1</v>
      </c>
      <c r="J669" s="1">
        <v>5</v>
      </c>
      <c r="K669" s="1">
        <v>6</v>
      </c>
      <c r="L669" s="1">
        <v>7</v>
      </c>
      <c r="M669" s="1">
        <v>28</v>
      </c>
      <c r="N669" s="1">
        <v>31</v>
      </c>
      <c r="O669" s="1">
        <v>38</v>
      </c>
      <c r="P669">
        <v>0.13360746573345003</v>
      </c>
      <c r="Q669">
        <v>0.15657088122605362</v>
      </c>
      <c r="R669">
        <v>3.9140909090909087E-2</v>
      </c>
    </row>
    <row r="670" spans="1:18">
      <c r="A670" s="1">
        <v>21</v>
      </c>
      <c r="B670" s="1">
        <v>1</v>
      </c>
      <c r="C670" s="1">
        <v>1</v>
      </c>
      <c r="D670" s="1">
        <v>1</v>
      </c>
      <c r="E670" s="1">
        <v>0</v>
      </c>
      <c r="F670" s="1">
        <v>19</v>
      </c>
      <c r="G670" s="1">
        <v>6</v>
      </c>
      <c r="H670" s="1">
        <v>3</v>
      </c>
      <c r="I670" s="1">
        <v>1</v>
      </c>
      <c r="J670" s="1">
        <v>5</v>
      </c>
      <c r="K670" s="1">
        <v>6</v>
      </c>
      <c r="L670" s="1">
        <v>7</v>
      </c>
      <c r="M670" s="1">
        <v>28</v>
      </c>
      <c r="N670" s="1">
        <v>31</v>
      </c>
      <c r="O670" s="1">
        <v>38</v>
      </c>
      <c r="P670">
        <v>0.20815398075240596</v>
      </c>
      <c r="Q670">
        <v>0.28744252873563214</v>
      </c>
      <c r="R670">
        <v>3.2104545454545462E-2</v>
      </c>
    </row>
    <row r="671" spans="1:18">
      <c r="A671" s="1">
        <v>22</v>
      </c>
      <c r="B671" s="1">
        <v>1</v>
      </c>
      <c r="C671" s="1">
        <v>0</v>
      </c>
      <c r="D671" s="1">
        <v>0</v>
      </c>
      <c r="E671" s="1">
        <v>0</v>
      </c>
      <c r="F671" s="1">
        <v>3</v>
      </c>
      <c r="G671" s="1">
        <v>6</v>
      </c>
      <c r="H671" s="1">
        <v>1</v>
      </c>
      <c r="I671" s="1">
        <v>1</v>
      </c>
      <c r="J671" s="1">
        <v>1</v>
      </c>
      <c r="K671" s="1">
        <v>1</v>
      </c>
      <c r="L671" s="1">
        <v>7</v>
      </c>
      <c r="M671" s="1">
        <v>28</v>
      </c>
      <c r="N671" s="1">
        <v>31</v>
      </c>
      <c r="O671" s="1">
        <v>38</v>
      </c>
      <c r="P671">
        <v>0.26144065325167692</v>
      </c>
      <c r="Q671">
        <v>0.33383141762452101</v>
      </c>
      <c r="R671">
        <v>4.3549999999999978E-2</v>
      </c>
    </row>
    <row r="672" spans="1:18">
      <c r="A672" s="1">
        <v>23</v>
      </c>
      <c r="B672" s="1">
        <v>1</v>
      </c>
      <c r="C672" s="1">
        <v>1</v>
      </c>
      <c r="D672" s="1">
        <v>1</v>
      </c>
      <c r="E672" s="1">
        <v>1</v>
      </c>
      <c r="F672" s="1">
        <v>24</v>
      </c>
      <c r="G672" s="1">
        <v>18</v>
      </c>
      <c r="H672" s="1">
        <v>3</v>
      </c>
      <c r="I672" s="1">
        <v>1</v>
      </c>
      <c r="J672" s="1">
        <v>6</v>
      </c>
      <c r="K672" s="1">
        <v>7</v>
      </c>
      <c r="L672" s="1">
        <v>7</v>
      </c>
      <c r="M672" s="1">
        <v>28</v>
      </c>
      <c r="N672" s="1">
        <v>31</v>
      </c>
      <c r="O672" s="1">
        <v>38</v>
      </c>
      <c r="P672">
        <v>0.22332312627588219</v>
      </c>
      <c r="Q672">
        <v>0.24037755427841631</v>
      </c>
      <c r="R672">
        <v>4.2050000000000025E-2</v>
      </c>
    </row>
    <row r="673" spans="1:18">
      <c r="A673" s="1">
        <v>24</v>
      </c>
      <c r="B673" s="1">
        <v>1</v>
      </c>
      <c r="C673" s="1">
        <v>1</v>
      </c>
      <c r="D673" s="1">
        <v>1</v>
      </c>
      <c r="E673" s="1">
        <v>0</v>
      </c>
      <c r="F673" s="1">
        <v>16</v>
      </c>
      <c r="G673" s="1">
        <v>6</v>
      </c>
      <c r="H673" s="1">
        <v>3</v>
      </c>
      <c r="I673" s="1">
        <v>1</v>
      </c>
      <c r="J673" s="1">
        <v>5</v>
      </c>
      <c r="K673" s="1">
        <v>6</v>
      </c>
      <c r="L673" s="1">
        <v>7</v>
      </c>
      <c r="M673" s="1">
        <v>28</v>
      </c>
      <c r="N673" s="1">
        <v>31</v>
      </c>
      <c r="O673" s="1">
        <v>38</v>
      </c>
      <c r="P673">
        <v>0.42391951006124257</v>
      </c>
      <c r="Q673">
        <v>0.37660919540229898</v>
      </c>
      <c r="R673">
        <v>4.9700000000000015E-2</v>
      </c>
    </row>
    <row r="674" spans="1:18">
      <c r="A674" s="1">
        <v>25</v>
      </c>
      <c r="B674" s="1">
        <v>0</v>
      </c>
      <c r="C674" s="1">
        <v>1</v>
      </c>
      <c r="D674" s="1">
        <v>1</v>
      </c>
      <c r="E674" s="1">
        <v>0</v>
      </c>
      <c r="F674" s="1">
        <v>10</v>
      </c>
      <c r="G674" s="1">
        <v>6</v>
      </c>
      <c r="H674" s="1">
        <v>2</v>
      </c>
      <c r="I674" s="1">
        <v>1</v>
      </c>
      <c r="J674" s="1">
        <v>4</v>
      </c>
      <c r="K674" s="1">
        <v>4</v>
      </c>
      <c r="L674" s="1">
        <v>7</v>
      </c>
      <c r="M674" s="1">
        <v>28</v>
      </c>
      <c r="N674" s="1">
        <v>31</v>
      </c>
      <c r="O674" s="1">
        <v>38</v>
      </c>
      <c r="P674">
        <v>0.19059200933216688</v>
      </c>
      <c r="Q674">
        <v>0.32903256704980854</v>
      </c>
      <c r="R674">
        <v>4.1895454545454541E-2</v>
      </c>
    </row>
    <row r="675" spans="1:18">
      <c r="A675" s="1">
        <v>26</v>
      </c>
      <c r="B675" s="1">
        <v>0</v>
      </c>
      <c r="C675" s="1">
        <v>1</v>
      </c>
      <c r="D675" s="1">
        <v>0</v>
      </c>
      <c r="E675" s="1">
        <v>0</v>
      </c>
      <c r="F675" s="1">
        <v>6</v>
      </c>
      <c r="G675" s="1">
        <v>6</v>
      </c>
      <c r="H675" s="1">
        <v>1</v>
      </c>
      <c r="I675" s="1">
        <v>1</v>
      </c>
      <c r="J675" s="1">
        <v>2</v>
      </c>
      <c r="K675" s="1">
        <v>2</v>
      </c>
      <c r="L675" s="1">
        <v>7</v>
      </c>
      <c r="M675" s="1">
        <v>28</v>
      </c>
      <c r="N675" s="1">
        <v>31</v>
      </c>
      <c r="O675" s="1">
        <v>38</v>
      </c>
      <c r="P675">
        <v>0.43442986293380004</v>
      </c>
      <c r="Q675">
        <v>0.47973180076628358</v>
      </c>
      <c r="R675">
        <v>4.951363636363635E-2</v>
      </c>
    </row>
    <row r="676" spans="1:18">
      <c r="A676" s="1">
        <v>27</v>
      </c>
      <c r="B676" s="1">
        <v>1</v>
      </c>
      <c r="C676" s="1">
        <v>1</v>
      </c>
      <c r="D676" s="1">
        <v>0</v>
      </c>
      <c r="E676" s="1">
        <v>0</v>
      </c>
      <c r="F676" s="1">
        <v>9</v>
      </c>
      <c r="G676" s="1">
        <v>6</v>
      </c>
      <c r="H676" s="1">
        <v>2</v>
      </c>
      <c r="I676" s="1">
        <v>1</v>
      </c>
      <c r="J676" s="1">
        <v>3</v>
      </c>
      <c r="K676" s="1">
        <v>3</v>
      </c>
      <c r="L676" s="1">
        <v>7</v>
      </c>
      <c r="M676" s="1">
        <v>28</v>
      </c>
      <c r="N676" s="1">
        <v>31</v>
      </c>
      <c r="O676" s="1">
        <v>38</v>
      </c>
      <c r="P676">
        <v>0.18614173228346456</v>
      </c>
      <c r="Q676">
        <v>0.20629310344827578</v>
      </c>
      <c r="R676">
        <v>4.1172727272727278E-2</v>
      </c>
    </row>
    <row r="677" spans="1:18">
      <c r="A677" s="1">
        <v>28</v>
      </c>
      <c r="B677" s="1">
        <v>1</v>
      </c>
      <c r="C677" s="1">
        <v>1</v>
      </c>
      <c r="D677" s="1">
        <v>0</v>
      </c>
      <c r="E677" s="1">
        <v>0</v>
      </c>
      <c r="F677" s="1">
        <v>7</v>
      </c>
      <c r="G677" s="1">
        <v>6</v>
      </c>
      <c r="H677" s="1">
        <v>2</v>
      </c>
      <c r="I677" s="1">
        <v>1</v>
      </c>
      <c r="J677" s="1">
        <v>3</v>
      </c>
      <c r="K677" s="1">
        <v>3</v>
      </c>
      <c r="L677" s="1">
        <v>7</v>
      </c>
      <c r="M677" s="1">
        <v>28</v>
      </c>
      <c r="N677" s="1">
        <v>31</v>
      </c>
      <c r="O677" s="1">
        <v>38</v>
      </c>
      <c r="P677">
        <v>0.32131816856226308</v>
      </c>
      <c r="Q677">
        <v>0.3294061302681992</v>
      </c>
      <c r="R677">
        <v>5.2913636363636378E-2</v>
      </c>
    </row>
    <row r="678" spans="1:18">
      <c r="A678" s="1">
        <v>29</v>
      </c>
      <c r="B678" s="1">
        <v>1</v>
      </c>
      <c r="C678" s="1">
        <v>1</v>
      </c>
      <c r="D678" s="1">
        <v>1</v>
      </c>
      <c r="E678" s="1">
        <v>0</v>
      </c>
      <c r="F678" s="1">
        <v>23</v>
      </c>
      <c r="G678" s="1">
        <v>18</v>
      </c>
      <c r="H678" s="1">
        <v>3</v>
      </c>
      <c r="I678" s="1">
        <v>1</v>
      </c>
      <c r="J678" s="1">
        <v>6</v>
      </c>
      <c r="K678" s="1">
        <v>7</v>
      </c>
      <c r="L678" s="1">
        <v>7</v>
      </c>
      <c r="M678" s="1">
        <v>28</v>
      </c>
      <c r="N678" s="1">
        <v>31</v>
      </c>
      <c r="O678" s="1">
        <v>38</v>
      </c>
      <c r="P678">
        <v>0.17932925051035292</v>
      </c>
      <c r="Q678">
        <v>0.20682950191570887</v>
      </c>
      <c r="R678">
        <v>4.2449999999999995E-2</v>
      </c>
    </row>
    <row r="679" spans="1:18">
      <c r="A679" s="1">
        <v>30</v>
      </c>
      <c r="B679" s="1">
        <v>0</v>
      </c>
      <c r="C679" s="1">
        <v>1</v>
      </c>
      <c r="D679" s="1">
        <v>0</v>
      </c>
      <c r="E679" s="1">
        <v>0</v>
      </c>
      <c r="F679" s="1">
        <v>4</v>
      </c>
      <c r="G679" s="1">
        <v>6</v>
      </c>
      <c r="H679" s="1">
        <v>1</v>
      </c>
      <c r="I679" s="1">
        <v>1</v>
      </c>
      <c r="J679" s="1">
        <v>2</v>
      </c>
      <c r="K679" s="1">
        <v>2</v>
      </c>
      <c r="L679" s="1">
        <v>7</v>
      </c>
      <c r="M679" s="1">
        <v>28</v>
      </c>
      <c r="N679" s="1">
        <v>31</v>
      </c>
      <c r="O679" s="1">
        <v>38</v>
      </c>
      <c r="P679">
        <v>0.31608048993875776</v>
      </c>
      <c r="Q679">
        <v>0.39287356321839073</v>
      </c>
      <c r="R679">
        <v>4.78590909090909E-2</v>
      </c>
    </row>
    <row r="680" spans="1:18">
      <c r="A680" s="1">
        <v>31</v>
      </c>
      <c r="B680" s="1">
        <v>1</v>
      </c>
      <c r="C680" s="1">
        <v>0</v>
      </c>
      <c r="D680" s="1">
        <v>0</v>
      </c>
      <c r="E680" s="1">
        <v>1</v>
      </c>
      <c r="F680" s="1">
        <v>3</v>
      </c>
      <c r="G680" s="1">
        <v>6</v>
      </c>
      <c r="H680" s="1">
        <v>1</v>
      </c>
      <c r="I680" s="1">
        <v>1</v>
      </c>
      <c r="J680" s="1">
        <v>1</v>
      </c>
      <c r="K680" s="1">
        <v>1</v>
      </c>
      <c r="L680" s="1">
        <v>7</v>
      </c>
      <c r="M680" s="1">
        <v>28</v>
      </c>
      <c r="N680" s="1">
        <v>31</v>
      </c>
      <c r="O680" s="1">
        <v>38</v>
      </c>
      <c r="P680">
        <v>0.28793671624380279</v>
      </c>
      <c r="Q680">
        <v>0.33182072158365261</v>
      </c>
      <c r="R680">
        <v>4.4418181818181794E-2</v>
      </c>
    </row>
    <row r="681" spans="1:18">
      <c r="A681" s="1">
        <v>32</v>
      </c>
      <c r="B681" s="1">
        <v>1</v>
      </c>
      <c r="C681" s="1">
        <v>1</v>
      </c>
      <c r="D681" s="1">
        <v>1</v>
      </c>
      <c r="E681" s="1">
        <v>1</v>
      </c>
      <c r="F681" s="1">
        <v>13</v>
      </c>
      <c r="G681" s="1">
        <v>6</v>
      </c>
      <c r="H681" s="1">
        <v>3</v>
      </c>
      <c r="I681" s="1">
        <v>1</v>
      </c>
      <c r="J681" s="1">
        <v>5</v>
      </c>
      <c r="K681" s="1">
        <v>5</v>
      </c>
      <c r="L681" s="1">
        <v>7</v>
      </c>
      <c r="M681" s="1">
        <v>28</v>
      </c>
      <c r="N681" s="1">
        <v>31</v>
      </c>
      <c r="O681" s="1">
        <v>38</v>
      </c>
      <c r="P681">
        <v>0.1877456984543599</v>
      </c>
      <c r="Q681">
        <v>0.19120370370370368</v>
      </c>
      <c r="R681">
        <v>4.6354545454545454E-2</v>
      </c>
    </row>
    <row r="682" spans="1:18">
      <c r="A682" s="1">
        <v>33</v>
      </c>
      <c r="B682" s="1">
        <v>0</v>
      </c>
      <c r="C682" s="1">
        <v>1</v>
      </c>
      <c r="D682" s="1">
        <v>1</v>
      </c>
      <c r="E682" s="1">
        <v>0</v>
      </c>
      <c r="F682" s="1">
        <v>12</v>
      </c>
      <c r="G682" s="1">
        <v>6</v>
      </c>
      <c r="H682" s="1">
        <v>2</v>
      </c>
      <c r="I682" s="1">
        <v>1</v>
      </c>
      <c r="J682" s="1">
        <v>4</v>
      </c>
      <c r="K682" s="1">
        <v>4</v>
      </c>
      <c r="L682" s="1">
        <v>7</v>
      </c>
      <c r="M682" s="1">
        <v>28</v>
      </c>
      <c r="N682" s="1">
        <v>31</v>
      </c>
      <c r="O682" s="1">
        <v>38</v>
      </c>
      <c r="P682">
        <v>0.1113735783027122</v>
      </c>
      <c r="Q682">
        <v>0.10962643678160919</v>
      </c>
      <c r="R682">
        <v>3.4499999999999975E-2</v>
      </c>
    </row>
    <row r="683" spans="1:18">
      <c r="A683" s="1">
        <v>34</v>
      </c>
      <c r="B683" s="1">
        <v>0</v>
      </c>
      <c r="C683" s="1">
        <v>1</v>
      </c>
      <c r="D683" s="1">
        <v>1</v>
      </c>
      <c r="E683" s="1">
        <v>1</v>
      </c>
      <c r="F683" s="1">
        <v>10</v>
      </c>
      <c r="G683" s="1">
        <v>6</v>
      </c>
      <c r="H683" s="1">
        <v>2</v>
      </c>
      <c r="I683" s="1">
        <v>1</v>
      </c>
      <c r="J683" s="1">
        <v>4</v>
      </c>
      <c r="K683" s="1">
        <v>4</v>
      </c>
      <c r="L683" s="1">
        <v>7</v>
      </c>
      <c r="M683" s="1">
        <v>28</v>
      </c>
      <c r="N683" s="1">
        <v>31</v>
      </c>
      <c r="O683" s="1">
        <v>38</v>
      </c>
      <c r="P683">
        <v>0.16531641878098566</v>
      </c>
      <c r="Q683">
        <v>0.18065932311621963</v>
      </c>
      <c r="R683">
        <v>3.7799999999999993E-2</v>
      </c>
    </row>
    <row r="684" spans="1:18">
      <c r="A684" s="1">
        <v>35</v>
      </c>
      <c r="B684" s="1">
        <v>1</v>
      </c>
      <c r="C684" s="1">
        <v>1</v>
      </c>
      <c r="D684" s="1">
        <v>0</v>
      </c>
      <c r="E684" s="1">
        <v>1</v>
      </c>
      <c r="F684" s="1">
        <v>8</v>
      </c>
      <c r="G684" s="1">
        <v>6</v>
      </c>
      <c r="H684" s="1">
        <v>2</v>
      </c>
      <c r="I684" s="1">
        <v>1</v>
      </c>
      <c r="J684" s="1">
        <v>3</v>
      </c>
      <c r="K684" s="1">
        <v>3</v>
      </c>
      <c r="L684" s="1">
        <v>7</v>
      </c>
      <c r="M684" s="1">
        <v>28</v>
      </c>
      <c r="N684" s="1">
        <v>31</v>
      </c>
      <c r="O684" s="1">
        <v>38</v>
      </c>
      <c r="P684">
        <v>0.21788130650335383</v>
      </c>
      <c r="Q684">
        <v>0.19607678799489145</v>
      </c>
      <c r="R684">
        <v>4.360909090909091E-2</v>
      </c>
    </row>
    <row r="685" spans="1:18">
      <c r="A685" s="1">
        <v>36</v>
      </c>
      <c r="B685" s="1">
        <v>1</v>
      </c>
      <c r="C685" s="1">
        <v>1</v>
      </c>
      <c r="D685" s="1">
        <v>1</v>
      </c>
      <c r="E685" s="1">
        <v>1</v>
      </c>
      <c r="F685" s="1">
        <v>20</v>
      </c>
      <c r="G685" s="1">
        <v>18</v>
      </c>
      <c r="H685" s="1">
        <v>3</v>
      </c>
      <c r="I685" s="1">
        <v>1</v>
      </c>
      <c r="J685" s="1">
        <v>6</v>
      </c>
      <c r="K685" s="1">
        <v>7</v>
      </c>
      <c r="L685" s="1">
        <v>7</v>
      </c>
      <c r="M685" s="1">
        <v>28</v>
      </c>
      <c r="N685" s="1">
        <v>31</v>
      </c>
      <c r="O685" s="1">
        <v>38</v>
      </c>
      <c r="P685">
        <v>0.30036745406824156</v>
      </c>
      <c r="Q685">
        <v>0.20632183908045978</v>
      </c>
      <c r="R685">
        <v>4.8318181818181809E-2</v>
      </c>
    </row>
    <row r="686" spans="1:18">
      <c r="A686" s="1">
        <v>37</v>
      </c>
      <c r="B686" s="1">
        <v>1</v>
      </c>
      <c r="C686" s="1">
        <v>1</v>
      </c>
      <c r="D686" s="1">
        <v>1</v>
      </c>
      <c r="E686" s="1">
        <v>1</v>
      </c>
      <c r="F686" s="1">
        <v>23</v>
      </c>
      <c r="G686" s="1">
        <v>18</v>
      </c>
      <c r="H686" s="1">
        <v>3</v>
      </c>
      <c r="I686" s="1">
        <v>1</v>
      </c>
      <c r="J686" s="1">
        <v>6</v>
      </c>
      <c r="K686" s="1">
        <v>7</v>
      </c>
      <c r="L686" s="1">
        <v>7</v>
      </c>
      <c r="M686" s="1">
        <v>28</v>
      </c>
      <c r="N686" s="1">
        <v>31</v>
      </c>
      <c r="O686" s="1">
        <v>38</v>
      </c>
      <c r="P686">
        <v>0.12931029454651505</v>
      </c>
      <c r="Q686">
        <v>0.1105324074074074</v>
      </c>
      <c r="R686">
        <v>4.8318181818181809E-2</v>
      </c>
    </row>
    <row r="687" spans="1:18">
      <c r="A687" s="1">
        <v>38</v>
      </c>
      <c r="B687" s="1">
        <v>0</v>
      </c>
      <c r="C687" s="1">
        <v>1</v>
      </c>
      <c r="D687" s="1">
        <v>0</v>
      </c>
      <c r="E687" s="1">
        <v>1</v>
      </c>
      <c r="F687" s="1">
        <v>4</v>
      </c>
      <c r="G687" s="1">
        <v>6</v>
      </c>
      <c r="H687" s="1">
        <v>1</v>
      </c>
      <c r="I687" s="1">
        <v>1</v>
      </c>
      <c r="J687" s="1">
        <v>2</v>
      </c>
      <c r="K687" s="1">
        <v>2</v>
      </c>
      <c r="L687" s="1">
        <v>7</v>
      </c>
      <c r="M687" s="1">
        <v>28</v>
      </c>
      <c r="N687" s="1">
        <v>31</v>
      </c>
      <c r="O687" s="1">
        <v>38</v>
      </c>
      <c r="P687">
        <v>0.27006415864683581</v>
      </c>
      <c r="Q687">
        <v>0.29836366538952752</v>
      </c>
      <c r="R687">
        <v>5.5459090909090888E-2</v>
      </c>
    </row>
    <row r="688" spans="1:18">
      <c r="A688" s="1">
        <v>39</v>
      </c>
      <c r="B688" s="1">
        <v>1</v>
      </c>
      <c r="C688" s="1">
        <v>1</v>
      </c>
      <c r="D688" s="1">
        <v>1</v>
      </c>
      <c r="E688" s="1">
        <v>1</v>
      </c>
      <c r="F688" s="1">
        <v>22</v>
      </c>
      <c r="G688" s="1">
        <v>18</v>
      </c>
      <c r="H688" s="1">
        <v>3</v>
      </c>
      <c r="I688" s="1">
        <v>1</v>
      </c>
      <c r="J688" s="1">
        <v>6</v>
      </c>
      <c r="K688" s="1">
        <v>7</v>
      </c>
      <c r="L688" s="1">
        <v>7</v>
      </c>
      <c r="M688" s="1">
        <v>28</v>
      </c>
      <c r="N688" s="1">
        <v>31</v>
      </c>
      <c r="O688" s="1">
        <v>38</v>
      </c>
      <c r="P688">
        <v>0.27538495188101486</v>
      </c>
      <c r="Q688">
        <v>0.27326388888888886</v>
      </c>
      <c r="R688">
        <v>4.4340909090909104E-2</v>
      </c>
    </row>
    <row r="689" spans="1:18">
      <c r="A689" s="1">
        <v>40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1</v>
      </c>
      <c r="J689" s="1">
        <v>0</v>
      </c>
      <c r="K689" s="1">
        <v>0</v>
      </c>
      <c r="L689" s="1">
        <v>7</v>
      </c>
      <c r="M689" s="1">
        <v>28</v>
      </c>
      <c r="N689" s="1">
        <v>31</v>
      </c>
      <c r="O689" s="1">
        <v>38</v>
      </c>
      <c r="P689">
        <v>0.16075823855351415</v>
      </c>
      <c r="Q689">
        <v>0.2222796934865901</v>
      </c>
      <c r="R689">
        <v>4.8104545454545476E-2</v>
      </c>
    </row>
    <row r="690" spans="1:18">
      <c r="A690" s="1">
        <v>41</v>
      </c>
      <c r="B690" s="1">
        <v>1</v>
      </c>
      <c r="C690" s="1">
        <v>1</v>
      </c>
      <c r="D690" s="1">
        <v>0</v>
      </c>
      <c r="E690" s="1">
        <v>1</v>
      </c>
      <c r="F690" s="1">
        <v>9</v>
      </c>
      <c r="G690" s="1">
        <v>6</v>
      </c>
      <c r="H690" s="1">
        <v>2</v>
      </c>
      <c r="I690" s="1">
        <v>1</v>
      </c>
      <c r="J690" s="1">
        <v>3</v>
      </c>
      <c r="K690" s="1">
        <v>3</v>
      </c>
      <c r="L690" s="1">
        <v>7</v>
      </c>
      <c r="M690" s="1">
        <v>28</v>
      </c>
      <c r="N690" s="1">
        <v>31</v>
      </c>
      <c r="O690" s="1">
        <v>38</v>
      </c>
      <c r="P690">
        <v>1.2798191892680069E-2</v>
      </c>
      <c r="Q690">
        <v>1.0133301404853117E-2</v>
      </c>
      <c r="R690">
        <v>4.7645454545454546E-2</v>
      </c>
    </row>
    <row r="691" spans="1:18">
      <c r="A691" s="1">
        <v>42</v>
      </c>
      <c r="B691" s="1">
        <v>0</v>
      </c>
      <c r="C691" s="1">
        <v>0</v>
      </c>
      <c r="D691" s="1">
        <v>0</v>
      </c>
      <c r="E691" s="1">
        <v>1</v>
      </c>
      <c r="F691" s="1">
        <v>0</v>
      </c>
      <c r="G691" s="1">
        <v>0</v>
      </c>
      <c r="H691" s="1">
        <v>0</v>
      </c>
      <c r="I691" s="1">
        <v>1</v>
      </c>
      <c r="J691" s="1">
        <v>0</v>
      </c>
      <c r="K691" s="1">
        <v>0</v>
      </c>
      <c r="L691" s="1">
        <v>7</v>
      </c>
      <c r="M691" s="1">
        <v>28</v>
      </c>
      <c r="N691" s="1">
        <v>31</v>
      </c>
      <c r="O691" s="1">
        <v>38</v>
      </c>
      <c r="P691">
        <v>0.14567804024496941</v>
      </c>
      <c r="Q691">
        <v>0.1065852490421456</v>
      </c>
      <c r="R691">
        <v>4.1281818181818197E-2</v>
      </c>
    </row>
    <row r="692" spans="1:18">
      <c r="A692" s="1">
        <v>43</v>
      </c>
      <c r="B692" s="1">
        <v>1</v>
      </c>
      <c r="C692" s="1">
        <v>1</v>
      </c>
      <c r="D692" s="1">
        <v>0</v>
      </c>
      <c r="E692" s="1">
        <v>1</v>
      </c>
      <c r="F692" s="1">
        <v>7</v>
      </c>
      <c r="G692" s="1">
        <v>6</v>
      </c>
      <c r="H692" s="1">
        <v>2</v>
      </c>
      <c r="I692" s="1">
        <v>1</v>
      </c>
      <c r="J692" s="1">
        <v>3</v>
      </c>
      <c r="K692" s="1">
        <v>3</v>
      </c>
      <c r="L692" s="1">
        <v>7</v>
      </c>
      <c r="M692" s="1">
        <v>28</v>
      </c>
      <c r="N692" s="1">
        <v>31</v>
      </c>
      <c r="O692" s="1">
        <v>38</v>
      </c>
      <c r="P692">
        <v>0.21084135316418773</v>
      </c>
      <c r="Q692">
        <v>0.224588920817369</v>
      </c>
      <c r="R692">
        <v>4.6222727272727276E-2</v>
      </c>
    </row>
    <row r="693" spans="1:18">
      <c r="A693" s="1">
        <v>44</v>
      </c>
      <c r="B693" s="1">
        <v>0</v>
      </c>
      <c r="C693" s="1">
        <v>1</v>
      </c>
      <c r="D693" s="1">
        <v>0</v>
      </c>
      <c r="E693" s="1">
        <v>0</v>
      </c>
      <c r="F693" s="1">
        <v>5</v>
      </c>
      <c r="G693" s="1">
        <v>6</v>
      </c>
      <c r="H693" s="1">
        <v>1</v>
      </c>
      <c r="I693" s="1">
        <v>1</v>
      </c>
      <c r="J693" s="1">
        <v>2</v>
      </c>
      <c r="K693" s="1">
        <v>2</v>
      </c>
      <c r="L693" s="1">
        <v>7</v>
      </c>
      <c r="M693" s="1">
        <v>28</v>
      </c>
      <c r="N693" s="1">
        <v>31</v>
      </c>
      <c r="O693" s="1">
        <v>38</v>
      </c>
      <c r="P693">
        <v>0.18492855059784188</v>
      </c>
      <c r="Q693">
        <v>0.35438697318007661</v>
      </c>
      <c r="R693">
        <v>4.9068181818181796E-2</v>
      </c>
    </row>
    <row r="694" spans="1:18">
      <c r="A694" s="1">
        <v>45</v>
      </c>
      <c r="B694" s="1">
        <v>0</v>
      </c>
      <c r="C694" s="1">
        <v>1</v>
      </c>
      <c r="D694" s="1">
        <v>0</v>
      </c>
      <c r="E694" s="1">
        <v>1</v>
      </c>
      <c r="F694" s="1">
        <v>5</v>
      </c>
      <c r="G694" s="1">
        <v>6</v>
      </c>
      <c r="H694" s="1">
        <v>1</v>
      </c>
      <c r="I694" s="1">
        <v>1</v>
      </c>
      <c r="J694" s="1">
        <v>2</v>
      </c>
      <c r="K694" s="1">
        <v>2</v>
      </c>
      <c r="L694" s="1">
        <v>7</v>
      </c>
      <c r="M694" s="1">
        <v>28</v>
      </c>
      <c r="N694" s="1">
        <v>31</v>
      </c>
      <c r="O694" s="1">
        <v>38</v>
      </c>
      <c r="P694">
        <v>0.2624278215223097</v>
      </c>
      <c r="Q694">
        <v>0.41145833333333337</v>
      </c>
      <c r="R694">
        <v>4.087272727272729E-2</v>
      </c>
    </row>
    <row r="695" spans="1:18">
      <c r="A695" s="1">
        <v>46</v>
      </c>
      <c r="B695" s="1">
        <v>0</v>
      </c>
      <c r="C695" s="1">
        <v>1</v>
      </c>
      <c r="D695" s="1">
        <v>0</v>
      </c>
      <c r="E695" s="1">
        <v>1</v>
      </c>
      <c r="F695" s="1">
        <v>6</v>
      </c>
      <c r="G695" s="1">
        <v>6</v>
      </c>
      <c r="H695" s="1">
        <v>1</v>
      </c>
      <c r="I695" s="1">
        <v>1</v>
      </c>
      <c r="J695" s="1">
        <v>2</v>
      </c>
      <c r="K695" s="1">
        <v>2</v>
      </c>
      <c r="L695" s="1">
        <v>7</v>
      </c>
      <c r="M695" s="1">
        <v>28</v>
      </c>
      <c r="N695" s="1">
        <v>31</v>
      </c>
      <c r="O695" s="1">
        <v>38</v>
      </c>
      <c r="P695">
        <v>0.19845727617381165</v>
      </c>
      <c r="Q695">
        <v>0.19928959131545335</v>
      </c>
      <c r="R695">
        <v>4.8777272727272718E-2</v>
      </c>
    </row>
    <row r="696" spans="1:18">
      <c r="A696" s="1">
        <v>47</v>
      </c>
      <c r="B696" s="1">
        <v>1</v>
      </c>
      <c r="C696" s="1">
        <v>1</v>
      </c>
      <c r="D696" s="1">
        <v>1</v>
      </c>
      <c r="E696" s="1">
        <v>1</v>
      </c>
      <c r="F696" s="1">
        <v>16</v>
      </c>
      <c r="G696" s="1">
        <v>6</v>
      </c>
      <c r="H696" s="1">
        <v>3</v>
      </c>
      <c r="I696" s="1">
        <v>1</v>
      </c>
      <c r="J696" s="1">
        <v>5</v>
      </c>
      <c r="K696" s="1">
        <v>6</v>
      </c>
      <c r="L696" s="1">
        <v>7</v>
      </c>
      <c r="M696" s="1">
        <v>28</v>
      </c>
      <c r="N696" s="1">
        <v>31</v>
      </c>
      <c r="O696" s="1">
        <v>38</v>
      </c>
      <c r="P696">
        <v>0.24944736074657328</v>
      </c>
      <c r="Q696">
        <v>0.25005188378033211</v>
      </c>
      <c r="R696">
        <v>4.8181818181818166E-2</v>
      </c>
    </row>
    <row r="697" spans="1:18">
      <c r="A697" s="1">
        <v>48</v>
      </c>
      <c r="B697" s="1">
        <v>0</v>
      </c>
      <c r="C697" s="1">
        <v>1</v>
      </c>
      <c r="D697" s="1">
        <v>1</v>
      </c>
      <c r="E697" s="1">
        <v>1</v>
      </c>
      <c r="F697" s="1">
        <v>12</v>
      </c>
      <c r="G697" s="1">
        <v>6</v>
      </c>
      <c r="H697" s="1">
        <v>2</v>
      </c>
      <c r="I697" s="1">
        <v>1</v>
      </c>
      <c r="J697" s="1">
        <v>4</v>
      </c>
      <c r="K697" s="1">
        <v>4</v>
      </c>
      <c r="L697" s="1">
        <v>7</v>
      </c>
      <c r="M697" s="1">
        <v>28</v>
      </c>
      <c r="N697" s="1">
        <v>31</v>
      </c>
      <c r="O697" s="1">
        <v>38</v>
      </c>
      <c r="P697">
        <v>0.30358705161854777</v>
      </c>
      <c r="Q697">
        <v>0.25426245210727977</v>
      </c>
      <c r="R697">
        <v>3.7477272727272727E-2</v>
      </c>
    </row>
    <row r="698" spans="1:18">
      <c r="A698" s="1">
        <v>49</v>
      </c>
      <c r="B698" s="1">
        <v>1</v>
      </c>
      <c r="C698" s="1">
        <v>0</v>
      </c>
      <c r="D698" s="1">
        <v>0</v>
      </c>
      <c r="E698" s="1">
        <v>1</v>
      </c>
      <c r="F698" s="1">
        <v>2</v>
      </c>
      <c r="G698" s="1">
        <v>6</v>
      </c>
      <c r="H698" s="1">
        <v>1</v>
      </c>
      <c r="I698" s="1">
        <v>1</v>
      </c>
      <c r="J698" s="1">
        <v>1</v>
      </c>
      <c r="K698" s="1">
        <v>1</v>
      </c>
      <c r="L698" s="1">
        <v>7</v>
      </c>
      <c r="M698" s="1">
        <v>28</v>
      </c>
      <c r="N698" s="1">
        <v>31</v>
      </c>
      <c r="O698" s="1">
        <v>38</v>
      </c>
      <c r="P698">
        <v>0.20575823855351419</v>
      </c>
      <c r="Q698">
        <v>0.23261095146871011</v>
      </c>
      <c r="R698">
        <v>3.0440909090909078E-2</v>
      </c>
    </row>
    <row r="699" spans="1:18">
      <c r="A699" s="1">
        <v>50</v>
      </c>
      <c r="B699" s="1">
        <v>1</v>
      </c>
      <c r="C699" s="1">
        <v>1</v>
      </c>
      <c r="D699" s="1">
        <v>1</v>
      </c>
      <c r="E699" s="1">
        <v>1</v>
      </c>
      <c r="F699" s="1">
        <v>17</v>
      </c>
      <c r="G699" s="1">
        <v>6</v>
      </c>
      <c r="H699" s="1">
        <v>3</v>
      </c>
      <c r="I699" s="1">
        <v>1</v>
      </c>
      <c r="J699" s="1">
        <v>5</v>
      </c>
      <c r="K699" s="1">
        <v>6</v>
      </c>
      <c r="L699" s="1">
        <v>7</v>
      </c>
      <c r="M699" s="1">
        <v>28</v>
      </c>
      <c r="N699" s="1">
        <v>31</v>
      </c>
      <c r="O699" s="1">
        <v>38</v>
      </c>
      <c r="P699">
        <v>0.1953310002916302</v>
      </c>
      <c r="Q699">
        <v>0.20664910600255423</v>
      </c>
      <c r="R699">
        <v>5.6777272727272725E-2</v>
      </c>
    </row>
    <row r="700" spans="1:18">
      <c r="A700" s="1">
        <v>51</v>
      </c>
      <c r="B700" s="1">
        <v>0</v>
      </c>
      <c r="C700" s="1">
        <v>1</v>
      </c>
      <c r="D700" s="1">
        <v>1</v>
      </c>
      <c r="E700" s="1">
        <v>0</v>
      </c>
      <c r="F700" s="1">
        <v>11</v>
      </c>
      <c r="G700" s="1">
        <v>6</v>
      </c>
      <c r="H700" s="1">
        <v>2</v>
      </c>
      <c r="I700" s="1">
        <v>1</v>
      </c>
      <c r="J700" s="1">
        <v>4</v>
      </c>
      <c r="K700" s="1">
        <v>4</v>
      </c>
      <c r="L700" s="1">
        <v>7</v>
      </c>
      <c r="M700" s="1">
        <v>28</v>
      </c>
      <c r="N700" s="1">
        <v>31</v>
      </c>
      <c r="O700" s="1">
        <v>38</v>
      </c>
      <c r="P700">
        <v>0.26738407699037625</v>
      </c>
      <c r="Q700">
        <v>0.20669540229885058</v>
      </c>
      <c r="R700">
        <v>4.3322727272727277E-2</v>
      </c>
    </row>
    <row r="701" spans="1:18">
      <c r="A701" s="1">
        <v>52</v>
      </c>
      <c r="B701" s="1">
        <v>0</v>
      </c>
      <c r="C701" s="1">
        <v>1</v>
      </c>
      <c r="D701" s="1">
        <v>1</v>
      </c>
      <c r="E701" s="1">
        <v>1</v>
      </c>
      <c r="F701" s="1">
        <v>11</v>
      </c>
      <c r="G701" s="1">
        <v>6</v>
      </c>
      <c r="H701" s="1">
        <v>2</v>
      </c>
      <c r="I701" s="1">
        <v>1</v>
      </c>
      <c r="J701" s="1">
        <v>4</v>
      </c>
      <c r="K701" s="1">
        <v>4</v>
      </c>
      <c r="L701" s="1">
        <v>7</v>
      </c>
      <c r="M701" s="1">
        <v>28</v>
      </c>
      <c r="N701" s="1">
        <v>31</v>
      </c>
      <c r="O701" s="1">
        <v>38</v>
      </c>
      <c r="P701">
        <v>0.22880723242927967</v>
      </c>
      <c r="Q701">
        <v>0.29610472541507032</v>
      </c>
      <c r="R701">
        <v>7.4550000000000019E-2</v>
      </c>
    </row>
    <row r="702" spans="1:18">
      <c r="A702" s="1">
        <v>53</v>
      </c>
      <c r="B702" s="1">
        <v>1</v>
      </c>
      <c r="C702" s="1">
        <v>1</v>
      </c>
      <c r="D702" s="1">
        <v>1</v>
      </c>
      <c r="E702" s="1">
        <v>1</v>
      </c>
      <c r="F702" s="1">
        <v>15</v>
      </c>
      <c r="G702" s="1">
        <v>6</v>
      </c>
      <c r="H702" s="1">
        <v>3</v>
      </c>
      <c r="I702" s="1">
        <v>1</v>
      </c>
      <c r="J702" s="1">
        <v>5</v>
      </c>
      <c r="K702" s="1">
        <v>5</v>
      </c>
      <c r="L702" s="1">
        <v>7</v>
      </c>
      <c r="M702" s="1">
        <v>28</v>
      </c>
      <c r="N702" s="1">
        <v>31</v>
      </c>
      <c r="O702" s="1">
        <v>38</v>
      </c>
      <c r="P702">
        <v>1.0505978419364235E-2</v>
      </c>
      <c r="Q702">
        <v>5.4877075351213193E-3</v>
      </c>
      <c r="R702">
        <v>4.2895454545454535E-2</v>
      </c>
    </row>
    <row r="703" spans="1:18">
      <c r="A703" s="1">
        <v>54</v>
      </c>
      <c r="B703" s="1">
        <v>1</v>
      </c>
      <c r="C703" s="1">
        <v>1</v>
      </c>
      <c r="D703" s="1">
        <v>1</v>
      </c>
      <c r="E703" s="1">
        <v>1</v>
      </c>
      <c r="F703" s="1">
        <v>19</v>
      </c>
      <c r="G703" s="1">
        <v>6</v>
      </c>
      <c r="H703" s="1">
        <v>3</v>
      </c>
      <c r="I703" s="1">
        <v>1</v>
      </c>
      <c r="J703" s="1">
        <v>5</v>
      </c>
      <c r="K703" s="1">
        <v>6</v>
      </c>
      <c r="L703" s="1">
        <v>7</v>
      </c>
      <c r="M703" s="1">
        <v>28</v>
      </c>
      <c r="N703" s="1">
        <v>31</v>
      </c>
      <c r="O703" s="1">
        <v>38</v>
      </c>
      <c r="P703">
        <v>0.24889763779527566</v>
      </c>
      <c r="Q703">
        <v>0.28038793103448278</v>
      </c>
      <c r="R703">
        <v>4.385909090909091E-2</v>
      </c>
    </row>
    <row r="704" spans="1:18">
      <c r="A704" s="1">
        <v>55</v>
      </c>
      <c r="B704" s="1">
        <v>0</v>
      </c>
      <c r="C704" s="1">
        <v>1</v>
      </c>
      <c r="D704" s="1">
        <v>1</v>
      </c>
      <c r="E704" s="1">
        <v>0</v>
      </c>
      <c r="F704" s="1">
        <v>11</v>
      </c>
      <c r="G704" s="1">
        <v>6</v>
      </c>
      <c r="H704" s="1">
        <v>2</v>
      </c>
      <c r="I704" s="1">
        <v>2</v>
      </c>
      <c r="J704" s="1">
        <v>4</v>
      </c>
      <c r="K704" s="1">
        <v>4</v>
      </c>
      <c r="L704" s="1">
        <v>7</v>
      </c>
      <c r="M704" s="1">
        <v>28</v>
      </c>
      <c r="N704" s="1">
        <v>31</v>
      </c>
      <c r="O704" s="1">
        <v>38</v>
      </c>
      <c r="P704">
        <v>0.23171186934966467</v>
      </c>
      <c r="Q704">
        <v>0.26121647509578555</v>
      </c>
      <c r="R704">
        <v>4.9154545454545472E-2</v>
      </c>
    </row>
    <row r="705" spans="1:18">
      <c r="A705" s="1">
        <v>56</v>
      </c>
      <c r="B705" s="1">
        <v>0</v>
      </c>
      <c r="C705" s="1">
        <v>1</v>
      </c>
      <c r="D705" s="1">
        <v>1</v>
      </c>
      <c r="E705" s="1">
        <v>0</v>
      </c>
      <c r="F705" s="1">
        <v>10</v>
      </c>
      <c r="G705" s="1">
        <v>6</v>
      </c>
      <c r="H705" s="1">
        <v>2</v>
      </c>
      <c r="I705" s="1">
        <v>2</v>
      </c>
      <c r="J705" s="1">
        <v>4</v>
      </c>
      <c r="K705" s="1">
        <v>4</v>
      </c>
      <c r="L705" s="1">
        <v>7</v>
      </c>
      <c r="M705" s="1">
        <v>28</v>
      </c>
      <c r="N705" s="1">
        <v>31</v>
      </c>
      <c r="O705" s="1">
        <v>38</v>
      </c>
      <c r="P705">
        <v>9.0510352872557612E-2</v>
      </c>
      <c r="Q705">
        <v>8.4329501915708802E-2</v>
      </c>
      <c r="R705">
        <v>4.1949999999999994E-2</v>
      </c>
    </row>
    <row r="706" spans="1:18">
      <c r="A706" s="1">
        <v>57</v>
      </c>
      <c r="B706" s="1">
        <v>1</v>
      </c>
      <c r="C706" s="1">
        <v>1</v>
      </c>
      <c r="D706" s="1">
        <v>1</v>
      </c>
      <c r="E706" s="1">
        <v>0</v>
      </c>
      <c r="F706" s="1">
        <v>20</v>
      </c>
      <c r="G706" s="1">
        <v>18</v>
      </c>
      <c r="H706" s="1">
        <v>3</v>
      </c>
      <c r="I706" s="1">
        <v>2</v>
      </c>
      <c r="J706" s="1">
        <v>6</v>
      </c>
      <c r="K706" s="1">
        <v>7</v>
      </c>
      <c r="L706" s="1">
        <v>7</v>
      </c>
      <c r="M706" s="1">
        <v>28</v>
      </c>
      <c r="N706" s="1">
        <v>31</v>
      </c>
      <c r="O706" s="1">
        <v>38</v>
      </c>
      <c r="P706">
        <v>0.15718285214348207</v>
      </c>
      <c r="Q706">
        <v>0.39451149425287363</v>
      </c>
      <c r="R706">
        <v>4.9786363636363636E-2</v>
      </c>
    </row>
    <row r="707" spans="1:18">
      <c r="A707" s="1">
        <v>58</v>
      </c>
      <c r="B707" s="1">
        <v>1</v>
      </c>
      <c r="C707" s="1">
        <v>1</v>
      </c>
      <c r="D707" s="1">
        <v>1</v>
      </c>
      <c r="E707" s="1">
        <v>0</v>
      </c>
      <c r="F707" s="1">
        <v>25</v>
      </c>
      <c r="G707" s="1">
        <v>18</v>
      </c>
      <c r="H707" s="1">
        <v>3</v>
      </c>
      <c r="I707" s="1">
        <v>2</v>
      </c>
      <c r="J707" s="1">
        <v>6</v>
      </c>
      <c r="K707" s="1">
        <v>7</v>
      </c>
      <c r="L707" s="1">
        <v>7</v>
      </c>
      <c r="M707" s="1">
        <v>28</v>
      </c>
      <c r="N707" s="1">
        <v>31</v>
      </c>
      <c r="O707" s="1">
        <v>38</v>
      </c>
      <c r="P707">
        <v>0.32700495771361932</v>
      </c>
      <c r="Q707">
        <v>0.7727969348659004</v>
      </c>
      <c r="R707">
        <v>5.5449999999999978E-2</v>
      </c>
    </row>
    <row r="708" spans="1:18">
      <c r="A708" s="1">
        <v>59</v>
      </c>
      <c r="B708" s="1">
        <v>1</v>
      </c>
      <c r="C708" s="1">
        <v>1</v>
      </c>
      <c r="D708" s="1">
        <v>1</v>
      </c>
      <c r="E708" s="1">
        <v>0</v>
      </c>
      <c r="F708" s="1">
        <v>17</v>
      </c>
      <c r="G708" s="1">
        <v>6</v>
      </c>
      <c r="H708" s="1">
        <v>3</v>
      </c>
      <c r="I708" s="1">
        <v>2</v>
      </c>
      <c r="J708" s="1">
        <v>5</v>
      </c>
      <c r="K708" s="1">
        <v>6</v>
      </c>
      <c r="L708" s="1">
        <v>7</v>
      </c>
      <c r="M708" s="1">
        <v>28</v>
      </c>
      <c r="N708" s="1">
        <v>31</v>
      </c>
      <c r="O708" s="1">
        <v>38</v>
      </c>
      <c r="P708">
        <v>0.15588218139399246</v>
      </c>
      <c r="Q708">
        <v>0.15539272030651338</v>
      </c>
      <c r="R708">
        <v>5.0050000000000011E-2</v>
      </c>
    </row>
    <row r="709" spans="1:18">
      <c r="A709" s="1">
        <v>60</v>
      </c>
      <c r="B709" s="1">
        <v>1</v>
      </c>
      <c r="C709" s="1">
        <v>1</v>
      </c>
      <c r="D709" s="1">
        <v>1</v>
      </c>
      <c r="E709" s="1">
        <v>0</v>
      </c>
      <c r="F709" s="1">
        <v>23</v>
      </c>
      <c r="G709" s="1">
        <v>18</v>
      </c>
      <c r="H709" s="1">
        <v>3</v>
      </c>
      <c r="I709" s="1">
        <v>2</v>
      </c>
      <c r="J709" s="1">
        <v>6</v>
      </c>
      <c r="K709" s="1">
        <v>7</v>
      </c>
      <c r="L709" s="1">
        <v>7</v>
      </c>
      <c r="M709" s="1">
        <v>28</v>
      </c>
      <c r="N709" s="1">
        <v>31</v>
      </c>
      <c r="O709" s="1">
        <v>38</v>
      </c>
      <c r="P709">
        <v>0.20916885389326334</v>
      </c>
      <c r="Q709">
        <v>0.24229885057471268</v>
      </c>
      <c r="R709">
        <v>5.8431818181818175E-2</v>
      </c>
    </row>
    <row r="710" spans="1:18">
      <c r="A710" s="1">
        <v>61</v>
      </c>
      <c r="B710" s="1">
        <v>0</v>
      </c>
      <c r="C710" s="1">
        <v>1</v>
      </c>
      <c r="D710" s="1">
        <v>0</v>
      </c>
      <c r="E710" s="1">
        <v>0</v>
      </c>
      <c r="F710" s="1">
        <v>6</v>
      </c>
      <c r="G710" s="1">
        <v>6</v>
      </c>
      <c r="H710" s="1">
        <v>1</v>
      </c>
      <c r="I710" s="1">
        <v>2</v>
      </c>
      <c r="J710" s="1">
        <v>2</v>
      </c>
      <c r="K710" s="1">
        <v>2</v>
      </c>
      <c r="L710" s="1">
        <v>7</v>
      </c>
      <c r="M710" s="1">
        <v>28</v>
      </c>
      <c r="N710" s="1">
        <v>31</v>
      </c>
      <c r="O710" s="1">
        <v>38</v>
      </c>
      <c r="P710">
        <v>0.27505395158938495</v>
      </c>
      <c r="Q710">
        <v>0.35937739463601542</v>
      </c>
      <c r="R710">
        <v>6.0659090909090919E-2</v>
      </c>
    </row>
    <row r="711" spans="1:18">
      <c r="A711" s="1">
        <v>62</v>
      </c>
      <c r="B711" s="1">
        <v>0</v>
      </c>
      <c r="C711" s="1">
        <v>1</v>
      </c>
      <c r="D711" s="1">
        <v>0</v>
      </c>
      <c r="E711" s="1">
        <v>0</v>
      </c>
      <c r="F711" s="1">
        <v>5</v>
      </c>
      <c r="G711" s="1">
        <v>6</v>
      </c>
      <c r="H711" s="1">
        <v>1</v>
      </c>
      <c r="I711" s="1">
        <v>2</v>
      </c>
      <c r="J711" s="1">
        <v>2</v>
      </c>
      <c r="K711" s="1">
        <v>2</v>
      </c>
      <c r="L711" s="1">
        <v>7</v>
      </c>
      <c r="M711" s="1">
        <v>28</v>
      </c>
      <c r="N711" s="1">
        <v>31</v>
      </c>
      <c r="O711" s="1">
        <v>38</v>
      </c>
      <c r="P711">
        <v>0.24172645086030928</v>
      </c>
      <c r="Q711">
        <v>0.3480076628352492</v>
      </c>
      <c r="R711">
        <v>5.2740909090909088E-2</v>
      </c>
    </row>
    <row r="712" spans="1:18">
      <c r="A712" s="1">
        <v>63</v>
      </c>
      <c r="B712" s="1">
        <v>0</v>
      </c>
      <c r="C712" s="1">
        <v>1</v>
      </c>
      <c r="D712" s="1">
        <v>0</v>
      </c>
      <c r="E712" s="1">
        <v>1</v>
      </c>
      <c r="F712" s="1">
        <v>5</v>
      </c>
      <c r="G712" s="1">
        <v>6</v>
      </c>
      <c r="H712" s="1">
        <v>1</v>
      </c>
      <c r="I712" s="1">
        <v>2</v>
      </c>
      <c r="J712" s="1">
        <v>2</v>
      </c>
      <c r="K712" s="1">
        <v>2</v>
      </c>
      <c r="L712" s="1">
        <v>7</v>
      </c>
      <c r="M712" s="1">
        <v>28</v>
      </c>
      <c r="N712" s="1">
        <v>31</v>
      </c>
      <c r="O712" s="1">
        <v>38</v>
      </c>
      <c r="P712">
        <v>0.25741469816272972</v>
      </c>
      <c r="Q712">
        <v>0.29931752873563222</v>
      </c>
      <c r="R712">
        <v>4.6240909090909076E-2</v>
      </c>
    </row>
    <row r="713" spans="1:18">
      <c r="A713" s="1">
        <v>64</v>
      </c>
      <c r="B713" s="1">
        <v>1</v>
      </c>
      <c r="C713" s="1">
        <v>1</v>
      </c>
      <c r="D713" s="1">
        <v>0</v>
      </c>
      <c r="E713" s="1">
        <v>0</v>
      </c>
      <c r="F713" s="1">
        <v>9</v>
      </c>
      <c r="G713" s="1">
        <v>6</v>
      </c>
      <c r="H713" s="1">
        <v>2</v>
      </c>
      <c r="I713" s="1">
        <v>2</v>
      </c>
      <c r="J713" s="1">
        <v>3</v>
      </c>
      <c r="K713" s="1">
        <v>3</v>
      </c>
      <c r="L713" s="1">
        <v>7</v>
      </c>
      <c r="M713" s="1">
        <v>28</v>
      </c>
      <c r="N713" s="1">
        <v>31</v>
      </c>
      <c r="O713" s="1">
        <v>38</v>
      </c>
      <c r="P713">
        <v>0.25774861475648891</v>
      </c>
      <c r="Q713">
        <v>0.30371647509578542</v>
      </c>
      <c r="R713">
        <v>4.9677272727272716E-2</v>
      </c>
    </row>
    <row r="714" spans="1:18">
      <c r="A714" s="1">
        <v>65</v>
      </c>
      <c r="B714" s="1">
        <v>1</v>
      </c>
      <c r="C714" s="1">
        <v>1</v>
      </c>
      <c r="D714" s="1">
        <v>1</v>
      </c>
      <c r="E714" s="1">
        <v>0</v>
      </c>
      <c r="F714" s="1">
        <v>15</v>
      </c>
      <c r="G714" s="1">
        <v>6</v>
      </c>
      <c r="H714" s="1">
        <v>3</v>
      </c>
      <c r="I714" s="1">
        <v>2</v>
      </c>
      <c r="J714" s="1">
        <v>5</v>
      </c>
      <c r="K714" s="1">
        <v>5</v>
      </c>
      <c r="L714" s="1">
        <v>7</v>
      </c>
      <c r="M714" s="1">
        <v>28</v>
      </c>
      <c r="N714" s="1">
        <v>31</v>
      </c>
      <c r="O714" s="1">
        <v>38</v>
      </c>
      <c r="P714">
        <v>0.20394867308253128</v>
      </c>
      <c r="Q714">
        <v>0.33976053639846732</v>
      </c>
      <c r="R714">
        <v>4.7954545454545465E-2</v>
      </c>
    </row>
    <row r="715" spans="1:18">
      <c r="A715" s="1">
        <v>66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2</v>
      </c>
      <c r="J715" s="1">
        <v>0</v>
      </c>
      <c r="K715" s="1">
        <v>0</v>
      </c>
      <c r="L715" s="1">
        <v>7</v>
      </c>
      <c r="M715" s="1">
        <v>28</v>
      </c>
      <c r="N715" s="1">
        <v>31</v>
      </c>
      <c r="O715" s="1">
        <v>38</v>
      </c>
      <c r="P715">
        <v>0.21235345581802278</v>
      </c>
      <c r="Q715">
        <v>0.25942528735632192</v>
      </c>
      <c r="R715">
        <v>4.7518181818181834E-2</v>
      </c>
    </row>
    <row r="716" spans="1:18">
      <c r="A716" s="1">
        <v>67</v>
      </c>
      <c r="B716" s="1">
        <v>1</v>
      </c>
      <c r="C716" s="1">
        <v>1</v>
      </c>
      <c r="D716" s="1">
        <v>1</v>
      </c>
      <c r="E716" s="1">
        <v>0</v>
      </c>
      <c r="F716" s="1">
        <v>18</v>
      </c>
      <c r="G716" s="1">
        <v>6</v>
      </c>
      <c r="H716" s="1">
        <v>3</v>
      </c>
      <c r="I716" s="1">
        <v>2</v>
      </c>
      <c r="J716" s="1">
        <v>5</v>
      </c>
      <c r="K716" s="1">
        <v>6</v>
      </c>
      <c r="L716" s="1">
        <v>7</v>
      </c>
      <c r="M716" s="1">
        <v>28</v>
      </c>
      <c r="N716" s="1">
        <v>31</v>
      </c>
      <c r="O716" s="1">
        <v>38</v>
      </c>
      <c r="P716">
        <v>0.26878973461650629</v>
      </c>
      <c r="Q716">
        <v>0.29202107279693496</v>
      </c>
      <c r="R716">
        <v>4.6954545454545429E-2</v>
      </c>
    </row>
    <row r="717" spans="1:18">
      <c r="A717" s="1">
        <v>68</v>
      </c>
      <c r="B717" s="1">
        <v>1</v>
      </c>
      <c r="C717" s="1">
        <v>1</v>
      </c>
      <c r="D717" s="1">
        <v>0</v>
      </c>
      <c r="E717" s="1">
        <v>0</v>
      </c>
      <c r="F717" s="1">
        <v>8</v>
      </c>
      <c r="G717" s="1">
        <v>6</v>
      </c>
      <c r="H717" s="1">
        <v>2</v>
      </c>
      <c r="I717" s="1">
        <v>2</v>
      </c>
      <c r="J717" s="1">
        <v>3</v>
      </c>
      <c r="K717" s="1">
        <v>3</v>
      </c>
      <c r="L717" s="1">
        <v>7</v>
      </c>
      <c r="M717" s="1">
        <v>28</v>
      </c>
      <c r="N717" s="1">
        <v>31</v>
      </c>
      <c r="O717" s="1">
        <v>38</v>
      </c>
      <c r="P717">
        <v>0.22995042286380876</v>
      </c>
      <c r="Q717">
        <v>0.25047892720306525</v>
      </c>
      <c r="R717">
        <v>5.3300000000000007E-2</v>
      </c>
    </row>
    <row r="718" spans="1:18">
      <c r="A718" s="1">
        <v>69</v>
      </c>
      <c r="B718" s="1">
        <v>0</v>
      </c>
      <c r="C718" s="1">
        <v>1</v>
      </c>
      <c r="D718" s="1">
        <v>0</v>
      </c>
      <c r="E718" s="1">
        <v>0</v>
      </c>
      <c r="F718" s="1">
        <v>4</v>
      </c>
      <c r="G718" s="1">
        <v>6</v>
      </c>
      <c r="H718" s="1">
        <v>1</v>
      </c>
      <c r="I718" s="1">
        <v>2</v>
      </c>
      <c r="J718" s="1">
        <v>2</v>
      </c>
      <c r="K718" s="1">
        <v>2</v>
      </c>
      <c r="L718" s="1">
        <v>7</v>
      </c>
      <c r="M718" s="1">
        <v>28</v>
      </c>
      <c r="N718" s="1">
        <v>31</v>
      </c>
      <c r="O718" s="1">
        <v>38</v>
      </c>
      <c r="P718">
        <v>0.20213473315835523</v>
      </c>
      <c r="Q718">
        <v>0.23824712643678161</v>
      </c>
      <c r="R718">
        <v>4.5131818181818169E-2</v>
      </c>
    </row>
    <row r="719" spans="1:18">
      <c r="A719" s="1">
        <v>70</v>
      </c>
      <c r="B719" s="1">
        <v>1</v>
      </c>
      <c r="C719" s="1">
        <v>1</v>
      </c>
      <c r="D719" s="1">
        <v>1</v>
      </c>
      <c r="E719" s="1">
        <v>0</v>
      </c>
      <c r="F719" s="1">
        <v>21</v>
      </c>
      <c r="G719" s="1">
        <v>18</v>
      </c>
      <c r="H719" s="1">
        <v>3</v>
      </c>
      <c r="I719" s="1">
        <v>2</v>
      </c>
      <c r="J719" s="1">
        <v>6</v>
      </c>
      <c r="K719" s="1">
        <v>7</v>
      </c>
      <c r="L719" s="1">
        <v>7</v>
      </c>
      <c r="M719" s="1">
        <v>28</v>
      </c>
      <c r="N719" s="1">
        <v>31</v>
      </c>
      <c r="O719" s="1">
        <v>38</v>
      </c>
      <c r="P719">
        <v>0.33731116943715378</v>
      </c>
      <c r="Q719">
        <v>0.3415325670498085</v>
      </c>
      <c r="R719">
        <v>5.1245454545454532E-2</v>
      </c>
    </row>
    <row r="720" spans="1:18">
      <c r="A720" s="1">
        <v>71</v>
      </c>
      <c r="B720" s="1">
        <v>1</v>
      </c>
      <c r="C720" s="1">
        <v>0</v>
      </c>
      <c r="D720" s="1">
        <v>0</v>
      </c>
      <c r="E720" s="1">
        <v>0</v>
      </c>
      <c r="F720" s="1">
        <v>2</v>
      </c>
      <c r="G720" s="1">
        <v>6</v>
      </c>
      <c r="H720" s="1">
        <v>1</v>
      </c>
      <c r="I720" s="1">
        <v>2</v>
      </c>
      <c r="J720" s="1">
        <v>1</v>
      </c>
      <c r="K720" s="1">
        <v>1</v>
      </c>
      <c r="L720" s="1">
        <v>7</v>
      </c>
      <c r="M720" s="1">
        <v>28</v>
      </c>
      <c r="N720" s="1">
        <v>31</v>
      </c>
      <c r="O720" s="1">
        <v>38</v>
      </c>
      <c r="P720">
        <v>0.21973170020414112</v>
      </c>
      <c r="Q720">
        <v>0.32154214559386973</v>
      </c>
      <c r="R720">
        <v>5.1245454545454552E-2</v>
      </c>
    </row>
    <row r="721" spans="1:18">
      <c r="A721" s="1">
        <v>72</v>
      </c>
      <c r="B721" s="1">
        <v>1</v>
      </c>
      <c r="C721" s="1">
        <v>1</v>
      </c>
      <c r="D721" s="1">
        <v>1</v>
      </c>
      <c r="E721" s="1">
        <v>0</v>
      </c>
      <c r="F721" s="1">
        <v>24</v>
      </c>
      <c r="G721" s="1">
        <v>18</v>
      </c>
      <c r="H721" s="1">
        <v>3</v>
      </c>
      <c r="I721" s="1">
        <v>2</v>
      </c>
      <c r="J721" s="1">
        <v>6</v>
      </c>
      <c r="K721" s="1">
        <v>7</v>
      </c>
      <c r="L721" s="1">
        <v>7</v>
      </c>
      <c r="M721" s="1">
        <v>28</v>
      </c>
      <c r="N721" s="1">
        <v>31</v>
      </c>
      <c r="O721" s="1">
        <v>38</v>
      </c>
      <c r="P721">
        <v>0.3328608923884514</v>
      </c>
      <c r="Q721">
        <v>0.46620689655172409</v>
      </c>
      <c r="R721">
        <v>5.5672727272727235E-2</v>
      </c>
    </row>
    <row r="722" spans="1:18">
      <c r="A722" s="1">
        <v>73</v>
      </c>
      <c r="B722" s="1">
        <v>1</v>
      </c>
      <c r="C722" s="1">
        <v>1</v>
      </c>
      <c r="D722" s="1">
        <v>1</v>
      </c>
      <c r="E722" s="1">
        <v>0</v>
      </c>
      <c r="F722" s="1">
        <v>14</v>
      </c>
      <c r="G722" s="1">
        <v>6</v>
      </c>
      <c r="H722" s="1">
        <v>3</v>
      </c>
      <c r="I722" s="1">
        <v>2</v>
      </c>
      <c r="J722" s="1">
        <v>5</v>
      </c>
      <c r="K722" s="1">
        <v>5</v>
      </c>
      <c r="L722" s="1">
        <v>7</v>
      </c>
      <c r="M722" s="1">
        <v>28</v>
      </c>
      <c r="N722" s="1">
        <v>31</v>
      </c>
      <c r="O722" s="1">
        <v>38</v>
      </c>
      <c r="P722">
        <v>0.31685622630504517</v>
      </c>
      <c r="Q722">
        <v>0.4350095785440613</v>
      </c>
      <c r="R722">
        <v>5.9218181818181795E-2</v>
      </c>
    </row>
    <row r="723" spans="1:18">
      <c r="A723" s="1">
        <v>74</v>
      </c>
      <c r="B723" s="1">
        <v>1</v>
      </c>
      <c r="C723" s="1">
        <v>1</v>
      </c>
      <c r="D723" s="1">
        <v>1</v>
      </c>
      <c r="E723" s="1">
        <v>0</v>
      </c>
      <c r="F723" s="1">
        <v>13</v>
      </c>
      <c r="G723" s="1">
        <v>6</v>
      </c>
      <c r="H723" s="1">
        <v>3</v>
      </c>
      <c r="I723" s="1">
        <v>2</v>
      </c>
      <c r="J723" s="1">
        <v>5</v>
      </c>
      <c r="K723" s="1">
        <v>5</v>
      </c>
      <c r="L723" s="1">
        <v>7</v>
      </c>
      <c r="M723" s="1">
        <v>28</v>
      </c>
      <c r="N723" s="1">
        <v>31</v>
      </c>
      <c r="O723" s="1">
        <v>38</v>
      </c>
      <c r="P723">
        <v>0.31423738699329246</v>
      </c>
      <c r="Q723">
        <v>0.35036398467432939</v>
      </c>
      <c r="R723">
        <v>4.9318181818181796E-2</v>
      </c>
    </row>
    <row r="724" spans="1:18">
      <c r="A724" s="1">
        <v>75</v>
      </c>
      <c r="B724" s="1">
        <v>0</v>
      </c>
      <c r="C724" s="1">
        <v>1</v>
      </c>
      <c r="D724" s="1">
        <v>0</v>
      </c>
      <c r="E724" s="1">
        <v>1</v>
      </c>
      <c r="F724" s="1">
        <v>6</v>
      </c>
      <c r="G724" s="1">
        <v>6</v>
      </c>
      <c r="H724" s="1">
        <v>1</v>
      </c>
      <c r="I724" s="1">
        <v>2</v>
      </c>
      <c r="J724" s="1">
        <v>2</v>
      </c>
      <c r="K724" s="1">
        <v>2</v>
      </c>
      <c r="L724" s="1">
        <v>7</v>
      </c>
      <c r="M724" s="1">
        <v>28</v>
      </c>
      <c r="N724" s="1">
        <v>31</v>
      </c>
      <c r="O724" s="1">
        <v>38</v>
      </c>
      <c r="P724">
        <v>0.17008311461067357</v>
      </c>
      <c r="Q724">
        <v>0.21191331417624515</v>
      </c>
      <c r="R724">
        <v>4.9386363636363638E-2</v>
      </c>
    </row>
    <row r="725" spans="1:18">
      <c r="A725" s="1">
        <v>76</v>
      </c>
      <c r="B725" s="1">
        <v>1</v>
      </c>
      <c r="C725" s="1">
        <v>0</v>
      </c>
      <c r="D725" s="1">
        <v>0</v>
      </c>
      <c r="E725" s="1">
        <v>0</v>
      </c>
      <c r="F725" s="1">
        <v>1</v>
      </c>
      <c r="G725" s="1">
        <v>6</v>
      </c>
      <c r="H725" s="1">
        <v>1</v>
      </c>
      <c r="I725" s="1">
        <v>2</v>
      </c>
      <c r="J725" s="1">
        <v>1</v>
      </c>
      <c r="K725" s="1">
        <v>1</v>
      </c>
      <c r="L725" s="1">
        <v>7</v>
      </c>
      <c r="M725" s="1">
        <v>28</v>
      </c>
      <c r="N725" s="1">
        <v>31</v>
      </c>
      <c r="O725" s="1">
        <v>38</v>
      </c>
      <c r="P725">
        <v>0.24443277923592879</v>
      </c>
      <c r="Q725">
        <v>0.38796934865900379</v>
      </c>
      <c r="R725">
        <v>5.2200000000000003E-2</v>
      </c>
    </row>
    <row r="726" spans="1:18">
      <c r="A726" s="1">
        <v>77</v>
      </c>
      <c r="B726" s="1">
        <v>0</v>
      </c>
      <c r="C726" s="1">
        <v>0</v>
      </c>
      <c r="D726" s="1">
        <v>0</v>
      </c>
      <c r="E726" s="1">
        <v>1</v>
      </c>
      <c r="F726" s="1">
        <v>0</v>
      </c>
      <c r="G726" s="1">
        <v>0</v>
      </c>
      <c r="H726" s="1">
        <v>0</v>
      </c>
      <c r="I726" s="1">
        <v>2</v>
      </c>
      <c r="J726" s="1">
        <v>0</v>
      </c>
      <c r="K726" s="1">
        <v>0</v>
      </c>
      <c r="L726" s="1">
        <v>7</v>
      </c>
      <c r="M726" s="1">
        <v>28</v>
      </c>
      <c r="N726" s="1">
        <v>31</v>
      </c>
      <c r="O726" s="1">
        <v>38</v>
      </c>
      <c r="P726">
        <v>0.21851997666958303</v>
      </c>
      <c r="Q726">
        <v>0.16516203703703705</v>
      </c>
      <c r="R726">
        <v>5.1595454545454549E-2</v>
      </c>
    </row>
    <row r="727" spans="1:18">
      <c r="A727" s="1">
        <v>78</v>
      </c>
      <c r="B727" s="1">
        <v>1</v>
      </c>
      <c r="C727" s="1">
        <v>0</v>
      </c>
      <c r="D727" s="1">
        <v>0</v>
      </c>
      <c r="E727" s="1">
        <v>1</v>
      </c>
      <c r="F727" s="1">
        <v>1</v>
      </c>
      <c r="G727" s="1">
        <v>6</v>
      </c>
      <c r="H727" s="1">
        <v>1</v>
      </c>
      <c r="I727" s="1">
        <v>2</v>
      </c>
      <c r="J727" s="1">
        <v>1</v>
      </c>
      <c r="K727" s="1">
        <v>1</v>
      </c>
      <c r="L727" s="1">
        <v>7</v>
      </c>
      <c r="M727" s="1">
        <v>28</v>
      </c>
      <c r="N727" s="1">
        <v>31</v>
      </c>
      <c r="O727" s="1">
        <v>38</v>
      </c>
      <c r="P727">
        <v>0.23486439195100614</v>
      </c>
      <c r="Q727">
        <v>0.24695881226053643</v>
      </c>
      <c r="R727">
        <v>5.3545454545454563E-2</v>
      </c>
    </row>
    <row r="728" spans="1:18">
      <c r="A728" s="1">
        <v>79</v>
      </c>
      <c r="B728" s="1">
        <v>1</v>
      </c>
      <c r="C728" s="1">
        <v>1</v>
      </c>
      <c r="D728" s="1">
        <v>1</v>
      </c>
      <c r="E728" s="1">
        <v>0</v>
      </c>
      <c r="F728" s="1">
        <v>16</v>
      </c>
      <c r="G728" s="1">
        <v>6</v>
      </c>
      <c r="H728" s="1">
        <v>3</v>
      </c>
      <c r="I728" s="1">
        <v>2</v>
      </c>
      <c r="J728" s="1">
        <v>5</v>
      </c>
      <c r="K728" s="1">
        <v>6</v>
      </c>
      <c r="L728" s="1">
        <v>7</v>
      </c>
      <c r="M728" s="1">
        <v>28</v>
      </c>
      <c r="N728" s="1">
        <v>31</v>
      </c>
      <c r="O728" s="1">
        <v>38</v>
      </c>
      <c r="P728">
        <v>0.40901720618256066</v>
      </c>
      <c r="Q728">
        <v>0.43230842911877398</v>
      </c>
      <c r="R728">
        <v>6.4900000000000013E-2</v>
      </c>
    </row>
    <row r="729" spans="1:18">
      <c r="A729" s="1">
        <v>80</v>
      </c>
      <c r="B729" s="1">
        <v>1</v>
      </c>
      <c r="C729" s="1">
        <v>1</v>
      </c>
      <c r="D729" s="1">
        <v>1</v>
      </c>
      <c r="E729" s="1">
        <v>1</v>
      </c>
      <c r="F729" s="1">
        <v>23</v>
      </c>
      <c r="G729" s="1">
        <v>18</v>
      </c>
      <c r="H729" s="1">
        <v>3</v>
      </c>
      <c r="I729" s="1">
        <v>2</v>
      </c>
      <c r="J729" s="1">
        <v>6</v>
      </c>
      <c r="K729" s="1">
        <v>7</v>
      </c>
      <c r="L729" s="1">
        <v>7</v>
      </c>
      <c r="M729" s="1">
        <v>28</v>
      </c>
      <c r="N729" s="1">
        <v>31</v>
      </c>
      <c r="O729" s="1">
        <v>38</v>
      </c>
      <c r="P729">
        <v>0.19117526975794696</v>
      </c>
      <c r="Q729">
        <v>0.22951787994891443</v>
      </c>
      <c r="R729">
        <v>4.5468181818181803E-2</v>
      </c>
    </row>
    <row r="730" spans="1:18">
      <c r="A730" s="1">
        <v>81</v>
      </c>
      <c r="B730" s="1">
        <v>1</v>
      </c>
      <c r="C730" s="1">
        <v>1</v>
      </c>
      <c r="D730" s="1">
        <v>0</v>
      </c>
      <c r="E730" s="1">
        <v>0</v>
      </c>
      <c r="F730" s="1">
        <v>7</v>
      </c>
      <c r="G730" s="1">
        <v>6</v>
      </c>
      <c r="H730" s="1">
        <v>2</v>
      </c>
      <c r="I730" s="1">
        <v>2</v>
      </c>
      <c r="J730" s="1">
        <v>3</v>
      </c>
      <c r="K730" s="1">
        <v>3</v>
      </c>
      <c r="L730" s="1">
        <v>7</v>
      </c>
      <c r="M730" s="1">
        <v>28</v>
      </c>
      <c r="N730" s="1">
        <v>31</v>
      </c>
      <c r="O730" s="1">
        <v>38</v>
      </c>
      <c r="P730">
        <v>0.34</v>
      </c>
      <c r="Q730">
        <v>0.38112068965517237</v>
      </c>
      <c r="R730">
        <v>5.2245454545454546E-2</v>
      </c>
    </row>
    <row r="731" spans="1:18">
      <c r="A731" s="1">
        <v>82</v>
      </c>
      <c r="B731" s="1">
        <v>1</v>
      </c>
      <c r="C731" s="1">
        <v>1</v>
      </c>
      <c r="D731" s="1">
        <v>1</v>
      </c>
      <c r="E731" s="1">
        <v>1</v>
      </c>
      <c r="F731" s="1">
        <v>21</v>
      </c>
      <c r="G731" s="1">
        <v>18</v>
      </c>
      <c r="H731" s="1">
        <v>3</v>
      </c>
      <c r="I731" s="1">
        <v>2</v>
      </c>
      <c r="J731" s="1">
        <v>6</v>
      </c>
      <c r="K731" s="1">
        <v>7</v>
      </c>
      <c r="L731" s="1">
        <v>7</v>
      </c>
      <c r="M731" s="1">
        <v>28</v>
      </c>
      <c r="N731" s="1">
        <v>31</v>
      </c>
      <c r="O731" s="1">
        <v>38</v>
      </c>
      <c r="P731">
        <v>0.22543890347039952</v>
      </c>
      <c r="Q731">
        <v>0.16638729246487863</v>
      </c>
      <c r="R731">
        <v>5.6672727272727291E-2</v>
      </c>
    </row>
    <row r="732" spans="1:18">
      <c r="A732" s="1">
        <v>83</v>
      </c>
      <c r="B732" s="1">
        <v>1</v>
      </c>
      <c r="C732" s="1">
        <v>1</v>
      </c>
      <c r="D732" s="1">
        <v>1</v>
      </c>
      <c r="E732" s="1">
        <v>1</v>
      </c>
      <c r="F732" s="1">
        <v>18</v>
      </c>
      <c r="G732" s="1">
        <v>6</v>
      </c>
      <c r="H732" s="1">
        <v>3</v>
      </c>
      <c r="I732" s="1">
        <v>2</v>
      </c>
      <c r="J732" s="1">
        <v>5</v>
      </c>
      <c r="K732" s="1">
        <v>6</v>
      </c>
      <c r="L732" s="1">
        <v>7</v>
      </c>
      <c r="M732" s="1">
        <v>28</v>
      </c>
      <c r="N732" s="1">
        <v>31</v>
      </c>
      <c r="O732" s="1">
        <v>38</v>
      </c>
      <c r="P732">
        <v>0.16698016914552347</v>
      </c>
      <c r="Q732">
        <v>0.14904613665389524</v>
      </c>
      <c r="R732">
        <v>5.0163636363636389E-2</v>
      </c>
    </row>
    <row r="733" spans="1:18">
      <c r="A733" s="1">
        <v>84</v>
      </c>
      <c r="B733" s="1">
        <v>1</v>
      </c>
      <c r="C733" s="1">
        <v>1</v>
      </c>
      <c r="D733" s="1">
        <v>1</v>
      </c>
      <c r="E733" s="1">
        <v>1</v>
      </c>
      <c r="F733" s="1">
        <v>24</v>
      </c>
      <c r="G733" s="1">
        <v>18</v>
      </c>
      <c r="H733" s="1">
        <v>3</v>
      </c>
      <c r="I733" s="1">
        <v>2</v>
      </c>
      <c r="J733" s="1">
        <v>6</v>
      </c>
      <c r="K733" s="1">
        <v>7</v>
      </c>
      <c r="L733" s="1">
        <v>7</v>
      </c>
      <c r="M733" s="1">
        <v>28</v>
      </c>
      <c r="N733" s="1">
        <v>31</v>
      </c>
      <c r="O733" s="1">
        <v>38</v>
      </c>
      <c r="P733">
        <v>0.16600174978127738</v>
      </c>
      <c r="Q733">
        <v>0.17825670498084292</v>
      </c>
      <c r="R733">
        <v>4.4477272727272747E-2</v>
      </c>
    </row>
    <row r="734" spans="1:18">
      <c r="A734" s="1">
        <v>85</v>
      </c>
      <c r="B734" s="1">
        <v>1</v>
      </c>
      <c r="C734" s="1">
        <v>1</v>
      </c>
      <c r="D734" s="1">
        <v>1</v>
      </c>
      <c r="E734" s="1">
        <v>1</v>
      </c>
      <c r="F734" s="1">
        <v>20</v>
      </c>
      <c r="G734" s="1">
        <v>18</v>
      </c>
      <c r="H734" s="1">
        <v>3</v>
      </c>
      <c r="I734" s="1">
        <v>2</v>
      </c>
      <c r="J734" s="1">
        <v>6</v>
      </c>
      <c r="K734" s="1">
        <v>7</v>
      </c>
      <c r="L734" s="1">
        <v>7</v>
      </c>
      <c r="M734" s="1">
        <v>28</v>
      </c>
      <c r="N734" s="1">
        <v>31</v>
      </c>
      <c r="O734" s="1">
        <v>38</v>
      </c>
      <c r="P734">
        <v>0.22171624380285795</v>
      </c>
      <c r="Q734">
        <v>0.17901899744572156</v>
      </c>
      <c r="R734">
        <v>4.2145454545454548E-2</v>
      </c>
    </row>
    <row r="735" spans="1:18">
      <c r="A735" s="1">
        <v>86</v>
      </c>
      <c r="B735" s="1">
        <v>1</v>
      </c>
      <c r="C735" s="1">
        <v>1</v>
      </c>
      <c r="D735" s="1">
        <v>1</v>
      </c>
      <c r="E735" s="1">
        <v>1</v>
      </c>
      <c r="F735" s="1">
        <v>17</v>
      </c>
      <c r="G735" s="1">
        <v>6</v>
      </c>
      <c r="H735" s="1">
        <v>3</v>
      </c>
      <c r="I735" s="1">
        <v>2</v>
      </c>
      <c r="J735" s="1">
        <v>5</v>
      </c>
      <c r="K735" s="1">
        <v>6</v>
      </c>
      <c r="L735" s="1">
        <v>7</v>
      </c>
      <c r="M735" s="1">
        <v>28</v>
      </c>
      <c r="N735" s="1">
        <v>31</v>
      </c>
      <c r="O735" s="1">
        <v>38</v>
      </c>
      <c r="P735">
        <v>0.16798191892680087</v>
      </c>
      <c r="Q735">
        <v>0.17978128991060022</v>
      </c>
      <c r="R735">
        <v>4.0659090909090922E-2</v>
      </c>
    </row>
    <row r="736" spans="1:18">
      <c r="A736" s="1">
        <v>87</v>
      </c>
      <c r="B736" s="1">
        <v>0</v>
      </c>
      <c r="C736" s="1">
        <v>1</v>
      </c>
      <c r="D736" s="1">
        <v>1</v>
      </c>
      <c r="E736" s="1">
        <v>0</v>
      </c>
      <c r="F736" s="1">
        <v>12</v>
      </c>
      <c r="G736" s="1">
        <v>6</v>
      </c>
      <c r="H736" s="1">
        <v>2</v>
      </c>
      <c r="I736" s="1">
        <v>2</v>
      </c>
      <c r="J736" s="1">
        <v>4</v>
      </c>
      <c r="K736" s="1">
        <v>4</v>
      </c>
      <c r="L736" s="1">
        <v>7</v>
      </c>
      <c r="M736" s="1">
        <v>28</v>
      </c>
      <c r="N736" s="1">
        <v>31</v>
      </c>
      <c r="O736" s="1">
        <v>38</v>
      </c>
      <c r="P736">
        <v>0.15893263342082234</v>
      </c>
      <c r="Q736">
        <v>0.16204022988505742</v>
      </c>
      <c r="R736">
        <v>5.0709090909090898E-2</v>
      </c>
    </row>
    <row r="737" spans="1:18">
      <c r="A737" s="1">
        <v>88</v>
      </c>
      <c r="B737" s="1">
        <v>1</v>
      </c>
      <c r="C737" s="1">
        <v>1</v>
      </c>
      <c r="D737" s="1">
        <v>1</v>
      </c>
      <c r="E737" s="1">
        <v>1</v>
      </c>
      <c r="F737" s="1">
        <v>15</v>
      </c>
      <c r="G737" s="1">
        <v>6</v>
      </c>
      <c r="H737" s="1">
        <v>3</v>
      </c>
      <c r="I737" s="1">
        <v>2</v>
      </c>
      <c r="J737" s="1">
        <v>5</v>
      </c>
      <c r="K737" s="1">
        <v>5</v>
      </c>
      <c r="L737" s="1">
        <v>7</v>
      </c>
      <c r="M737" s="1">
        <v>28</v>
      </c>
      <c r="N737" s="1">
        <v>31</v>
      </c>
      <c r="O737" s="1">
        <v>38</v>
      </c>
      <c r="P737">
        <v>0.26917468649752108</v>
      </c>
      <c r="Q737">
        <v>0.31147828863346111</v>
      </c>
      <c r="R737">
        <v>5.6559090909090885E-2</v>
      </c>
    </row>
    <row r="738" spans="1:18">
      <c r="A738" s="1">
        <v>89</v>
      </c>
      <c r="B738" s="1">
        <v>1</v>
      </c>
      <c r="C738" s="1">
        <v>0</v>
      </c>
      <c r="D738" s="1">
        <v>0</v>
      </c>
      <c r="E738" s="1">
        <v>0</v>
      </c>
      <c r="F738" s="1">
        <v>3</v>
      </c>
      <c r="G738" s="1">
        <v>6</v>
      </c>
      <c r="H738" s="1">
        <v>1</v>
      </c>
      <c r="I738" s="1">
        <v>2</v>
      </c>
      <c r="J738" s="1">
        <v>1</v>
      </c>
      <c r="K738" s="1">
        <v>1</v>
      </c>
      <c r="L738" s="1">
        <v>7</v>
      </c>
      <c r="M738" s="1">
        <v>28</v>
      </c>
      <c r="N738" s="1">
        <v>31</v>
      </c>
      <c r="O738" s="1">
        <v>38</v>
      </c>
      <c r="P738">
        <v>0.18597841936424611</v>
      </c>
      <c r="Q738">
        <v>0.18757662835249037</v>
      </c>
      <c r="R738">
        <v>5.9181818181818203E-2</v>
      </c>
    </row>
    <row r="739" spans="1:18">
      <c r="A739" s="1">
        <v>90</v>
      </c>
      <c r="B739" s="1">
        <v>1</v>
      </c>
      <c r="C739" s="1">
        <v>1</v>
      </c>
      <c r="D739" s="1">
        <v>1</v>
      </c>
      <c r="E739" s="1">
        <v>1</v>
      </c>
      <c r="F739" s="1">
        <v>16</v>
      </c>
      <c r="G739" s="1">
        <v>6</v>
      </c>
      <c r="H739" s="1">
        <v>3</v>
      </c>
      <c r="I739" s="1">
        <v>2</v>
      </c>
      <c r="J739" s="1">
        <v>5</v>
      </c>
      <c r="K739" s="1">
        <v>6</v>
      </c>
      <c r="L739" s="1">
        <v>7</v>
      </c>
      <c r="M739" s="1">
        <v>28</v>
      </c>
      <c r="N739" s="1">
        <v>31</v>
      </c>
      <c r="O739" s="1">
        <v>38</v>
      </c>
      <c r="P739">
        <v>0.25146981627296594</v>
      </c>
      <c r="Q739">
        <v>0.34576149425287367</v>
      </c>
      <c r="R739">
        <v>5.5686363636363631E-2</v>
      </c>
    </row>
    <row r="740" spans="1:18">
      <c r="A740" s="1">
        <v>91</v>
      </c>
      <c r="B740" s="1">
        <v>1</v>
      </c>
      <c r="C740" s="1">
        <v>1</v>
      </c>
      <c r="D740" s="1">
        <v>1</v>
      </c>
      <c r="E740" s="1">
        <v>0</v>
      </c>
      <c r="F740" s="1">
        <v>22</v>
      </c>
      <c r="G740" s="1">
        <v>18</v>
      </c>
      <c r="H740" s="1">
        <v>3</v>
      </c>
      <c r="I740" s="1">
        <v>2</v>
      </c>
      <c r="J740" s="1">
        <v>6</v>
      </c>
      <c r="K740" s="1">
        <v>7</v>
      </c>
      <c r="L740" s="1">
        <v>7</v>
      </c>
      <c r="M740" s="1">
        <v>28</v>
      </c>
      <c r="N740" s="1">
        <v>31</v>
      </c>
      <c r="O740" s="1">
        <v>38</v>
      </c>
      <c r="P740">
        <v>0.31302420530766989</v>
      </c>
      <c r="Q740">
        <v>0.33725095785440617</v>
      </c>
      <c r="R740">
        <v>4.6463636363636374E-2</v>
      </c>
    </row>
    <row r="741" spans="1:18">
      <c r="A741" s="1">
        <v>92</v>
      </c>
      <c r="B741" s="1">
        <v>1</v>
      </c>
      <c r="C741" s="1">
        <v>1</v>
      </c>
      <c r="D741" s="1">
        <v>0</v>
      </c>
      <c r="E741" s="1">
        <v>1</v>
      </c>
      <c r="F741" s="1">
        <v>7</v>
      </c>
      <c r="G741" s="1">
        <v>6</v>
      </c>
      <c r="H741" s="1">
        <v>2</v>
      </c>
      <c r="I741" s="1">
        <v>2</v>
      </c>
      <c r="J741" s="1">
        <v>3</v>
      </c>
      <c r="K741" s="1">
        <v>3</v>
      </c>
      <c r="L741" s="1">
        <v>7</v>
      </c>
      <c r="M741" s="1">
        <v>28</v>
      </c>
      <c r="N741" s="1">
        <v>31</v>
      </c>
      <c r="O741" s="1">
        <v>38</v>
      </c>
      <c r="P741">
        <v>0.20778069407990668</v>
      </c>
      <c r="Q741">
        <v>0.21797573435504466</v>
      </c>
      <c r="R741">
        <v>6.1149999999999975E-2</v>
      </c>
    </row>
    <row r="742" spans="1:18">
      <c r="A742" s="1">
        <v>93</v>
      </c>
      <c r="B742" s="1">
        <v>0</v>
      </c>
      <c r="C742" s="1">
        <v>1</v>
      </c>
      <c r="D742" s="1">
        <v>1</v>
      </c>
      <c r="E742" s="1">
        <v>1</v>
      </c>
      <c r="F742" s="1">
        <v>11</v>
      </c>
      <c r="G742" s="1">
        <v>6</v>
      </c>
      <c r="H742" s="1">
        <v>2</v>
      </c>
      <c r="I742" s="1">
        <v>2</v>
      </c>
      <c r="J742" s="1">
        <v>4</v>
      </c>
      <c r="K742" s="1">
        <v>4</v>
      </c>
      <c r="L742" s="1">
        <v>7</v>
      </c>
      <c r="M742" s="1">
        <v>28</v>
      </c>
      <c r="N742" s="1">
        <v>31</v>
      </c>
      <c r="O742" s="1">
        <v>38</v>
      </c>
      <c r="P742">
        <v>0.24066054243219606</v>
      </c>
      <c r="Q742">
        <v>0.29632423371647504</v>
      </c>
      <c r="R742">
        <v>5.3836363636363641E-2</v>
      </c>
    </row>
    <row r="743" spans="1:18">
      <c r="A743" s="1">
        <v>94</v>
      </c>
      <c r="B743" s="1">
        <v>1</v>
      </c>
      <c r="C743" s="1">
        <v>0</v>
      </c>
      <c r="D743" s="1">
        <v>0</v>
      </c>
      <c r="E743" s="1">
        <v>1</v>
      </c>
      <c r="F743" s="1">
        <v>3</v>
      </c>
      <c r="G743" s="1">
        <v>6</v>
      </c>
      <c r="H743" s="1">
        <v>1</v>
      </c>
      <c r="I743" s="1">
        <v>2</v>
      </c>
      <c r="J743" s="1">
        <v>1</v>
      </c>
      <c r="K743" s="1">
        <v>1</v>
      </c>
      <c r="L743" s="1">
        <v>7</v>
      </c>
      <c r="M743" s="1">
        <v>28</v>
      </c>
      <c r="N743" s="1">
        <v>31</v>
      </c>
      <c r="O743" s="1">
        <v>38</v>
      </c>
      <c r="P743">
        <v>0.24913094196558755</v>
      </c>
      <c r="Q743">
        <v>0.27898307790549171</v>
      </c>
      <c r="R743">
        <v>4.3849999999999986E-2</v>
      </c>
    </row>
    <row r="744" spans="1:18">
      <c r="A744" s="1">
        <v>95</v>
      </c>
      <c r="B744" s="1">
        <v>1</v>
      </c>
      <c r="C744" s="1">
        <v>1</v>
      </c>
      <c r="D744" s="1">
        <v>0</v>
      </c>
      <c r="E744" s="1">
        <v>1</v>
      </c>
      <c r="F744" s="1">
        <v>8</v>
      </c>
      <c r="G744" s="1">
        <v>6</v>
      </c>
      <c r="H744" s="1">
        <v>2</v>
      </c>
      <c r="I744" s="1">
        <v>2</v>
      </c>
      <c r="J744" s="1">
        <v>3</v>
      </c>
      <c r="K744" s="1">
        <v>3</v>
      </c>
      <c r="L744" s="1">
        <v>7</v>
      </c>
      <c r="M744" s="1">
        <v>28</v>
      </c>
      <c r="N744" s="1">
        <v>31</v>
      </c>
      <c r="O744" s="1">
        <v>38</v>
      </c>
      <c r="P744">
        <v>0.16468795567220762</v>
      </c>
      <c r="Q744">
        <v>0.13146950830140483</v>
      </c>
      <c r="R744">
        <v>5.6368181818181817E-2</v>
      </c>
    </row>
    <row r="745" spans="1:18">
      <c r="A745" s="1">
        <v>96</v>
      </c>
      <c r="B745" s="1">
        <v>1</v>
      </c>
      <c r="C745" s="1">
        <v>1</v>
      </c>
      <c r="D745" s="1">
        <v>0</v>
      </c>
      <c r="E745" s="1">
        <v>1</v>
      </c>
      <c r="F745" s="1">
        <v>9</v>
      </c>
      <c r="G745" s="1">
        <v>6</v>
      </c>
      <c r="H745" s="1">
        <v>2</v>
      </c>
      <c r="I745" s="1">
        <v>2</v>
      </c>
      <c r="J745" s="1">
        <v>3</v>
      </c>
      <c r="K745" s="1">
        <v>3</v>
      </c>
      <c r="L745" s="1">
        <v>7</v>
      </c>
      <c r="M745" s="1">
        <v>28</v>
      </c>
      <c r="N745" s="1">
        <v>31</v>
      </c>
      <c r="O745" s="1">
        <v>38</v>
      </c>
      <c r="P745">
        <v>0.12355205599300087</v>
      </c>
      <c r="Q745">
        <v>8.4818007662835232E-2</v>
      </c>
      <c r="R745">
        <v>4.915454545454543E-2</v>
      </c>
    </row>
    <row r="746" spans="1:18">
      <c r="A746" s="1">
        <v>97</v>
      </c>
      <c r="B746" s="1">
        <v>1</v>
      </c>
      <c r="C746" s="1">
        <v>1</v>
      </c>
      <c r="D746" s="1">
        <v>1</v>
      </c>
      <c r="E746" s="1">
        <v>1</v>
      </c>
      <c r="F746" s="1">
        <v>19</v>
      </c>
      <c r="G746" s="1">
        <v>6</v>
      </c>
      <c r="H746" s="1">
        <v>3</v>
      </c>
      <c r="I746" s="1">
        <v>2</v>
      </c>
      <c r="J746" s="1">
        <v>5</v>
      </c>
      <c r="K746" s="1">
        <v>6</v>
      </c>
      <c r="L746" s="1">
        <v>7</v>
      </c>
      <c r="M746" s="1">
        <v>28</v>
      </c>
      <c r="N746" s="1">
        <v>31</v>
      </c>
      <c r="O746" s="1">
        <v>38</v>
      </c>
      <c r="P746">
        <v>0.25406969962088072</v>
      </c>
      <c r="Q746">
        <v>0.28644236909323123</v>
      </c>
      <c r="R746">
        <v>4.4009090909090928E-2</v>
      </c>
    </row>
    <row r="747" spans="1:18">
      <c r="A747" s="1">
        <v>98</v>
      </c>
      <c r="B747" s="1">
        <v>1</v>
      </c>
      <c r="C747" s="1">
        <v>1</v>
      </c>
      <c r="D747" s="1">
        <v>1</v>
      </c>
      <c r="E747" s="1">
        <v>1</v>
      </c>
      <c r="F747" s="1">
        <v>25</v>
      </c>
      <c r="G747" s="1">
        <v>18</v>
      </c>
      <c r="H747" s="1">
        <v>3</v>
      </c>
      <c r="I747" s="1">
        <v>2</v>
      </c>
      <c r="J747" s="1">
        <v>6</v>
      </c>
      <c r="K747" s="1">
        <v>7</v>
      </c>
      <c r="L747" s="1">
        <v>7</v>
      </c>
      <c r="M747" s="1">
        <v>28</v>
      </c>
      <c r="N747" s="1">
        <v>31</v>
      </c>
      <c r="O747" s="1">
        <v>38</v>
      </c>
      <c r="P747">
        <v>0.24128025663458735</v>
      </c>
      <c r="Q747">
        <v>0.2432391443167306</v>
      </c>
      <c r="R747">
        <v>5.3618181818181829E-2</v>
      </c>
    </row>
    <row r="748" spans="1:18">
      <c r="A748" s="1">
        <v>99</v>
      </c>
      <c r="B748" s="1">
        <v>1</v>
      </c>
      <c r="C748" s="1">
        <v>1</v>
      </c>
      <c r="D748" s="1">
        <v>1</v>
      </c>
      <c r="E748" s="1">
        <v>0</v>
      </c>
      <c r="F748" s="1">
        <v>26</v>
      </c>
      <c r="G748" s="1">
        <v>18</v>
      </c>
      <c r="H748" s="1">
        <v>3</v>
      </c>
      <c r="I748" s="1">
        <v>2</v>
      </c>
      <c r="J748" s="1">
        <v>6</v>
      </c>
      <c r="K748" s="1">
        <v>7</v>
      </c>
      <c r="L748" s="1">
        <v>7</v>
      </c>
      <c r="M748" s="1">
        <v>28</v>
      </c>
      <c r="N748" s="1">
        <v>31</v>
      </c>
      <c r="O748" s="1">
        <v>38</v>
      </c>
      <c r="P748">
        <v>0.43301837270341215</v>
      </c>
      <c r="Q748">
        <v>0.43336206896551732</v>
      </c>
      <c r="R748">
        <v>5.438181818181817E-2</v>
      </c>
    </row>
    <row r="749" spans="1:18">
      <c r="A749" s="1">
        <v>100</v>
      </c>
      <c r="B749" s="1">
        <v>1</v>
      </c>
      <c r="C749" s="1">
        <v>1</v>
      </c>
      <c r="D749" s="1">
        <v>1</v>
      </c>
      <c r="E749" s="1">
        <v>1</v>
      </c>
      <c r="F749" s="1">
        <v>22</v>
      </c>
      <c r="G749" s="1">
        <v>18</v>
      </c>
      <c r="H749" s="1">
        <v>3</v>
      </c>
      <c r="I749" s="1">
        <v>2</v>
      </c>
      <c r="J749" s="1">
        <v>6</v>
      </c>
      <c r="K749" s="1">
        <v>7</v>
      </c>
      <c r="L749" s="1">
        <v>7</v>
      </c>
      <c r="M749" s="1">
        <v>28</v>
      </c>
      <c r="N749" s="1">
        <v>31</v>
      </c>
      <c r="O749" s="1">
        <v>38</v>
      </c>
      <c r="P749">
        <v>0.23538641003207939</v>
      </c>
      <c r="Q749">
        <v>0.25252234993614309</v>
      </c>
      <c r="R749">
        <v>4.9459090909090925E-2</v>
      </c>
    </row>
    <row r="750" spans="1:18">
      <c r="A750" s="1">
        <v>101</v>
      </c>
      <c r="B750" s="1">
        <v>1</v>
      </c>
      <c r="C750" s="1">
        <v>1</v>
      </c>
      <c r="D750" s="1">
        <v>1</v>
      </c>
      <c r="E750" s="1">
        <v>1</v>
      </c>
      <c r="F750" s="1">
        <v>13</v>
      </c>
      <c r="G750" s="1">
        <v>6</v>
      </c>
      <c r="H750" s="1">
        <v>3</v>
      </c>
      <c r="I750" s="1">
        <v>2</v>
      </c>
      <c r="J750" s="1">
        <v>5</v>
      </c>
      <c r="K750" s="1">
        <v>5</v>
      </c>
      <c r="L750" s="1">
        <v>7</v>
      </c>
      <c r="M750" s="1">
        <v>28</v>
      </c>
      <c r="N750" s="1">
        <v>31</v>
      </c>
      <c r="O750" s="1">
        <v>38</v>
      </c>
      <c r="P750">
        <v>0.18165208515602219</v>
      </c>
      <c r="Q750">
        <v>0.23000878033205624</v>
      </c>
      <c r="R750">
        <v>4.6127272727272711E-2</v>
      </c>
    </row>
    <row r="751" spans="1:18">
      <c r="A751" s="1">
        <v>102</v>
      </c>
      <c r="B751" s="1">
        <v>0</v>
      </c>
      <c r="C751" s="1">
        <v>1</v>
      </c>
      <c r="D751" s="1">
        <v>0</v>
      </c>
      <c r="E751" s="1">
        <v>1</v>
      </c>
      <c r="F751" s="1">
        <v>4</v>
      </c>
      <c r="G751" s="1">
        <v>6</v>
      </c>
      <c r="H751" s="1">
        <v>1</v>
      </c>
      <c r="I751" s="1">
        <v>2</v>
      </c>
      <c r="J751" s="1">
        <v>2</v>
      </c>
      <c r="K751" s="1">
        <v>2</v>
      </c>
      <c r="L751" s="1">
        <v>7</v>
      </c>
      <c r="M751" s="1">
        <v>28</v>
      </c>
      <c r="N751" s="1">
        <v>31</v>
      </c>
      <c r="O751" s="1">
        <v>38</v>
      </c>
      <c r="P751">
        <v>0.26413823272090992</v>
      </c>
      <c r="Q751">
        <v>0.31180555555555561</v>
      </c>
      <c r="R751">
        <v>5.629545454545453E-2</v>
      </c>
    </row>
    <row r="752" spans="1:18">
      <c r="A752" s="1">
        <v>103</v>
      </c>
      <c r="B752" s="1">
        <v>0</v>
      </c>
      <c r="C752" s="1">
        <v>1</v>
      </c>
      <c r="D752" s="1">
        <v>1</v>
      </c>
      <c r="E752" s="1">
        <v>1</v>
      </c>
      <c r="F752" s="1">
        <v>10</v>
      </c>
      <c r="G752" s="1">
        <v>6</v>
      </c>
      <c r="H752" s="1">
        <v>2</v>
      </c>
      <c r="I752" s="1">
        <v>2</v>
      </c>
      <c r="J752" s="1">
        <v>4</v>
      </c>
      <c r="K752" s="1">
        <v>4</v>
      </c>
      <c r="L752" s="1">
        <v>7</v>
      </c>
      <c r="M752" s="1">
        <v>28</v>
      </c>
      <c r="N752" s="1">
        <v>31</v>
      </c>
      <c r="O752" s="1">
        <v>38</v>
      </c>
      <c r="P752">
        <v>5.3710994459025968E-2</v>
      </c>
      <c r="Q752">
        <v>3.9471583652618113E-3</v>
      </c>
      <c r="R752">
        <v>4.3104545454545458E-2</v>
      </c>
    </row>
    <row r="753" spans="1:18">
      <c r="A753" s="1">
        <v>104</v>
      </c>
      <c r="B753" s="1">
        <v>0</v>
      </c>
      <c r="C753" s="1">
        <v>1</v>
      </c>
      <c r="D753" s="1">
        <v>1</v>
      </c>
      <c r="E753" s="1">
        <v>1</v>
      </c>
      <c r="F753" s="1">
        <v>12</v>
      </c>
      <c r="G753" s="1">
        <v>6</v>
      </c>
      <c r="H753" s="1">
        <v>2</v>
      </c>
      <c r="I753" s="1">
        <v>2</v>
      </c>
      <c r="J753" s="1">
        <v>4</v>
      </c>
      <c r="K753" s="1">
        <v>4</v>
      </c>
      <c r="L753" s="1">
        <v>7</v>
      </c>
      <c r="M753" s="1">
        <v>28</v>
      </c>
      <c r="N753" s="1">
        <v>31</v>
      </c>
      <c r="O753" s="1">
        <v>38</v>
      </c>
      <c r="P753">
        <v>0.15430737824438612</v>
      </c>
      <c r="Q753">
        <v>3.4019795657726677E-2</v>
      </c>
      <c r="R753">
        <v>4.2290909090909073E-2</v>
      </c>
    </row>
    <row r="754" spans="1:18">
      <c r="A754" s="1">
        <v>105</v>
      </c>
      <c r="B754" s="1">
        <v>1</v>
      </c>
      <c r="C754" s="1">
        <v>1</v>
      </c>
      <c r="D754" s="1">
        <v>1</v>
      </c>
      <c r="E754" s="1">
        <v>1</v>
      </c>
      <c r="F754" s="1">
        <v>14</v>
      </c>
      <c r="G754" s="1">
        <v>6</v>
      </c>
      <c r="H754" s="1">
        <v>3</v>
      </c>
      <c r="I754" s="1">
        <v>2</v>
      </c>
      <c r="J754" s="1">
        <v>5</v>
      </c>
      <c r="K754" s="1">
        <v>5</v>
      </c>
      <c r="L754" s="1">
        <v>7</v>
      </c>
      <c r="M754" s="1">
        <v>28</v>
      </c>
      <c r="N754" s="1">
        <v>31</v>
      </c>
      <c r="O754" s="1">
        <v>38</v>
      </c>
      <c r="P754">
        <v>0.15411636045494312</v>
      </c>
      <c r="Q754">
        <v>0.14426484674329504</v>
      </c>
      <c r="R754">
        <v>4.6736363636363618E-2</v>
      </c>
    </row>
    <row r="755" spans="1:18">
      <c r="A755" s="1">
        <v>106</v>
      </c>
      <c r="B755" s="1">
        <v>1</v>
      </c>
      <c r="C755" s="1">
        <v>1</v>
      </c>
      <c r="D755" s="1">
        <v>1</v>
      </c>
      <c r="E755" s="1">
        <v>0</v>
      </c>
      <c r="F755" s="1">
        <v>19</v>
      </c>
      <c r="G755" s="1">
        <v>6</v>
      </c>
      <c r="H755" s="1">
        <v>3</v>
      </c>
      <c r="I755" s="1">
        <v>2</v>
      </c>
      <c r="J755" s="1">
        <v>5</v>
      </c>
      <c r="K755" s="1">
        <v>6</v>
      </c>
      <c r="L755" s="1">
        <v>7</v>
      </c>
      <c r="M755" s="1">
        <v>28</v>
      </c>
      <c r="N755" s="1">
        <v>31</v>
      </c>
      <c r="O755" s="1">
        <v>38</v>
      </c>
      <c r="P755">
        <v>0.23200933216681247</v>
      </c>
      <c r="Q755">
        <v>0.25549808429118781</v>
      </c>
      <c r="R755">
        <v>5.1536363636363609E-2</v>
      </c>
    </row>
    <row r="756" spans="1:18">
      <c r="A756" s="1">
        <v>107</v>
      </c>
      <c r="B756" s="1">
        <v>1</v>
      </c>
      <c r="C756" s="1">
        <v>1</v>
      </c>
      <c r="D756" s="1">
        <v>1</v>
      </c>
      <c r="E756" s="1">
        <v>1</v>
      </c>
      <c r="F756" s="1">
        <v>26</v>
      </c>
      <c r="G756" s="1">
        <v>18</v>
      </c>
      <c r="H756" s="1">
        <v>3</v>
      </c>
      <c r="I756" s="1">
        <v>2</v>
      </c>
      <c r="J756" s="1">
        <v>6</v>
      </c>
      <c r="K756" s="1">
        <v>7</v>
      </c>
      <c r="L756" s="1">
        <v>7</v>
      </c>
      <c r="M756" s="1">
        <v>28</v>
      </c>
      <c r="N756" s="1">
        <v>31</v>
      </c>
      <c r="O756" s="1">
        <v>38</v>
      </c>
      <c r="P756">
        <v>0.21987605715952166</v>
      </c>
      <c r="Q756">
        <v>0.25096184546615585</v>
      </c>
      <c r="R756">
        <v>5.2131818181818203E-2</v>
      </c>
    </row>
    <row r="757" spans="1:18">
      <c r="A757" s="1">
        <v>108</v>
      </c>
      <c r="B757" s="1">
        <v>1</v>
      </c>
      <c r="C757" s="1">
        <v>0</v>
      </c>
      <c r="D757" s="1">
        <v>0</v>
      </c>
      <c r="E757" s="1">
        <v>1</v>
      </c>
      <c r="F757" s="1">
        <v>2</v>
      </c>
      <c r="G757" s="1">
        <v>6</v>
      </c>
      <c r="H757" s="1">
        <v>1</v>
      </c>
      <c r="I757" s="1">
        <v>2</v>
      </c>
      <c r="J757" s="1">
        <v>1</v>
      </c>
      <c r="K757" s="1">
        <v>1</v>
      </c>
      <c r="L757" s="1">
        <v>7</v>
      </c>
      <c r="M757" s="1">
        <v>28</v>
      </c>
      <c r="N757" s="1">
        <v>31</v>
      </c>
      <c r="O757" s="1">
        <v>38</v>
      </c>
      <c r="P757">
        <v>0.24094488188976376</v>
      </c>
      <c r="Q757">
        <v>0.3</v>
      </c>
      <c r="R757">
        <v>4.9340909090909095E-2</v>
      </c>
    </row>
    <row r="758" spans="1:18">
      <c r="A758" s="1">
        <v>1</v>
      </c>
      <c r="B758" s="1">
        <v>1</v>
      </c>
      <c r="C758" s="1">
        <v>1</v>
      </c>
      <c r="D758" s="1">
        <v>1</v>
      </c>
      <c r="E758" s="1">
        <v>0</v>
      </c>
      <c r="F758" s="1">
        <v>14</v>
      </c>
      <c r="G758" s="1">
        <v>6</v>
      </c>
      <c r="H758" s="1">
        <v>3</v>
      </c>
      <c r="I758" s="1">
        <v>1</v>
      </c>
      <c r="J758" s="1">
        <v>5</v>
      </c>
      <c r="K758" s="1">
        <v>5</v>
      </c>
      <c r="L758" s="1">
        <v>8</v>
      </c>
      <c r="M758" s="1">
        <v>34</v>
      </c>
      <c r="N758" s="1">
        <v>34</v>
      </c>
      <c r="O758" s="1">
        <v>41</v>
      </c>
      <c r="P758">
        <v>0.29291823899371061</v>
      </c>
      <c r="Q758">
        <v>0.27203962101636497</v>
      </c>
      <c r="R758">
        <v>5.7849999999999999E-2</v>
      </c>
    </row>
    <row r="759" spans="1:18">
      <c r="A759" s="1">
        <v>2</v>
      </c>
      <c r="B759" s="1">
        <v>1</v>
      </c>
      <c r="C759" s="1">
        <v>1</v>
      </c>
      <c r="D759" s="1">
        <v>1</v>
      </c>
      <c r="E759" s="1">
        <v>0</v>
      </c>
      <c r="F759" s="1">
        <v>15</v>
      </c>
      <c r="G759" s="1">
        <v>6</v>
      </c>
      <c r="H759" s="1">
        <v>3</v>
      </c>
      <c r="I759" s="1">
        <v>1</v>
      </c>
      <c r="J759" s="1">
        <v>5</v>
      </c>
      <c r="K759" s="1">
        <v>5</v>
      </c>
      <c r="L759" s="1">
        <v>8</v>
      </c>
      <c r="M759" s="1">
        <v>34</v>
      </c>
      <c r="N759" s="1">
        <v>34</v>
      </c>
      <c r="O759" s="1">
        <v>41</v>
      </c>
      <c r="P759">
        <v>0.33089308176100624</v>
      </c>
      <c r="Q759">
        <v>0.28045133505598618</v>
      </c>
      <c r="R759">
        <v>4.7918181818181811E-2</v>
      </c>
    </row>
    <row r="760" spans="1:18">
      <c r="A760" s="1">
        <v>3</v>
      </c>
      <c r="B760" s="1">
        <v>1</v>
      </c>
      <c r="C760" s="1">
        <v>1</v>
      </c>
      <c r="D760" s="1">
        <v>1</v>
      </c>
      <c r="E760" s="1">
        <v>0</v>
      </c>
      <c r="F760" s="1">
        <v>13</v>
      </c>
      <c r="G760" s="1">
        <v>6</v>
      </c>
      <c r="H760" s="1">
        <v>3</v>
      </c>
      <c r="I760" s="1">
        <v>1</v>
      </c>
      <c r="J760" s="1">
        <v>5</v>
      </c>
      <c r="K760" s="1">
        <v>5</v>
      </c>
      <c r="L760" s="1">
        <v>8</v>
      </c>
      <c r="M760" s="1">
        <v>34</v>
      </c>
      <c r="N760" s="1">
        <v>34</v>
      </c>
      <c r="O760" s="1">
        <v>41</v>
      </c>
      <c r="P760">
        <v>0.31301886792452821</v>
      </c>
      <c r="Q760">
        <v>0.19863049095607241</v>
      </c>
      <c r="R760">
        <v>4.7618181818181823E-2</v>
      </c>
    </row>
    <row r="761" spans="1:18">
      <c r="A761" s="1">
        <v>4</v>
      </c>
      <c r="B761" s="1">
        <v>1</v>
      </c>
      <c r="C761" s="1">
        <v>0</v>
      </c>
      <c r="D761" s="1">
        <v>0</v>
      </c>
      <c r="E761" s="1">
        <v>0</v>
      </c>
      <c r="F761" s="1">
        <v>1</v>
      </c>
      <c r="G761" s="1">
        <v>6</v>
      </c>
      <c r="H761" s="1">
        <v>1</v>
      </c>
      <c r="I761" s="1">
        <v>1</v>
      </c>
      <c r="J761" s="1">
        <v>1</v>
      </c>
      <c r="K761" s="1">
        <v>1</v>
      </c>
      <c r="L761" s="1">
        <v>8</v>
      </c>
      <c r="M761" s="1">
        <v>34</v>
      </c>
      <c r="N761" s="1">
        <v>34</v>
      </c>
      <c r="O761" s="1">
        <v>41</v>
      </c>
      <c r="P761">
        <v>0.32306918238993709</v>
      </c>
      <c r="Q761">
        <v>0.20332127476313522</v>
      </c>
      <c r="R761">
        <v>5.3195454545454553E-2</v>
      </c>
    </row>
    <row r="762" spans="1:18">
      <c r="A762" s="1">
        <v>5</v>
      </c>
      <c r="B762" s="1">
        <v>1</v>
      </c>
      <c r="C762" s="1">
        <v>1</v>
      </c>
      <c r="D762" s="1">
        <v>0</v>
      </c>
      <c r="E762" s="1">
        <v>0</v>
      </c>
      <c r="F762" s="1">
        <v>8</v>
      </c>
      <c r="G762" s="1">
        <v>6</v>
      </c>
      <c r="H762" s="1">
        <v>2</v>
      </c>
      <c r="I762" s="1">
        <v>1</v>
      </c>
      <c r="J762" s="1">
        <v>3</v>
      </c>
      <c r="K762" s="1">
        <v>3</v>
      </c>
      <c r="L762" s="1">
        <v>8</v>
      </c>
      <c r="M762" s="1">
        <v>34</v>
      </c>
      <c r="N762" s="1">
        <v>34</v>
      </c>
      <c r="O762" s="1">
        <v>41</v>
      </c>
      <c r="P762">
        <v>0.30293081761006285</v>
      </c>
      <c r="Q762">
        <v>0.28429112833764003</v>
      </c>
      <c r="R762">
        <v>4.3050000000000012E-2</v>
      </c>
    </row>
    <row r="763" spans="1:18">
      <c r="A763" s="1">
        <v>6</v>
      </c>
      <c r="B763" s="1">
        <v>1</v>
      </c>
      <c r="C763" s="1">
        <v>0</v>
      </c>
      <c r="D763" s="1">
        <v>0</v>
      </c>
      <c r="E763" s="1">
        <v>0</v>
      </c>
      <c r="F763" s="1">
        <v>2</v>
      </c>
      <c r="G763" s="1">
        <v>6</v>
      </c>
      <c r="H763" s="1">
        <v>1</v>
      </c>
      <c r="I763" s="1">
        <v>1</v>
      </c>
      <c r="J763" s="1">
        <v>1</v>
      </c>
      <c r="K763" s="1">
        <v>1</v>
      </c>
      <c r="L763" s="1">
        <v>8</v>
      </c>
      <c r="M763" s="1">
        <v>34</v>
      </c>
      <c r="N763" s="1">
        <v>34</v>
      </c>
      <c r="O763" s="1">
        <v>41</v>
      </c>
      <c r="P763">
        <v>0.24732075471698114</v>
      </c>
      <c r="Q763">
        <v>0.21363307493540037</v>
      </c>
      <c r="R763">
        <v>4.236363636363636E-2</v>
      </c>
    </row>
    <row r="764" spans="1:18">
      <c r="A764" s="1">
        <v>7</v>
      </c>
      <c r="B764" s="1">
        <v>1</v>
      </c>
      <c r="C764" s="1">
        <v>1</v>
      </c>
      <c r="D764" s="1">
        <v>1</v>
      </c>
      <c r="E764" s="1">
        <v>0</v>
      </c>
      <c r="F764" s="1">
        <v>24</v>
      </c>
      <c r="G764" s="1">
        <v>18</v>
      </c>
      <c r="H764" s="1">
        <v>3</v>
      </c>
      <c r="I764" s="1">
        <v>1</v>
      </c>
      <c r="J764" s="1">
        <v>6</v>
      </c>
      <c r="K764" s="1">
        <v>7</v>
      </c>
      <c r="L764" s="1">
        <v>8</v>
      </c>
      <c r="M764" s="1">
        <v>34</v>
      </c>
      <c r="N764" s="1">
        <v>34</v>
      </c>
      <c r="O764" s="1">
        <v>41</v>
      </c>
      <c r="P764">
        <v>0.28680503144654079</v>
      </c>
      <c r="Q764">
        <v>0.28902153316106804</v>
      </c>
      <c r="R764">
        <v>4.4900000000000002E-2</v>
      </c>
    </row>
    <row r="765" spans="1:18">
      <c r="A765" s="1">
        <v>8</v>
      </c>
      <c r="B765" s="1">
        <v>1</v>
      </c>
      <c r="C765" s="1">
        <v>1</v>
      </c>
      <c r="D765" s="1">
        <v>1</v>
      </c>
      <c r="E765" s="1">
        <v>0</v>
      </c>
      <c r="F765" s="1">
        <v>26</v>
      </c>
      <c r="G765" s="1">
        <v>18</v>
      </c>
      <c r="H765" s="1">
        <v>3</v>
      </c>
      <c r="I765" s="1">
        <v>1</v>
      </c>
      <c r="J765" s="1">
        <v>6</v>
      </c>
      <c r="K765" s="1">
        <v>7</v>
      </c>
      <c r="L765" s="1">
        <v>8</v>
      </c>
      <c r="M765" s="1">
        <v>34</v>
      </c>
      <c r="N765" s="1">
        <v>34</v>
      </c>
      <c r="O765" s="1">
        <v>41</v>
      </c>
      <c r="P765">
        <v>0.38591194968553461</v>
      </c>
      <c r="Q765">
        <v>0.33092161929371228</v>
      </c>
      <c r="R765">
        <v>4.7250000000000014E-2</v>
      </c>
    </row>
    <row r="766" spans="1:18">
      <c r="A766" s="1">
        <v>9</v>
      </c>
      <c r="B766" s="1">
        <v>1</v>
      </c>
      <c r="C766" s="1">
        <v>1</v>
      </c>
      <c r="D766" s="1">
        <v>1</v>
      </c>
      <c r="E766" s="1">
        <v>0</v>
      </c>
      <c r="F766" s="1">
        <v>21</v>
      </c>
      <c r="G766" s="1">
        <v>18</v>
      </c>
      <c r="H766" s="1">
        <v>3</v>
      </c>
      <c r="I766" s="1">
        <v>1</v>
      </c>
      <c r="J766" s="1">
        <v>6</v>
      </c>
      <c r="K766" s="1">
        <v>7</v>
      </c>
      <c r="L766" s="1">
        <v>8</v>
      </c>
      <c r="M766" s="1">
        <v>34</v>
      </c>
      <c r="N766" s="1">
        <v>34</v>
      </c>
      <c r="O766" s="1">
        <v>41</v>
      </c>
      <c r="P766">
        <v>0.49332075471698128</v>
      </c>
      <c r="Q766">
        <v>0.33375193798449604</v>
      </c>
      <c r="R766">
        <v>4.7913636363636367E-2</v>
      </c>
    </row>
    <row r="767" spans="1:18">
      <c r="A767" s="1">
        <v>10</v>
      </c>
      <c r="B767" s="1">
        <v>1</v>
      </c>
      <c r="C767" s="1">
        <v>1</v>
      </c>
      <c r="D767" s="1">
        <v>1</v>
      </c>
      <c r="E767" s="1">
        <v>0</v>
      </c>
      <c r="F767" s="1">
        <v>25</v>
      </c>
      <c r="G767" s="1">
        <v>18</v>
      </c>
      <c r="H767" s="1">
        <v>3</v>
      </c>
      <c r="I767" s="1">
        <v>1</v>
      </c>
      <c r="J767" s="1">
        <v>6</v>
      </c>
      <c r="K767" s="1">
        <v>7</v>
      </c>
      <c r="L767" s="1">
        <v>8</v>
      </c>
      <c r="M767" s="1">
        <v>34</v>
      </c>
      <c r="N767" s="1">
        <v>34</v>
      </c>
      <c r="O767" s="1">
        <v>41</v>
      </c>
      <c r="P767">
        <v>0.57733333333333337</v>
      </c>
      <c r="Q767">
        <v>0.49193109388458212</v>
      </c>
      <c r="R767">
        <v>5.3672727272727275E-2</v>
      </c>
    </row>
    <row r="768" spans="1:18">
      <c r="A768" s="1">
        <v>11</v>
      </c>
      <c r="B768" s="1">
        <v>1</v>
      </c>
      <c r="C768" s="1">
        <v>1</v>
      </c>
      <c r="D768" s="1">
        <v>1</v>
      </c>
      <c r="E768" s="1">
        <v>0</v>
      </c>
      <c r="F768" s="1">
        <v>20</v>
      </c>
      <c r="G768" s="1">
        <v>18</v>
      </c>
      <c r="H768" s="1">
        <v>3</v>
      </c>
      <c r="I768" s="1">
        <v>1</v>
      </c>
      <c r="J768" s="1">
        <v>6</v>
      </c>
      <c r="K768" s="1">
        <v>7</v>
      </c>
      <c r="L768" s="1">
        <v>8</v>
      </c>
      <c r="M768" s="1">
        <v>34</v>
      </c>
      <c r="N768" s="1">
        <v>34</v>
      </c>
      <c r="O768" s="1">
        <v>41</v>
      </c>
      <c r="P768">
        <v>0.44851572327044031</v>
      </c>
      <c r="Q768">
        <v>0.30499397071490097</v>
      </c>
      <c r="R768">
        <v>4.5350000000000001E-2</v>
      </c>
    </row>
    <row r="769" spans="1:18">
      <c r="A769" s="1">
        <v>12</v>
      </c>
      <c r="B769" s="1">
        <v>1</v>
      </c>
      <c r="C769" s="1">
        <v>1</v>
      </c>
      <c r="D769" s="1">
        <v>1</v>
      </c>
      <c r="E769" s="1">
        <v>1</v>
      </c>
      <c r="F769" s="1">
        <v>18</v>
      </c>
      <c r="G769" s="1">
        <v>6</v>
      </c>
      <c r="H769" s="1">
        <v>3</v>
      </c>
      <c r="I769" s="1">
        <v>1</v>
      </c>
      <c r="J769" s="1">
        <v>5</v>
      </c>
      <c r="K769" s="1">
        <v>6</v>
      </c>
      <c r="L769" s="1">
        <v>8</v>
      </c>
      <c r="M769" s="1">
        <v>34</v>
      </c>
      <c r="N769" s="1">
        <v>34</v>
      </c>
      <c r="O769" s="1">
        <v>41</v>
      </c>
      <c r="P769">
        <v>0.15719916142557655</v>
      </c>
      <c r="Q769">
        <v>0.16487855297157628</v>
      </c>
      <c r="R769">
        <v>3.8800000000000008E-2</v>
      </c>
    </row>
    <row r="770" spans="1:18">
      <c r="A770" s="1">
        <v>13</v>
      </c>
      <c r="B770" s="1">
        <v>1</v>
      </c>
      <c r="C770" s="1">
        <v>1</v>
      </c>
      <c r="D770" s="1">
        <v>1</v>
      </c>
      <c r="E770" s="1">
        <v>1</v>
      </c>
      <c r="F770" s="1">
        <v>25</v>
      </c>
      <c r="G770" s="1">
        <v>18</v>
      </c>
      <c r="H770" s="1">
        <v>3</v>
      </c>
      <c r="I770" s="1">
        <v>1</v>
      </c>
      <c r="J770" s="1">
        <v>6</v>
      </c>
      <c r="K770" s="1">
        <v>7</v>
      </c>
      <c r="L770" s="1">
        <v>8</v>
      </c>
      <c r="M770" s="1">
        <v>34</v>
      </c>
      <c r="N770" s="1">
        <v>34</v>
      </c>
      <c r="O770" s="1">
        <v>41</v>
      </c>
      <c r="P770">
        <v>0.27167016072676442</v>
      </c>
      <c r="Q770">
        <v>0.2555641688199829</v>
      </c>
      <c r="R770">
        <v>3.9840909090909073E-2</v>
      </c>
    </row>
    <row r="771" spans="1:18">
      <c r="A771" s="1">
        <v>14</v>
      </c>
      <c r="B771" s="1">
        <v>1</v>
      </c>
      <c r="C771" s="1">
        <v>1</v>
      </c>
      <c r="D771" s="1">
        <v>1</v>
      </c>
      <c r="E771" s="1">
        <v>1</v>
      </c>
      <c r="F771" s="1">
        <v>14</v>
      </c>
      <c r="G771" s="1">
        <v>6</v>
      </c>
      <c r="H771" s="1">
        <v>3</v>
      </c>
      <c r="I771" s="1">
        <v>1</v>
      </c>
      <c r="J771" s="1">
        <v>5</v>
      </c>
      <c r="K771" s="1">
        <v>5</v>
      </c>
      <c r="L771" s="1">
        <v>8</v>
      </c>
      <c r="M771" s="1">
        <v>34</v>
      </c>
      <c r="N771" s="1">
        <v>34</v>
      </c>
      <c r="O771" s="1">
        <v>41</v>
      </c>
      <c r="P771">
        <v>0.27142417889587706</v>
      </c>
      <c r="Q771">
        <v>0.19648234280792432</v>
      </c>
      <c r="R771">
        <v>3.637727272727273E-2</v>
      </c>
    </row>
    <row r="772" spans="1:18">
      <c r="A772" s="1">
        <v>15</v>
      </c>
      <c r="B772" s="1">
        <v>1</v>
      </c>
      <c r="C772" s="1">
        <v>1</v>
      </c>
      <c r="D772" s="1">
        <v>1</v>
      </c>
      <c r="E772" s="1">
        <v>0</v>
      </c>
      <c r="F772" s="1">
        <v>18</v>
      </c>
      <c r="G772" s="1">
        <v>6</v>
      </c>
      <c r="H772" s="1">
        <v>3</v>
      </c>
      <c r="I772" s="1">
        <v>1</v>
      </c>
      <c r="J772" s="1">
        <v>5</v>
      </c>
      <c r="K772" s="1">
        <v>6</v>
      </c>
      <c r="L772" s="1">
        <v>8</v>
      </c>
      <c r="M772" s="1">
        <v>34</v>
      </c>
      <c r="N772" s="1">
        <v>34</v>
      </c>
      <c r="O772" s="1">
        <v>41</v>
      </c>
      <c r="P772">
        <v>0.30607547169811328</v>
      </c>
      <c r="Q772">
        <v>0.24189664082687343</v>
      </c>
      <c r="R772">
        <v>4.4177272727272718E-2</v>
      </c>
    </row>
    <row r="773" spans="1:18">
      <c r="A773" s="1">
        <v>16</v>
      </c>
      <c r="B773" s="1">
        <v>1</v>
      </c>
      <c r="C773" s="1">
        <v>1</v>
      </c>
      <c r="D773" s="1">
        <v>1</v>
      </c>
      <c r="E773" s="1">
        <v>1</v>
      </c>
      <c r="F773" s="1">
        <v>21</v>
      </c>
      <c r="G773" s="1">
        <v>18</v>
      </c>
      <c r="H773" s="1">
        <v>3</v>
      </c>
      <c r="I773" s="1">
        <v>1</v>
      </c>
      <c r="J773" s="1">
        <v>6</v>
      </c>
      <c r="K773" s="1">
        <v>7</v>
      </c>
      <c r="L773" s="1">
        <v>8</v>
      </c>
      <c r="M773" s="1">
        <v>34</v>
      </c>
      <c r="N773" s="1">
        <v>34</v>
      </c>
      <c r="O773" s="1">
        <v>41</v>
      </c>
      <c r="P773">
        <v>0.28300768693221517</v>
      </c>
      <c r="Q773">
        <v>0.24483031869078389</v>
      </c>
      <c r="R773">
        <v>4.0518181818181814E-2</v>
      </c>
    </row>
    <row r="774" spans="1:18">
      <c r="A774" s="1">
        <v>17</v>
      </c>
      <c r="B774" s="1">
        <v>1</v>
      </c>
      <c r="C774" s="1">
        <v>0</v>
      </c>
      <c r="D774" s="1">
        <v>0</v>
      </c>
      <c r="E774" s="1">
        <v>1</v>
      </c>
      <c r="F774" s="1">
        <v>1</v>
      </c>
      <c r="G774" s="1">
        <v>6</v>
      </c>
      <c r="H774" s="1">
        <v>1</v>
      </c>
      <c r="I774" s="1">
        <v>1</v>
      </c>
      <c r="J774" s="1">
        <v>1</v>
      </c>
      <c r="K774" s="1">
        <v>1</v>
      </c>
      <c r="L774" s="1">
        <v>8</v>
      </c>
      <c r="M774" s="1">
        <v>34</v>
      </c>
      <c r="N774" s="1">
        <v>34</v>
      </c>
      <c r="O774" s="1">
        <v>41</v>
      </c>
      <c r="P774">
        <v>0.24125227113906367</v>
      </c>
      <c r="Q774">
        <v>0.26016709732988813</v>
      </c>
      <c r="R774">
        <v>3.7409090909090906E-2</v>
      </c>
    </row>
    <row r="775" spans="1:18">
      <c r="A775" s="1">
        <v>18</v>
      </c>
      <c r="B775" s="1">
        <v>1</v>
      </c>
      <c r="C775" s="1">
        <v>1</v>
      </c>
      <c r="D775" s="1">
        <v>1</v>
      </c>
      <c r="E775" s="1">
        <v>0</v>
      </c>
      <c r="F775" s="1">
        <v>22</v>
      </c>
      <c r="G775" s="1">
        <v>18</v>
      </c>
      <c r="H775" s="1">
        <v>3</v>
      </c>
      <c r="I775" s="1">
        <v>1</v>
      </c>
      <c r="J775" s="1">
        <v>6</v>
      </c>
      <c r="K775" s="1">
        <v>7</v>
      </c>
      <c r="L775" s="1">
        <v>8</v>
      </c>
      <c r="M775" s="1">
        <v>34</v>
      </c>
      <c r="N775" s="1">
        <v>34</v>
      </c>
      <c r="O775" s="1">
        <v>41</v>
      </c>
      <c r="P775">
        <v>0.40943396226415102</v>
      </c>
      <c r="Q775">
        <v>0.29038759689922478</v>
      </c>
      <c r="R775">
        <v>3.776363636363636E-2</v>
      </c>
    </row>
    <row r="776" spans="1:18">
      <c r="A776" s="1">
        <v>19</v>
      </c>
      <c r="B776" s="1">
        <v>1</v>
      </c>
      <c r="C776" s="1">
        <v>1</v>
      </c>
      <c r="D776" s="1">
        <v>1</v>
      </c>
      <c r="E776" s="1">
        <v>1</v>
      </c>
      <c r="F776" s="1">
        <v>26</v>
      </c>
      <c r="G776" s="1">
        <v>18</v>
      </c>
      <c r="H776" s="1">
        <v>3</v>
      </c>
      <c r="I776" s="1">
        <v>1</v>
      </c>
      <c r="J776" s="1">
        <v>6</v>
      </c>
      <c r="K776" s="1">
        <v>7</v>
      </c>
      <c r="L776" s="1">
        <v>8</v>
      </c>
      <c r="M776" s="1">
        <v>34</v>
      </c>
      <c r="N776" s="1">
        <v>34</v>
      </c>
      <c r="O776" s="1">
        <v>41</v>
      </c>
      <c r="P776">
        <v>0.3192508735150244</v>
      </c>
      <c r="Q776">
        <v>0.28711972437553829</v>
      </c>
      <c r="R776">
        <v>4.7509090909090904E-2</v>
      </c>
    </row>
    <row r="777" spans="1:18">
      <c r="A777" s="1">
        <v>20</v>
      </c>
      <c r="B777" s="1">
        <v>1</v>
      </c>
      <c r="C777" s="1">
        <v>1</v>
      </c>
      <c r="D777" s="1">
        <v>1</v>
      </c>
      <c r="E777" s="1">
        <v>0</v>
      </c>
      <c r="F777" s="1">
        <v>17</v>
      </c>
      <c r="G777" s="1">
        <v>6</v>
      </c>
      <c r="H777" s="1">
        <v>3</v>
      </c>
      <c r="I777" s="1">
        <v>1</v>
      </c>
      <c r="J777" s="1">
        <v>5</v>
      </c>
      <c r="K777" s="1">
        <v>6</v>
      </c>
      <c r="L777" s="1">
        <v>8</v>
      </c>
      <c r="M777" s="1">
        <v>34</v>
      </c>
      <c r="N777" s="1">
        <v>34</v>
      </c>
      <c r="O777" s="1">
        <v>41</v>
      </c>
      <c r="P777">
        <v>0.22576100628930817</v>
      </c>
      <c r="Q777">
        <v>0.21046683893195517</v>
      </c>
      <c r="R777">
        <v>3.7586363636363647E-2</v>
      </c>
    </row>
    <row r="778" spans="1:18">
      <c r="A778" s="1">
        <v>21</v>
      </c>
      <c r="B778" s="1">
        <v>1</v>
      </c>
      <c r="C778" s="1">
        <v>1</v>
      </c>
      <c r="D778" s="1">
        <v>1</v>
      </c>
      <c r="E778" s="1">
        <v>0</v>
      </c>
      <c r="F778" s="1">
        <v>19</v>
      </c>
      <c r="G778" s="1">
        <v>6</v>
      </c>
      <c r="H778" s="1">
        <v>3</v>
      </c>
      <c r="I778" s="1">
        <v>1</v>
      </c>
      <c r="J778" s="1">
        <v>5</v>
      </c>
      <c r="K778" s="1">
        <v>6</v>
      </c>
      <c r="L778" s="1">
        <v>8</v>
      </c>
      <c r="M778" s="1">
        <v>34</v>
      </c>
      <c r="N778" s="1">
        <v>34</v>
      </c>
      <c r="O778" s="1">
        <v>41</v>
      </c>
      <c r="P778">
        <v>0.32864150943396248</v>
      </c>
      <c r="Q778">
        <v>0.24306459948320422</v>
      </c>
      <c r="R778">
        <v>4.2654545454545438E-2</v>
      </c>
    </row>
    <row r="779" spans="1:18">
      <c r="A779" s="1">
        <v>22</v>
      </c>
      <c r="B779" s="1">
        <v>1</v>
      </c>
      <c r="C779" s="1">
        <v>0</v>
      </c>
      <c r="D779" s="1">
        <v>0</v>
      </c>
      <c r="E779" s="1">
        <v>0</v>
      </c>
      <c r="F779" s="1">
        <v>3</v>
      </c>
      <c r="G779" s="1">
        <v>6</v>
      </c>
      <c r="H779" s="1">
        <v>1</v>
      </c>
      <c r="I779" s="1">
        <v>1</v>
      </c>
      <c r="J779" s="1">
        <v>1</v>
      </c>
      <c r="K779" s="1">
        <v>1</v>
      </c>
      <c r="L779" s="1">
        <v>8</v>
      </c>
      <c r="M779" s="1">
        <v>34</v>
      </c>
      <c r="N779" s="1">
        <v>34</v>
      </c>
      <c r="O779" s="1">
        <v>41</v>
      </c>
      <c r="P779">
        <v>0.32133333333333353</v>
      </c>
      <c r="Q779">
        <v>0.13519724375538347</v>
      </c>
      <c r="R779">
        <v>4.5100000000000001E-2</v>
      </c>
    </row>
    <row r="780" spans="1:18">
      <c r="A780" s="1">
        <v>23</v>
      </c>
      <c r="B780" s="1">
        <v>1</v>
      </c>
      <c r="C780" s="1">
        <v>1</v>
      </c>
      <c r="D780" s="1">
        <v>1</v>
      </c>
      <c r="E780" s="1">
        <v>1</v>
      </c>
      <c r="F780" s="1">
        <v>24</v>
      </c>
      <c r="G780" s="1">
        <v>18</v>
      </c>
      <c r="H780" s="1">
        <v>3</v>
      </c>
      <c r="I780" s="1">
        <v>1</v>
      </c>
      <c r="J780" s="1">
        <v>6</v>
      </c>
      <c r="K780" s="1">
        <v>7</v>
      </c>
      <c r="L780" s="1">
        <v>8</v>
      </c>
      <c r="M780" s="1">
        <v>34</v>
      </c>
      <c r="N780" s="1">
        <v>34</v>
      </c>
      <c r="O780" s="1">
        <v>41</v>
      </c>
      <c r="P780">
        <v>0.27373864430468209</v>
      </c>
      <c r="Q780">
        <v>0.27218776916451332</v>
      </c>
      <c r="R780">
        <v>4.4345454545454549E-2</v>
      </c>
    </row>
    <row r="781" spans="1:18">
      <c r="A781" s="1">
        <v>24</v>
      </c>
      <c r="B781" s="1">
        <v>1</v>
      </c>
      <c r="C781" s="1">
        <v>1</v>
      </c>
      <c r="D781" s="1">
        <v>1</v>
      </c>
      <c r="E781" s="1">
        <v>0</v>
      </c>
      <c r="F781" s="1">
        <v>16</v>
      </c>
      <c r="G781" s="1">
        <v>6</v>
      </c>
      <c r="H781" s="1">
        <v>3</v>
      </c>
      <c r="I781" s="1">
        <v>1</v>
      </c>
      <c r="J781" s="1">
        <v>5</v>
      </c>
      <c r="K781" s="1">
        <v>6</v>
      </c>
      <c r="L781" s="1">
        <v>8</v>
      </c>
      <c r="M781" s="1">
        <v>34</v>
      </c>
      <c r="N781" s="1">
        <v>34</v>
      </c>
      <c r="O781" s="1">
        <v>41</v>
      </c>
      <c r="P781">
        <v>0.5157735849056605</v>
      </c>
      <c r="Q781">
        <v>0.47109043927648575</v>
      </c>
      <c r="R781">
        <v>4.5431818181818191E-2</v>
      </c>
    </row>
    <row r="782" spans="1:18">
      <c r="A782" s="1">
        <v>25</v>
      </c>
      <c r="B782" s="1">
        <v>0</v>
      </c>
      <c r="C782" s="1">
        <v>1</v>
      </c>
      <c r="D782" s="1">
        <v>1</v>
      </c>
      <c r="E782" s="1">
        <v>0</v>
      </c>
      <c r="F782" s="1">
        <v>10</v>
      </c>
      <c r="G782" s="1">
        <v>6</v>
      </c>
      <c r="H782" s="1">
        <v>2</v>
      </c>
      <c r="I782" s="1">
        <v>1</v>
      </c>
      <c r="J782" s="1">
        <v>4</v>
      </c>
      <c r="K782" s="1">
        <v>4</v>
      </c>
      <c r="L782" s="1">
        <v>8</v>
      </c>
      <c r="M782" s="1">
        <v>34</v>
      </c>
      <c r="N782" s="1">
        <v>34</v>
      </c>
      <c r="O782" s="1">
        <v>41</v>
      </c>
      <c r="P782">
        <v>0.26846540880503161</v>
      </c>
      <c r="Q782">
        <v>0.22833936261843243</v>
      </c>
      <c r="R782">
        <v>4.5286363636363625E-2</v>
      </c>
    </row>
    <row r="783" spans="1:18">
      <c r="A783" s="1">
        <v>26</v>
      </c>
      <c r="B783" s="1">
        <v>0</v>
      </c>
      <c r="C783" s="1">
        <v>1</v>
      </c>
      <c r="D783" s="1">
        <v>0</v>
      </c>
      <c r="E783" s="1">
        <v>0</v>
      </c>
      <c r="F783" s="1">
        <v>6</v>
      </c>
      <c r="G783" s="1">
        <v>6</v>
      </c>
      <c r="H783" s="1">
        <v>1</v>
      </c>
      <c r="I783" s="1">
        <v>1</v>
      </c>
      <c r="J783" s="1">
        <v>2</v>
      </c>
      <c r="K783" s="1">
        <v>2</v>
      </c>
      <c r="L783" s="1">
        <v>8</v>
      </c>
      <c r="M783" s="1">
        <v>34</v>
      </c>
      <c r="N783" s="1">
        <v>34</v>
      </c>
      <c r="O783" s="1">
        <v>41</v>
      </c>
      <c r="P783">
        <v>0.4724779874213838</v>
      </c>
      <c r="Q783">
        <v>0.4265185185185183</v>
      </c>
      <c r="R783">
        <v>4.5968181818181811E-2</v>
      </c>
    </row>
    <row r="784" spans="1:18">
      <c r="A784" s="1">
        <v>27</v>
      </c>
      <c r="B784" s="1">
        <v>1</v>
      </c>
      <c r="C784" s="1">
        <v>1</v>
      </c>
      <c r="D784" s="1">
        <v>0</v>
      </c>
      <c r="E784" s="1">
        <v>0</v>
      </c>
      <c r="F784" s="1">
        <v>9</v>
      </c>
      <c r="G784" s="1">
        <v>6</v>
      </c>
      <c r="H784" s="1">
        <v>2</v>
      </c>
      <c r="I784" s="1">
        <v>1</v>
      </c>
      <c r="J784" s="1">
        <v>3</v>
      </c>
      <c r="K784" s="1">
        <v>3</v>
      </c>
      <c r="L784" s="1">
        <v>8</v>
      </c>
      <c r="M784" s="1">
        <v>34</v>
      </c>
      <c r="N784" s="1">
        <v>34</v>
      </c>
      <c r="O784" s="1">
        <v>41</v>
      </c>
      <c r="P784">
        <v>0.26064150943396241</v>
      </c>
      <c r="Q784">
        <v>0.23213953488372091</v>
      </c>
      <c r="R784">
        <v>3.6927272727272739E-2</v>
      </c>
    </row>
    <row r="785" spans="1:18">
      <c r="A785" s="1">
        <v>28</v>
      </c>
      <c r="B785" s="1">
        <v>1</v>
      </c>
      <c r="C785" s="1">
        <v>1</v>
      </c>
      <c r="D785" s="1">
        <v>0</v>
      </c>
      <c r="E785" s="1">
        <v>0</v>
      </c>
      <c r="F785" s="1">
        <v>7</v>
      </c>
      <c r="G785" s="1">
        <v>6</v>
      </c>
      <c r="H785" s="1">
        <v>2</v>
      </c>
      <c r="I785" s="1">
        <v>1</v>
      </c>
      <c r="J785" s="1">
        <v>3</v>
      </c>
      <c r="K785" s="1">
        <v>3</v>
      </c>
      <c r="L785" s="1">
        <v>8</v>
      </c>
      <c r="M785" s="1">
        <v>34</v>
      </c>
      <c r="N785" s="1">
        <v>34</v>
      </c>
      <c r="O785" s="1">
        <v>41</v>
      </c>
      <c r="P785">
        <v>0.40125786163522037</v>
      </c>
      <c r="Q785">
        <v>0.3252024117140398</v>
      </c>
      <c r="R785">
        <v>5.5236363636363646E-2</v>
      </c>
    </row>
    <row r="786" spans="1:18">
      <c r="A786" s="1">
        <v>29</v>
      </c>
      <c r="B786" s="1">
        <v>1</v>
      </c>
      <c r="C786" s="1">
        <v>1</v>
      </c>
      <c r="D786" s="1">
        <v>1</v>
      </c>
      <c r="E786" s="1">
        <v>0</v>
      </c>
      <c r="F786" s="1">
        <v>23</v>
      </c>
      <c r="G786" s="1">
        <v>18</v>
      </c>
      <c r="H786" s="1">
        <v>3</v>
      </c>
      <c r="I786" s="1">
        <v>1</v>
      </c>
      <c r="J786" s="1">
        <v>6</v>
      </c>
      <c r="K786" s="1">
        <v>7</v>
      </c>
      <c r="L786" s="1">
        <v>8</v>
      </c>
      <c r="M786" s="1">
        <v>34</v>
      </c>
      <c r="N786" s="1">
        <v>34</v>
      </c>
      <c r="O786" s="1">
        <v>41</v>
      </c>
      <c r="P786">
        <v>0.23168553459119498</v>
      </c>
      <c r="Q786">
        <v>0.25733505598621875</v>
      </c>
      <c r="R786">
        <v>3.6027272727272734E-2</v>
      </c>
    </row>
    <row r="787" spans="1:18">
      <c r="A787" s="1">
        <v>30</v>
      </c>
      <c r="B787" s="1">
        <v>0</v>
      </c>
      <c r="C787" s="1">
        <v>1</v>
      </c>
      <c r="D787" s="1">
        <v>0</v>
      </c>
      <c r="E787" s="1">
        <v>0</v>
      </c>
      <c r="F787" s="1">
        <v>4</v>
      </c>
      <c r="G787" s="1">
        <v>6</v>
      </c>
      <c r="H787" s="1">
        <v>1</v>
      </c>
      <c r="I787" s="1">
        <v>1</v>
      </c>
      <c r="J787" s="1">
        <v>2</v>
      </c>
      <c r="K787" s="1">
        <v>2</v>
      </c>
      <c r="L787" s="1">
        <v>8</v>
      </c>
      <c r="M787" s="1">
        <v>34</v>
      </c>
      <c r="N787" s="1">
        <v>34</v>
      </c>
      <c r="O787" s="1">
        <v>41</v>
      </c>
      <c r="P787">
        <v>0.3277735849056605</v>
      </c>
      <c r="Q787">
        <v>0.28342118863049087</v>
      </c>
      <c r="R787">
        <v>4.4609090909090904E-2</v>
      </c>
    </row>
    <row r="788" spans="1:18">
      <c r="A788" s="1">
        <v>31</v>
      </c>
      <c r="B788" s="1">
        <v>1</v>
      </c>
      <c r="C788" s="1">
        <v>0</v>
      </c>
      <c r="D788" s="1">
        <v>0</v>
      </c>
      <c r="E788" s="1">
        <v>1</v>
      </c>
      <c r="F788" s="1">
        <v>3</v>
      </c>
      <c r="G788" s="1">
        <v>6</v>
      </c>
      <c r="H788" s="1">
        <v>1</v>
      </c>
      <c r="I788" s="1">
        <v>1</v>
      </c>
      <c r="J788" s="1">
        <v>1</v>
      </c>
      <c r="K788" s="1">
        <v>1</v>
      </c>
      <c r="L788" s="1">
        <v>8</v>
      </c>
      <c r="M788" s="1">
        <v>34</v>
      </c>
      <c r="N788" s="1">
        <v>34</v>
      </c>
      <c r="O788" s="1">
        <v>41</v>
      </c>
      <c r="P788">
        <v>0.29818588399720475</v>
      </c>
      <c r="Q788">
        <v>0.2479052540913006</v>
      </c>
      <c r="R788">
        <v>4.1363636363636373E-2</v>
      </c>
    </row>
    <row r="789" spans="1:18">
      <c r="A789" s="1">
        <v>32</v>
      </c>
      <c r="B789" s="1">
        <v>1</v>
      </c>
      <c r="C789" s="1">
        <v>1</v>
      </c>
      <c r="D789" s="1">
        <v>1</v>
      </c>
      <c r="E789" s="1">
        <v>1</v>
      </c>
      <c r="F789" s="1">
        <v>13</v>
      </c>
      <c r="G789" s="1">
        <v>6</v>
      </c>
      <c r="H789" s="1">
        <v>3</v>
      </c>
      <c r="I789" s="1">
        <v>1</v>
      </c>
      <c r="J789" s="1">
        <v>5</v>
      </c>
      <c r="K789" s="1">
        <v>5</v>
      </c>
      <c r="L789" s="1">
        <v>8</v>
      </c>
      <c r="M789" s="1">
        <v>34</v>
      </c>
      <c r="N789" s="1">
        <v>34</v>
      </c>
      <c r="O789" s="1">
        <v>41</v>
      </c>
      <c r="P789">
        <v>0.2617134870719775</v>
      </c>
      <c r="Q789">
        <v>0.2781257536606373</v>
      </c>
      <c r="R789">
        <v>5.9513636363636359E-2</v>
      </c>
    </row>
    <row r="790" spans="1:18">
      <c r="A790" s="1">
        <v>33</v>
      </c>
      <c r="B790" s="1">
        <v>0</v>
      </c>
      <c r="C790" s="1">
        <v>1</v>
      </c>
      <c r="D790" s="1">
        <v>1</v>
      </c>
      <c r="E790" s="1">
        <v>0</v>
      </c>
      <c r="F790" s="1">
        <v>12</v>
      </c>
      <c r="G790" s="1">
        <v>6</v>
      </c>
      <c r="H790" s="1">
        <v>2</v>
      </c>
      <c r="I790" s="1">
        <v>1</v>
      </c>
      <c r="J790" s="1">
        <v>4</v>
      </c>
      <c r="K790" s="1">
        <v>4</v>
      </c>
      <c r="L790" s="1">
        <v>8</v>
      </c>
      <c r="M790" s="1">
        <v>34</v>
      </c>
      <c r="N790" s="1">
        <v>34</v>
      </c>
      <c r="O790" s="1">
        <v>41</v>
      </c>
      <c r="P790">
        <v>0.34056603773584915</v>
      </c>
      <c r="Q790">
        <v>0.27144702842377261</v>
      </c>
      <c r="R790">
        <v>3.5363636363636368E-2</v>
      </c>
    </row>
    <row r="791" spans="1:18">
      <c r="A791" s="1">
        <v>34</v>
      </c>
      <c r="B791" s="1">
        <v>0</v>
      </c>
      <c r="C791" s="1">
        <v>1</v>
      </c>
      <c r="D791" s="1">
        <v>1</v>
      </c>
      <c r="E791" s="1">
        <v>1</v>
      </c>
      <c r="F791" s="1">
        <v>10</v>
      </c>
      <c r="G791" s="1">
        <v>6</v>
      </c>
      <c r="H791" s="1">
        <v>2</v>
      </c>
      <c r="I791" s="1">
        <v>1</v>
      </c>
      <c r="J791" s="1">
        <v>4</v>
      </c>
      <c r="K791" s="1">
        <v>4</v>
      </c>
      <c r="L791" s="1">
        <v>8</v>
      </c>
      <c r="M791" s="1">
        <v>34</v>
      </c>
      <c r="N791" s="1">
        <v>34</v>
      </c>
      <c r="O791" s="1">
        <v>41</v>
      </c>
      <c r="P791">
        <v>0.21518378756114606</v>
      </c>
      <c r="Q791">
        <v>0.2101946597760552</v>
      </c>
      <c r="R791">
        <v>4.6559090909090918E-2</v>
      </c>
    </row>
    <row r="792" spans="1:18">
      <c r="A792" s="1">
        <v>35</v>
      </c>
      <c r="B792" s="1">
        <v>1</v>
      </c>
      <c r="C792" s="1">
        <v>1</v>
      </c>
      <c r="D792" s="1">
        <v>0</v>
      </c>
      <c r="E792" s="1">
        <v>1</v>
      </c>
      <c r="F792" s="1">
        <v>8</v>
      </c>
      <c r="G792" s="1">
        <v>6</v>
      </c>
      <c r="H792" s="1">
        <v>2</v>
      </c>
      <c r="I792" s="1">
        <v>1</v>
      </c>
      <c r="J792" s="1">
        <v>3</v>
      </c>
      <c r="K792" s="1">
        <v>3</v>
      </c>
      <c r="L792" s="1">
        <v>8</v>
      </c>
      <c r="M792" s="1">
        <v>34</v>
      </c>
      <c r="N792" s="1">
        <v>34</v>
      </c>
      <c r="O792" s="1">
        <v>41</v>
      </c>
      <c r="P792">
        <v>0.3062585604472397</v>
      </c>
      <c r="Q792">
        <v>0.23111283376399649</v>
      </c>
      <c r="R792">
        <v>4.7649999999999991E-2</v>
      </c>
    </row>
    <row r="793" spans="1:18">
      <c r="A793" s="1">
        <v>36</v>
      </c>
      <c r="B793" s="1">
        <v>1</v>
      </c>
      <c r="C793" s="1">
        <v>1</v>
      </c>
      <c r="D793" s="1">
        <v>1</v>
      </c>
      <c r="E793" s="1">
        <v>1</v>
      </c>
      <c r="F793" s="1">
        <v>20</v>
      </c>
      <c r="G793" s="1">
        <v>18</v>
      </c>
      <c r="H793" s="1">
        <v>3</v>
      </c>
      <c r="I793" s="1">
        <v>1</v>
      </c>
      <c r="J793" s="1">
        <v>6</v>
      </c>
      <c r="K793" s="1">
        <v>7</v>
      </c>
      <c r="L793" s="1">
        <v>8</v>
      </c>
      <c r="M793" s="1">
        <v>34</v>
      </c>
      <c r="N793" s="1">
        <v>34</v>
      </c>
      <c r="O793" s="1">
        <v>41</v>
      </c>
      <c r="P793">
        <v>0.3799748427672956</v>
      </c>
      <c r="Q793">
        <v>0.23528682170542639</v>
      </c>
      <c r="R793">
        <v>4.3231818181818177E-2</v>
      </c>
    </row>
    <row r="794" spans="1:18">
      <c r="A794" s="1">
        <v>37</v>
      </c>
      <c r="B794" s="1">
        <v>1</v>
      </c>
      <c r="C794" s="1">
        <v>1</v>
      </c>
      <c r="D794" s="1">
        <v>1</v>
      </c>
      <c r="E794" s="1">
        <v>1</v>
      </c>
      <c r="F794" s="1">
        <v>23</v>
      </c>
      <c r="G794" s="1">
        <v>18</v>
      </c>
      <c r="H794" s="1">
        <v>3</v>
      </c>
      <c r="I794" s="1">
        <v>1</v>
      </c>
      <c r="J794" s="1">
        <v>6</v>
      </c>
      <c r="K794" s="1">
        <v>7</v>
      </c>
      <c r="L794" s="1">
        <v>8</v>
      </c>
      <c r="M794" s="1">
        <v>34</v>
      </c>
      <c r="N794" s="1">
        <v>34</v>
      </c>
      <c r="O794" s="1">
        <v>41</v>
      </c>
      <c r="P794">
        <v>0.16463452131376663</v>
      </c>
      <c r="Q794">
        <v>0.22643755383290268</v>
      </c>
      <c r="R794">
        <v>3.5977272727272733E-2</v>
      </c>
    </row>
    <row r="795" spans="1:18">
      <c r="A795" s="1">
        <v>38</v>
      </c>
      <c r="B795" s="1">
        <v>0</v>
      </c>
      <c r="C795" s="1">
        <v>1</v>
      </c>
      <c r="D795" s="1">
        <v>0</v>
      </c>
      <c r="E795" s="1">
        <v>1</v>
      </c>
      <c r="F795" s="1">
        <v>4</v>
      </c>
      <c r="G795" s="1">
        <v>6</v>
      </c>
      <c r="H795" s="1">
        <v>1</v>
      </c>
      <c r="I795" s="1">
        <v>1</v>
      </c>
      <c r="J795" s="1">
        <v>2</v>
      </c>
      <c r="K795" s="1">
        <v>2</v>
      </c>
      <c r="L795" s="1">
        <v>8</v>
      </c>
      <c r="M795" s="1">
        <v>34</v>
      </c>
      <c r="N795" s="1">
        <v>34</v>
      </c>
      <c r="O795" s="1">
        <v>41</v>
      </c>
      <c r="P795">
        <v>0.3175960866526904</v>
      </c>
      <c r="Q795">
        <v>0.23712316968130923</v>
      </c>
      <c r="R795">
        <v>4.8895454545454541E-2</v>
      </c>
    </row>
    <row r="796" spans="1:18">
      <c r="A796" s="1">
        <v>39</v>
      </c>
      <c r="B796" s="1">
        <v>1</v>
      </c>
      <c r="C796" s="1">
        <v>1</v>
      </c>
      <c r="D796" s="1">
        <v>1</v>
      </c>
      <c r="E796" s="1">
        <v>1</v>
      </c>
      <c r="F796" s="1">
        <v>22</v>
      </c>
      <c r="G796" s="1">
        <v>18</v>
      </c>
      <c r="H796" s="1">
        <v>3</v>
      </c>
      <c r="I796" s="1">
        <v>1</v>
      </c>
      <c r="J796" s="1">
        <v>6</v>
      </c>
      <c r="K796" s="1">
        <v>7</v>
      </c>
      <c r="L796" s="1">
        <v>8</v>
      </c>
      <c r="M796" s="1">
        <v>34</v>
      </c>
      <c r="N796" s="1">
        <v>34</v>
      </c>
      <c r="O796" s="1">
        <v>41</v>
      </c>
      <c r="P796">
        <v>0.41093501048218029</v>
      </c>
      <c r="Q796">
        <v>0.2747855297157622</v>
      </c>
      <c r="R796">
        <v>4.0586363636363636E-2</v>
      </c>
    </row>
    <row r="797" spans="1:18">
      <c r="A797" s="1">
        <v>40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1</v>
      </c>
      <c r="J797" s="1">
        <v>0</v>
      </c>
      <c r="K797" s="1">
        <v>0</v>
      </c>
      <c r="L797" s="1">
        <v>8</v>
      </c>
      <c r="M797" s="1">
        <v>34</v>
      </c>
      <c r="N797" s="1">
        <v>34</v>
      </c>
      <c r="O797" s="1">
        <v>41</v>
      </c>
      <c r="P797">
        <v>0.17544654088050318</v>
      </c>
      <c r="Q797">
        <v>0.15823600344530575</v>
      </c>
      <c r="R797">
        <v>4.0627272727272734E-2</v>
      </c>
    </row>
    <row r="798" spans="1:18">
      <c r="A798" s="1">
        <v>41</v>
      </c>
      <c r="B798" s="1">
        <v>1</v>
      </c>
      <c r="C798" s="1">
        <v>1</v>
      </c>
      <c r="D798" s="1">
        <v>0</v>
      </c>
      <c r="E798" s="1">
        <v>1</v>
      </c>
      <c r="F798" s="1">
        <v>9</v>
      </c>
      <c r="G798" s="1">
        <v>6</v>
      </c>
      <c r="H798" s="1">
        <v>2</v>
      </c>
      <c r="I798" s="1">
        <v>1</v>
      </c>
      <c r="J798" s="1">
        <v>3</v>
      </c>
      <c r="K798" s="1">
        <v>3</v>
      </c>
      <c r="L798" s="1">
        <v>8</v>
      </c>
      <c r="M798" s="1">
        <v>34</v>
      </c>
      <c r="N798" s="1">
        <v>34</v>
      </c>
      <c r="O798" s="1">
        <v>41</v>
      </c>
      <c r="P798">
        <v>5.6480782669461944E-2</v>
      </c>
      <c r="Q798">
        <v>8.4063738156761464E-2</v>
      </c>
      <c r="R798">
        <v>4.1259090909090919E-2</v>
      </c>
    </row>
    <row r="799" spans="1:18">
      <c r="A799" s="1">
        <v>42</v>
      </c>
      <c r="B799" s="1">
        <v>0</v>
      </c>
      <c r="C799" s="1">
        <v>0</v>
      </c>
      <c r="D799" s="1">
        <v>0</v>
      </c>
      <c r="E799" s="1">
        <v>1</v>
      </c>
      <c r="F799" s="1">
        <v>0</v>
      </c>
      <c r="G799" s="1">
        <v>0</v>
      </c>
      <c r="H799" s="1">
        <v>0</v>
      </c>
      <c r="I799" s="1">
        <v>1</v>
      </c>
      <c r="J799" s="1">
        <v>0</v>
      </c>
      <c r="K799" s="1">
        <v>0</v>
      </c>
      <c r="L799" s="1">
        <v>8</v>
      </c>
      <c r="M799" s="1">
        <v>34</v>
      </c>
      <c r="N799" s="1">
        <v>34</v>
      </c>
      <c r="O799" s="1">
        <v>41</v>
      </c>
      <c r="P799">
        <v>0.2675555555555556</v>
      </c>
      <c r="Q799">
        <v>0.25660981912144715</v>
      </c>
      <c r="R799">
        <v>3.8545454545454542E-2</v>
      </c>
    </row>
    <row r="800" spans="1:18">
      <c r="A800" s="1">
        <v>43</v>
      </c>
      <c r="B800" s="1">
        <v>1</v>
      </c>
      <c r="C800" s="1">
        <v>1</v>
      </c>
      <c r="D800" s="1">
        <v>0</v>
      </c>
      <c r="E800" s="1">
        <v>1</v>
      </c>
      <c r="F800" s="1">
        <v>7</v>
      </c>
      <c r="G800" s="1">
        <v>6</v>
      </c>
      <c r="H800" s="1">
        <v>2</v>
      </c>
      <c r="I800" s="1">
        <v>1</v>
      </c>
      <c r="J800" s="1">
        <v>3</v>
      </c>
      <c r="K800" s="1">
        <v>3</v>
      </c>
      <c r="L800" s="1">
        <v>8</v>
      </c>
      <c r="M800" s="1">
        <v>34</v>
      </c>
      <c r="N800" s="1">
        <v>34</v>
      </c>
      <c r="O800" s="1">
        <v>41</v>
      </c>
      <c r="P800">
        <v>0.28768693221523406</v>
      </c>
      <c r="Q800">
        <v>0.27380706287683021</v>
      </c>
      <c r="R800">
        <v>4.9786363636363636E-2</v>
      </c>
    </row>
    <row r="801" spans="1:18">
      <c r="A801" s="1">
        <v>44</v>
      </c>
      <c r="B801" s="1">
        <v>0</v>
      </c>
      <c r="C801" s="1">
        <v>1</v>
      </c>
      <c r="D801" s="1">
        <v>0</v>
      </c>
      <c r="E801" s="1">
        <v>0</v>
      </c>
      <c r="F801" s="1">
        <v>5</v>
      </c>
      <c r="G801" s="1">
        <v>6</v>
      </c>
      <c r="H801" s="1">
        <v>1</v>
      </c>
      <c r="I801" s="1">
        <v>1</v>
      </c>
      <c r="J801" s="1">
        <v>2</v>
      </c>
      <c r="K801" s="1">
        <v>2</v>
      </c>
      <c r="L801" s="1">
        <v>8</v>
      </c>
      <c r="M801" s="1">
        <v>34</v>
      </c>
      <c r="N801" s="1">
        <v>34</v>
      </c>
      <c r="O801" s="1">
        <v>41</v>
      </c>
      <c r="P801">
        <v>0.28508176100628957</v>
      </c>
      <c r="Q801">
        <v>0.16025495262704573</v>
      </c>
      <c r="R801">
        <v>4.8822727272727275E-2</v>
      </c>
    </row>
    <row r="802" spans="1:18">
      <c r="A802" s="1">
        <v>45</v>
      </c>
      <c r="B802" s="1">
        <v>0</v>
      </c>
      <c r="C802" s="1">
        <v>1</v>
      </c>
      <c r="D802" s="1">
        <v>0</v>
      </c>
      <c r="E802" s="1">
        <v>1</v>
      </c>
      <c r="F802" s="1">
        <v>5</v>
      </c>
      <c r="G802" s="1">
        <v>6</v>
      </c>
      <c r="H802" s="1">
        <v>1</v>
      </c>
      <c r="I802" s="1">
        <v>1</v>
      </c>
      <c r="J802" s="1">
        <v>2</v>
      </c>
      <c r="K802" s="1">
        <v>2</v>
      </c>
      <c r="L802" s="1">
        <v>8</v>
      </c>
      <c r="M802" s="1">
        <v>34</v>
      </c>
      <c r="N802" s="1">
        <v>34</v>
      </c>
      <c r="O802" s="1">
        <v>41</v>
      </c>
      <c r="P802">
        <v>0.18681761006289296</v>
      </c>
      <c r="Q802">
        <v>0.20029457364341058</v>
      </c>
      <c r="R802">
        <v>4.0463636363636368E-2</v>
      </c>
    </row>
    <row r="803" spans="1:18">
      <c r="A803" s="1">
        <v>46</v>
      </c>
      <c r="B803" s="1">
        <v>0</v>
      </c>
      <c r="C803" s="1">
        <v>1</v>
      </c>
      <c r="D803" s="1">
        <v>0</v>
      </c>
      <c r="E803" s="1">
        <v>1</v>
      </c>
      <c r="F803" s="1">
        <v>6</v>
      </c>
      <c r="G803" s="1">
        <v>6</v>
      </c>
      <c r="H803" s="1">
        <v>1</v>
      </c>
      <c r="I803" s="1">
        <v>1</v>
      </c>
      <c r="J803" s="1">
        <v>2</v>
      </c>
      <c r="K803" s="1">
        <v>2</v>
      </c>
      <c r="L803" s="1">
        <v>8</v>
      </c>
      <c r="M803" s="1">
        <v>34</v>
      </c>
      <c r="N803" s="1">
        <v>34</v>
      </c>
      <c r="O803" s="1">
        <v>41</v>
      </c>
      <c r="P803">
        <v>0.23185464709993009</v>
      </c>
      <c r="Q803">
        <v>0.23237553832902683</v>
      </c>
      <c r="R803">
        <v>4.565000000000001E-2</v>
      </c>
    </row>
    <row r="804" spans="1:18">
      <c r="A804" s="1">
        <v>47</v>
      </c>
      <c r="B804" s="1">
        <v>1</v>
      </c>
      <c r="C804" s="1">
        <v>1</v>
      </c>
      <c r="D804" s="1">
        <v>1</v>
      </c>
      <c r="E804" s="1">
        <v>1</v>
      </c>
      <c r="F804" s="1">
        <v>16</v>
      </c>
      <c r="G804" s="1">
        <v>6</v>
      </c>
      <c r="H804" s="1">
        <v>3</v>
      </c>
      <c r="I804" s="1">
        <v>1</v>
      </c>
      <c r="J804" s="1">
        <v>5</v>
      </c>
      <c r="K804" s="1">
        <v>6</v>
      </c>
      <c r="L804" s="1">
        <v>8</v>
      </c>
      <c r="M804" s="1">
        <v>34</v>
      </c>
      <c r="N804" s="1">
        <v>34</v>
      </c>
      <c r="O804" s="1">
        <v>41</v>
      </c>
      <c r="P804">
        <v>0.25123130677847655</v>
      </c>
      <c r="Q804">
        <v>0.19934022394487519</v>
      </c>
      <c r="R804">
        <v>4.8631818181818186E-2</v>
      </c>
    </row>
    <row r="805" spans="1:18">
      <c r="A805" s="1">
        <v>48</v>
      </c>
      <c r="B805" s="1">
        <v>0</v>
      </c>
      <c r="C805" s="1">
        <v>1</v>
      </c>
      <c r="D805" s="1">
        <v>1</v>
      </c>
      <c r="E805" s="1">
        <v>1</v>
      </c>
      <c r="F805" s="1">
        <v>12</v>
      </c>
      <c r="G805" s="1">
        <v>6</v>
      </c>
      <c r="H805" s="1">
        <v>2</v>
      </c>
      <c r="I805" s="1">
        <v>1</v>
      </c>
      <c r="J805" s="1">
        <v>4</v>
      </c>
      <c r="K805" s="1">
        <v>4</v>
      </c>
      <c r="L805" s="1">
        <v>8</v>
      </c>
      <c r="M805" s="1">
        <v>34</v>
      </c>
      <c r="N805" s="1">
        <v>34</v>
      </c>
      <c r="O805" s="1">
        <v>41</v>
      </c>
      <c r="P805">
        <v>0.38985324947589106</v>
      </c>
      <c r="Q805">
        <v>0.37281653746770038</v>
      </c>
      <c r="R805">
        <v>3.6486363636363643E-2</v>
      </c>
    </row>
    <row r="806" spans="1:18">
      <c r="A806" s="1">
        <v>49</v>
      </c>
      <c r="B806" s="1">
        <v>1</v>
      </c>
      <c r="C806" s="1">
        <v>0</v>
      </c>
      <c r="D806" s="1">
        <v>0</v>
      </c>
      <c r="E806" s="1">
        <v>1</v>
      </c>
      <c r="F806" s="1">
        <v>2</v>
      </c>
      <c r="G806" s="1">
        <v>6</v>
      </c>
      <c r="H806" s="1">
        <v>1</v>
      </c>
      <c r="I806" s="1">
        <v>1</v>
      </c>
      <c r="J806" s="1">
        <v>1</v>
      </c>
      <c r="K806" s="1">
        <v>1</v>
      </c>
      <c r="L806" s="1">
        <v>8</v>
      </c>
      <c r="M806" s="1">
        <v>34</v>
      </c>
      <c r="N806" s="1">
        <v>34</v>
      </c>
      <c r="O806" s="1">
        <v>41</v>
      </c>
      <c r="P806">
        <v>0.26130538085255062</v>
      </c>
      <c r="Q806">
        <v>0.23094401378122309</v>
      </c>
      <c r="R806">
        <v>5.5531818181818189E-2</v>
      </c>
    </row>
    <row r="807" spans="1:18">
      <c r="A807" s="1">
        <v>50</v>
      </c>
      <c r="B807" s="1">
        <v>1</v>
      </c>
      <c r="C807" s="1">
        <v>1</v>
      </c>
      <c r="D807" s="1">
        <v>1</v>
      </c>
      <c r="E807" s="1">
        <v>1</v>
      </c>
      <c r="F807" s="1">
        <v>17</v>
      </c>
      <c r="G807" s="1">
        <v>6</v>
      </c>
      <c r="H807" s="1">
        <v>3</v>
      </c>
      <c r="I807" s="1">
        <v>1</v>
      </c>
      <c r="J807" s="1">
        <v>5</v>
      </c>
      <c r="K807" s="1">
        <v>6</v>
      </c>
      <c r="L807" s="1">
        <v>8</v>
      </c>
      <c r="M807" s="1">
        <v>34</v>
      </c>
      <c r="N807" s="1">
        <v>34</v>
      </c>
      <c r="O807" s="1">
        <v>41</v>
      </c>
      <c r="P807">
        <v>0.22105939902166294</v>
      </c>
      <c r="Q807">
        <v>0.26395521102497843</v>
      </c>
      <c r="R807">
        <v>5.1013636363636344E-2</v>
      </c>
    </row>
    <row r="808" spans="1:18">
      <c r="A808" s="1">
        <v>51</v>
      </c>
      <c r="B808" s="1">
        <v>0</v>
      </c>
      <c r="C808" s="1">
        <v>1</v>
      </c>
      <c r="D808" s="1">
        <v>1</v>
      </c>
      <c r="E808" s="1">
        <v>0</v>
      </c>
      <c r="F808" s="1">
        <v>11</v>
      </c>
      <c r="G808" s="1">
        <v>6</v>
      </c>
      <c r="H808" s="1">
        <v>2</v>
      </c>
      <c r="I808" s="1">
        <v>1</v>
      </c>
      <c r="J808" s="1">
        <v>4</v>
      </c>
      <c r="K808" s="1">
        <v>4</v>
      </c>
      <c r="L808" s="1">
        <v>8</v>
      </c>
      <c r="M808" s="1">
        <v>34</v>
      </c>
      <c r="N808" s="1">
        <v>34</v>
      </c>
      <c r="O808" s="1">
        <v>41</v>
      </c>
      <c r="P808">
        <v>0.35845283018867935</v>
      </c>
      <c r="Q808">
        <v>0.26471834625323004</v>
      </c>
      <c r="R808">
        <v>6.0004545454545456E-2</v>
      </c>
    </row>
    <row r="809" spans="1:18">
      <c r="A809" s="1">
        <v>52</v>
      </c>
      <c r="B809" s="1">
        <v>0</v>
      </c>
      <c r="C809" s="1">
        <v>1</v>
      </c>
      <c r="D809" s="1">
        <v>1</v>
      </c>
      <c r="E809" s="1">
        <v>1</v>
      </c>
      <c r="F809" s="1">
        <v>11</v>
      </c>
      <c r="G809" s="1">
        <v>6</v>
      </c>
      <c r="H809" s="1">
        <v>2</v>
      </c>
      <c r="I809" s="1">
        <v>1</v>
      </c>
      <c r="J809" s="1">
        <v>4</v>
      </c>
      <c r="K809" s="1">
        <v>4</v>
      </c>
      <c r="L809" s="1">
        <v>8</v>
      </c>
      <c r="M809" s="1">
        <v>34</v>
      </c>
      <c r="N809" s="1">
        <v>34</v>
      </c>
      <c r="O809" s="1">
        <v>41</v>
      </c>
      <c r="P809">
        <v>0.25151083158630322</v>
      </c>
      <c r="Q809">
        <v>0.17741946597760549</v>
      </c>
      <c r="R809">
        <v>4.7527272727272724E-2</v>
      </c>
    </row>
    <row r="810" spans="1:18">
      <c r="A810" s="1">
        <v>53</v>
      </c>
      <c r="B810" s="1">
        <v>1</v>
      </c>
      <c r="C810" s="1">
        <v>1</v>
      </c>
      <c r="D810" s="1">
        <v>1</v>
      </c>
      <c r="E810" s="1">
        <v>1</v>
      </c>
      <c r="F810" s="1">
        <v>15</v>
      </c>
      <c r="G810" s="1">
        <v>6</v>
      </c>
      <c r="H810" s="1">
        <v>3</v>
      </c>
      <c r="I810" s="1">
        <v>1</v>
      </c>
      <c r="J810" s="1">
        <v>5</v>
      </c>
      <c r="K810" s="1">
        <v>5</v>
      </c>
      <c r="L810" s="1">
        <v>8</v>
      </c>
      <c r="M810" s="1">
        <v>34</v>
      </c>
      <c r="N810" s="1">
        <v>34</v>
      </c>
      <c r="O810" s="1">
        <v>41</v>
      </c>
      <c r="P810">
        <v>0.14711390635918936</v>
      </c>
      <c r="Q810">
        <v>4.3919035314384181E-2</v>
      </c>
      <c r="R810">
        <v>3.7581818181818182E-2</v>
      </c>
    </row>
    <row r="811" spans="1:18">
      <c r="A811" s="1">
        <v>54</v>
      </c>
      <c r="B811" s="1">
        <v>1</v>
      </c>
      <c r="C811" s="1">
        <v>1</v>
      </c>
      <c r="D811" s="1">
        <v>1</v>
      </c>
      <c r="E811" s="1">
        <v>1</v>
      </c>
      <c r="F811" s="1">
        <v>19</v>
      </c>
      <c r="G811" s="1">
        <v>6</v>
      </c>
      <c r="H811" s="1">
        <v>3</v>
      </c>
      <c r="I811" s="1">
        <v>1</v>
      </c>
      <c r="J811" s="1">
        <v>5</v>
      </c>
      <c r="K811" s="1">
        <v>6</v>
      </c>
      <c r="L811" s="1">
        <v>8</v>
      </c>
      <c r="M811" s="1">
        <v>34</v>
      </c>
      <c r="N811" s="1">
        <v>34</v>
      </c>
      <c r="O811" s="1">
        <v>41</v>
      </c>
      <c r="P811">
        <v>0.3098867924528303</v>
      </c>
      <c r="Q811">
        <v>0.30018604651162811</v>
      </c>
      <c r="R811">
        <v>4.6745454545454562E-2</v>
      </c>
    </row>
    <row r="812" spans="1:18">
      <c r="A812" s="1">
        <v>55</v>
      </c>
      <c r="B812" s="1">
        <v>0</v>
      </c>
      <c r="C812" s="1">
        <v>1</v>
      </c>
      <c r="D812" s="1">
        <v>1</v>
      </c>
      <c r="E812" s="1">
        <v>0</v>
      </c>
      <c r="F812" s="1">
        <v>11</v>
      </c>
      <c r="G812" s="1">
        <v>6</v>
      </c>
      <c r="H812" s="1">
        <v>2</v>
      </c>
      <c r="I812" s="1">
        <v>2</v>
      </c>
      <c r="J812" s="1">
        <v>4</v>
      </c>
      <c r="K812" s="1">
        <v>4</v>
      </c>
      <c r="L812" s="1">
        <v>8</v>
      </c>
      <c r="M812" s="1">
        <v>34</v>
      </c>
      <c r="N812" s="1">
        <v>34</v>
      </c>
      <c r="O812" s="1">
        <v>41</v>
      </c>
      <c r="P812">
        <v>0.28922012578616357</v>
      </c>
      <c r="Q812">
        <v>0.26394659776055124</v>
      </c>
      <c r="R812">
        <v>5.2518181818181825E-2</v>
      </c>
    </row>
    <row r="813" spans="1:18">
      <c r="A813" s="1">
        <v>56</v>
      </c>
      <c r="B813" s="1">
        <v>0</v>
      </c>
      <c r="C813" s="1">
        <v>1</v>
      </c>
      <c r="D813" s="1">
        <v>1</v>
      </c>
      <c r="E813" s="1">
        <v>0</v>
      </c>
      <c r="F813" s="1">
        <v>10</v>
      </c>
      <c r="G813" s="1">
        <v>6</v>
      </c>
      <c r="H813" s="1">
        <v>2</v>
      </c>
      <c r="I813" s="1">
        <v>2</v>
      </c>
      <c r="J813" s="1">
        <v>4</v>
      </c>
      <c r="K813" s="1">
        <v>4</v>
      </c>
      <c r="L813" s="1">
        <v>8</v>
      </c>
      <c r="M813" s="1">
        <v>34</v>
      </c>
      <c r="N813" s="1">
        <v>34</v>
      </c>
      <c r="O813" s="1">
        <v>41</v>
      </c>
      <c r="P813">
        <v>0.25021383647798745</v>
      </c>
      <c r="Q813">
        <v>0.18491645133505596</v>
      </c>
      <c r="R813">
        <v>4.0663636363636367E-2</v>
      </c>
    </row>
    <row r="814" spans="1:18">
      <c r="A814" s="1">
        <v>57</v>
      </c>
      <c r="B814" s="1">
        <v>1</v>
      </c>
      <c r="C814" s="1">
        <v>1</v>
      </c>
      <c r="D814" s="1">
        <v>1</v>
      </c>
      <c r="E814" s="1">
        <v>0</v>
      </c>
      <c r="F814" s="1">
        <v>20</v>
      </c>
      <c r="G814" s="1">
        <v>18</v>
      </c>
      <c r="H814" s="1">
        <v>3</v>
      </c>
      <c r="I814" s="1">
        <v>2</v>
      </c>
      <c r="J814" s="1">
        <v>6</v>
      </c>
      <c r="K814" s="1">
        <v>7</v>
      </c>
      <c r="L814" s="1">
        <v>8</v>
      </c>
      <c r="M814" s="1">
        <v>34</v>
      </c>
      <c r="N814" s="1">
        <v>34</v>
      </c>
      <c r="O814" s="1">
        <v>41</v>
      </c>
      <c r="P814">
        <v>0.52215094339622659</v>
      </c>
      <c r="Q814">
        <v>0.32170025839793293</v>
      </c>
      <c r="R814">
        <v>5.3536363636363632E-2</v>
      </c>
    </row>
    <row r="815" spans="1:18">
      <c r="A815" s="1">
        <v>58</v>
      </c>
      <c r="B815" s="1">
        <v>1</v>
      </c>
      <c r="C815" s="1">
        <v>1</v>
      </c>
      <c r="D815" s="1">
        <v>1</v>
      </c>
      <c r="E815" s="1">
        <v>0</v>
      </c>
      <c r="F815" s="1">
        <v>25</v>
      </c>
      <c r="G815" s="1">
        <v>18</v>
      </c>
      <c r="H815" s="1">
        <v>3</v>
      </c>
      <c r="I815" s="1">
        <v>2</v>
      </c>
      <c r="J815" s="1">
        <v>6</v>
      </c>
      <c r="K815" s="1">
        <v>7</v>
      </c>
      <c r="L815" s="1">
        <v>8</v>
      </c>
      <c r="M815" s="1">
        <v>34</v>
      </c>
      <c r="N815" s="1">
        <v>34</v>
      </c>
      <c r="O815" s="1">
        <v>41</v>
      </c>
      <c r="P815">
        <v>0.3910691823899371</v>
      </c>
      <c r="Q815">
        <v>0.3598794142980189</v>
      </c>
      <c r="R815">
        <v>6.1531818181818181E-2</v>
      </c>
    </row>
    <row r="816" spans="1:18">
      <c r="A816" s="1">
        <v>59</v>
      </c>
      <c r="B816" s="1">
        <v>1</v>
      </c>
      <c r="C816" s="1">
        <v>1</v>
      </c>
      <c r="D816" s="1">
        <v>1</v>
      </c>
      <c r="E816" s="1">
        <v>0</v>
      </c>
      <c r="F816" s="1">
        <v>17</v>
      </c>
      <c r="G816" s="1">
        <v>6</v>
      </c>
      <c r="H816" s="1">
        <v>3</v>
      </c>
      <c r="I816" s="1">
        <v>2</v>
      </c>
      <c r="J816" s="1">
        <v>5</v>
      </c>
      <c r="K816" s="1">
        <v>6</v>
      </c>
      <c r="L816" s="1">
        <v>8</v>
      </c>
      <c r="M816" s="1">
        <v>34</v>
      </c>
      <c r="N816" s="1">
        <v>34</v>
      </c>
      <c r="O816" s="1">
        <v>41</v>
      </c>
      <c r="P816">
        <v>0.21621383647798742</v>
      </c>
      <c r="Q816">
        <v>0.24084926787252356</v>
      </c>
      <c r="R816">
        <v>5.3931818181818185E-2</v>
      </c>
    </row>
    <row r="817" spans="1:18">
      <c r="A817" s="1">
        <v>60</v>
      </c>
      <c r="B817" s="1">
        <v>1</v>
      </c>
      <c r="C817" s="1">
        <v>1</v>
      </c>
      <c r="D817" s="1">
        <v>1</v>
      </c>
      <c r="E817" s="1">
        <v>0</v>
      </c>
      <c r="F817" s="1">
        <v>23</v>
      </c>
      <c r="G817" s="1">
        <v>18</v>
      </c>
      <c r="H817" s="1">
        <v>3</v>
      </c>
      <c r="I817" s="1">
        <v>2</v>
      </c>
      <c r="J817" s="1">
        <v>6</v>
      </c>
      <c r="K817" s="1">
        <v>7</v>
      </c>
      <c r="L817" s="1">
        <v>8</v>
      </c>
      <c r="M817" s="1">
        <v>34</v>
      </c>
      <c r="N817" s="1">
        <v>34</v>
      </c>
      <c r="O817" s="1">
        <v>41</v>
      </c>
      <c r="P817">
        <v>0.31456603773584912</v>
      </c>
      <c r="Q817">
        <v>0.25019121447028425</v>
      </c>
      <c r="R817">
        <v>5.499090909090909E-2</v>
      </c>
    </row>
    <row r="818" spans="1:18">
      <c r="A818" s="1">
        <v>61</v>
      </c>
      <c r="B818" s="1">
        <v>0</v>
      </c>
      <c r="C818" s="1">
        <v>1</v>
      </c>
      <c r="D818" s="1">
        <v>0</v>
      </c>
      <c r="E818" s="1">
        <v>0</v>
      </c>
      <c r="F818" s="1">
        <v>6</v>
      </c>
      <c r="G818" s="1">
        <v>6</v>
      </c>
      <c r="H818" s="1">
        <v>1</v>
      </c>
      <c r="I818" s="1">
        <v>2</v>
      </c>
      <c r="J818" s="1">
        <v>2</v>
      </c>
      <c r="K818" s="1">
        <v>2</v>
      </c>
      <c r="L818" s="1">
        <v>8</v>
      </c>
      <c r="M818" s="1">
        <v>34</v>
      </c>
      <c r="N818" s="1">
        <v>34</v>
      </c>
      <c r="O818" s="1">
        <v>41</v>
      </c>
      <c r="P818">
        <v>0.30272955974842775</v>
      </c>
      <c r="Q818">
        <v>0.28092850990525431</v>
      </c>
      <c r="R818">
        <v>6.301818181818182E-2</v>
      </c>
    </row>
    <row r="819" spans="1:18">
      <c r="A819" s="1">
        <v>62</v>
      </c>
      <c r="B819" s="1">
        <v>0</v>
      </c>
      <c r="C819" s="1">
        <v>1</v>
      </c>
      <c r="D819" s="1">
        <v>0</v>
      </c>
      <c r="E819" s="1">
        <v>0</v>
      </c>
      <c r="F819" s="1">
        <v>5</v>
      </c>
      <c r="G819" s="1">
        <v>6</v>
      </c>
      <c r="H819" s="1">
        <v>1</v>
      </c>
      <c r="I819" s="1">
        <v>2</v>
      </c>
      <c r="J819" s="1">
        <v>2</v>
      </c>
      <c r="K819" s="1">
        <v>2</v>
      </c>
      <c r="L819" s="1">
        <v>8</v>
      </c>
      <c r="M819" s="1">
        <v>34</v>
      </c>
      <c r="N819" s="1">
        <v>34</v>
      </c>
      <c r="O819" s="1">
        <v>41</v>
      </c>
      <c r="P819">
        <v>0.26825157232704394</v>
      </c>
      <c r="Q819">
        <v>0.19445650301464229</v>
      </c>
      <c r="R819">
        <v>5.2990909090909089E-2</v>
      </c>
    </row>
    <row r="820" spans="1:18">
      <c r="A820" s="1">
        <v>63</v>
      </c>
      <c r="B820" s="1">
        <v>0</v>
      </c>
      <c r="C820" s="1">
        <v>1</v>
      </c>
      <c r="D820" s="1">
        <v>0</v>
      </c>
      <c r="E820" s="1">
        <v>1</v>
      </c>
      <c r="F820" s="1">
        <v>5</v>
      </c>
      <c r="G820" s="1">
        <v>6</v>
      </c>
      <c r="H820" s="1">
        <v>1</v>
      </c>
      <c r="I820" s="1">
        <v>2</v>
      </c>
      <c r="J820" s="1">
        <v>2</v>
      </c>
      <c r="K820" s="1">
        <v>2</v>
      </c>
      <c r="L820" s="1">
        <v>8</v>
      </c>
      <c r="M820" s="1">
        <v>34</v>
      </c>
      <c r="N820" s="1">
        <v>34</v>
      </c>
      <c r="O820" s="1">
        <v>41</v>
      </c>
      <c r="P820">
        <v>0.25484276729559752</v>
      </c>
      <c r="Q820">
        <v>0.23821705426356587</v>
      </c>
      <c r="R820">
        <v>4.7586363636363614E-2</v>
      </c>
    </row>
    <row r="821" spans="1:18">
      <c r="A821" s="1">
        <v>64</v>
      </c>
      <c r="B821" s="1">
        <v>1</v>
      </c>
      <c r="C821" s="1">
        <v>1</v>
      </c>
      <c r="D821" s="1">
        <v>0</v>
      </c>
      <c r="E821" s="1">
        <v>0</v>
      </c>
      <c r="F821" s="1">
        <v>9</v>
      </c>
      <c r="G821" s="1">
        <v>6</v>
      </c>
      <c r="H821" s="1">
        <v>2</v>
      </c>
      <c r="I821" s="1">
        <v>2</v>
      </c>
      <c r="J821" s="1">
        <v>3</v>
      </c>
      <c r="K821" s="1">
        <v>3</v>
      </c>
      <c r="L821" s="1">
        <v>8</v>
      </c>
      <c r="M821" s="1">
        <v>34</v>
      </c>
      <c r="N821" s="1">
        <v>34</v>
      </c>
      <c r="O821" s="1">
        <v>41</v>
      </c>
      <c r="P821">
        <v>0.39929559748427684</v>
      </c>
      <c r="Q821">
        <v>0.30802411714039635</v>
      </c>
      <c r="R821">
        <v>4.9640909090909104E-2</v>
      </c>
    </row>
    <row r="822" spans="1:18">
      <c r="A822" s="1">
        <v>65</v>
      </c>
      <c r="B822" s="1">
        <v>1</v>
      </c>
      <c r="C822" s="1">
        <v>1</v>
      </c>
      <c r="D822" s="1">
        <v>1</v>
      </c>
      <c r="E822" s="1">
        <v>0</v>
      </c>
      <c r="F822" s="1">
        <v>15</v>
      </c>
      <c r="G822" s="1">
        <v>6</v>
      </c>
      <c r="H822" s="1">
        <v>3</v>
      </c>
      <c r="I822" s="1">
        <v>2</v>
      </c>
      <c r="J822" s="1">
        <v>5</v>
      </c>
      <c r="K822" s="1">
        <v>5</v>
      </c>
      <c r="L822" s="1">
        <v>8</v>
      </c>
      <c r="M822" s="1">
        <v>34</v>
      </c>
      <c r="N822" s="1">
        <v>34</v>
      </c>
      <c r="O822" s="1">
        <v>41</v>
      </c>
      <c r="P822">
        <v>0.27802515723270449</v>
      </c>
      <c r="Q822">
        <v>0.19550559862187777</v>
      </c>
      <c r="R822">
        <v>4.7386363636363636E-2</v>
      </c>
    </row>
    <row r="823" spans="1:18">
      <c r="A823" s="1">
        <v>66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2</v>
      </c>
      <c r="J823" s="1">
        <v>0</v>
      </c>
      <c r="K823" s="1">
        <v>0</v>
      </c>
      <c r="L823" s="1">
        <v>8</v>
      </c>
      <c r="M823" s="1">
        <v>34</v>
      </c>
      <c r="N823" s="1">
        <v>34</v>
      </c>
      <c r="O823" s="1">
        <v>41</v>
      </c>
      <c r="P823">
        <v>0.23222641509433961</v>
      </c>
      <c r="Q823">
        <v>0.25787080103359167</v>
      </c>
      <c r="R823">
        <v>5.0177272727272723E-2</v>
      </c>
    </row>
    <row r="824" spans="1:18">
      <c r="A824" s="1">
        <v>67</v>
      </c>
      <c r="B824" s="1">
        <v>1</v>
      </c>
      <c r="C824" s="1">
        <v>1</v>
      </c>
      <c r="D824" s="1">
        <v>1</v>
      </c>
      <c r="E824" s="1">
        <v>0</v>
      </c>
      <c r="F824" s="1">
        <v>18</v>
      </c>
      <c r="G824" s="1">
        <v>6</v>
      </c>
      <c r="H824" s="1">
        <v>3</v>
      </c>
      <c r="I824" s="1">
        <v>2</v>
      </c>
      <c r="J824" s="1">
        <v>5</v>
      </c>
      <c r="K824" s="1">
        <v>6</v>
      </c>
      <c r="L824" s="1">
        <v>8</v>
      </c>
      <c r="M824" s="1">
        <v>34</v>
      </c>
      <c r="N824" s="1">
        <v>34</v>
      </c>
      <c r="O824" s="1">
        <v>41</v>
      </c>
      <c r="P824">
        <v>0.42642767295597489</v>
      </c>
      <c r="Q824">
        <v>0.31744530577088714</v>
      </c>
      <c r="R824">
        <v>5.1422727272727273E-2</v>
      </c>
    </row>
    <row r="825" spans="1:18">
      <c r="A825" s="1">
        <v>68</v>
      </c>
      <c r="B825" s="1">
        <v>1</v>
      </c>
      <c r="C825" s="1">
        <v>1</v>
      </c>
      <c r="D825" s="1">
        <v>0</v>
      </c>
      <c r="E825" s="1">
        <v>0</v>
      </c>
      <c r="F825" s="1">
        <v>8</v>
      </c>
      <c r="G825" s="1">
        <v>6</v>
      </c>
      <c r="H825" s="1">
        <v>2</v>
      </c>
      <c r="I825" s="1">
        <v>2</v>
      </c>
      <c r="J825" s="1">
        <v>3</v>
      </c>
      <c r="K825" s="1">
        <v>3</v>
      </c>
      <c r="L825" s="1">
        <v>8</v>
      </c>
      <c r="M825" s="1">
        <v>34</v>
      </c>
      <c r="N825" s="1">
        <v>34</v>
      </c>
      <c r="O825" s="1">
        <v>41</v>
      </c>
      <c r="P825">
        <v>0.27421383647798736</v>
      </c>
      <c r="Q825">
        <v>0.23655469422911257</v>
      </c>
      <c r="R825">
        <v>4.5249999999999992E-2</v>
      </c>
    </row>
    <row r="826" spans="1:18">
      <c r="A826" s="1">
        <v>69</v>
      </c>
      <c r="B826" s="1">
        <v>0</v>
      </c>
      <c r="C826" s="1">
        <v>1</v>
      </c>
      <c r="D826" s="1">
        <v>0</v>
      </c>
      <c r="E826" s="1">
        <v>0</v>
      </c>
      <c r="F826" s="1">
        <v>4</v>
      </c>
      <c r="G826" s="1">
        <v>6</v>
      </c>
      <c r="H826" s="1">
        <v>1</v>
      </c>
      <c r="I826" s="1">
        <v>2</v>
      </c>
      <c r="J826" s="1">
        <v>2</v>
      </c>
      <c r="K826" s="1">
        <v>2</v>
      </c>
      <c r="L826" s="1">
        <v>8</v>
      </c>
      <c r="M826" s="1">
        <v>34</v>
      </c>
      <c r="N826" s="1">
        <v>34</v>
      </c>
      <c r="O826" s="1">
        <v>41</v>
      </c>
      <c r="P826">
        <v>0.17030188679245289</v>
      </c>
      <c r="Q826">
        <v>0.24403617571059424</v>
      </c>
      <c r="R826">
        <v>4.5877272727272732E-2</v>
      </c>
    </row>
    <row r="827" spans="1:18">
      <c r="A827" s="1">
        <v>70</v>
      </c>
      <c r="B827" s="1">
        <v>1</v>
      </c>
      <c r="C827" s="1">
        <v>1</v>
      </c>
      <c r="D827" s="1">
        <v>1</v>
      </c>
      <c r="E827" s="1">
        <v>0</v>
      </c>
      <c r="F827" s="1">
        <v>21</v>
      </c>
      <c r="G827" s="1">
        <v>18</v>
      </c>
      <c r="H827" s="1">
        <v>3</v>
      </c>
      <c r="I827" s="1">
        <v>2</v>
      </c>
      <c r="J827" s="1">
        <v>6</v>
      </c>
      <c r="K827" s="1">
        <v>7</v>
      </c>
      <c r="L827" s="1">
        <v>8</v>
      </c>
      <c r="M827" s="1">
        <v>34</v>
      </c>
      <c r="N827" s="1">
        <v>34</v>
      </c>
      <c r="O827" s="1">
        <v>41</v>
      </c>
      <c r="P827">
        <v>0.47469182389937126</v>
      </c>
      <c r="Q827">
        <v>0.32500602928509909</v>
      </c>
      <c r="R827">
        <v>5.2045454545454548E-2</v>
      </c>
    </row>
    <row r="828" spans="1:18">
      <c r="A828" s="1">
        <v>71</v>
      </c>
      <c r="B828" s="1">
        <v>1</v>
      </c>
      <c r="C828" s="1">
        <v>0</v>
      </c>
      <c r="D828" s="1">
        <v>0</v>
      </c>
      <c r="E828" s="1">
        <v>0</v>
      </c>
      <c r="F828" s="1">
        <v>2</v>
      </c>
      <c r="G828" s="1">
        <v>6</v>
      </c>
      <c r="H828" s="1">
        <v>1</v>
      </c>
      <c r="I828" s="1">
        <v>2</v>
      </c>
      <c r="J828" s="1">
        <v>1</v>
      </c>
      <c r="K828" s="1">
        <v>1</v>
      </c>
      <c r="L828" s="1">
        <v>8</v>
      </c>
      <c r="M828" s="1">
        <v>34</v>
      </c>
      <c r="N828" s="1">
        <v>34</v>
      </c>
      <c r="O828" s="1">
        <v>41</v>
      </c>
      <c r="P828">
        <v>0.35493081761006284</v>
      </c>
      <c r="Q828">
        <v>0.27574332472006885</v>
      </c>
      <c r="R828">
        <v>5.2477272727272734E-2</v>
      </c>
    </row>
    <row r="829" spans="1:18">
      <c r="A829" s="1">
        <v>72</v>
      </c>
      <c r="B829" s="1">
        <v>1</v>
      </c>
      <c r="C829" s="1">
        <v>1</v>
      </c>
      <c r="D829" s="1">
        <v>1</v>
      </c>
      <c r="E829" s="1">
        <v>0</v>
      </c>
      <c r="F829" s="1">
        <v>24</v>
      </c>
      <c r="G829" s="1">
        <v>18</v>
      </c>
      <c r="H829" s="1">
        <v>3</v>
      </c>
      <c r="I829" s="1">
        <v>2</v>
      </c>
      <c r="J829" s="1">
        <v>6</v>
      </c>
      <c r="K829" s="1">
        <v>7</v>
      </c>
      <c r="L829" s="1">
        <v>8</v>
      </c>
      <c r="M829" s="1">
        <v>34</v>
      </c>
      <c r="N829" s="1">
        <v>34</v>
      </c>
      <c r="O829" s="1">
        <v>41</v>
      </c>
      <c r="P829">
        <v>0.50460377358490582</v>
      </c>
      <c r="Q829">
        <v>0.37438759689922479</v>
      </c>
      <c r="R829">
        <v>4.7327272727272725E-2</v>
      </c>
    </row>
    <row r="830" spans="1:18">
      <c r="A830" s="1">
        <v>73</v>
      </c>
      <c r="B830" s="1">
        <v>1</v>
      </c>
      <c r="C830" s="1">
        <v>1</v>
      </c>
      <c r="D830" s="1">
        <v>1</v>
      </c>
      <c r="E830" s="1">
        <v>0</v>
      </c>
      <c r="F830" s="1">
        <v>14</v>
      </c>
      <c r="G830" s="1">
        <v>6</v>
      </c>
      <c r="H830" s="1">
        <v>3</v>
      </c>
      <c r="I830" s="1">
        <v>2</v>
      </c>
      <c r="J830" s="1">
        <v>5</v>
      </c>
      <c r="K830" s="1">
        <v>5</v>
      </c>
      <c r="L830" s="1">
        <v>8</v>
      </c>
      <c r="M830" s="1">
        <v>34</v>
      </c>
      <c r="N830" s="1">
        <v>34</v>
      </c>
      <c r="O830" s="1">
        <v>41</v>
      </c>
      <c r="P830">
        <v>0.47767295597484272</v>
      </c>
      <c r="Q830">
        <v>0.35954349698535742</v>
      </c>
      <c r="R830">
        <v>5.8986363636363649E-2</v>
      </c>
    </row>
    <row r="831" spans="1:18">
      <c r="A831" s="1">
        <v>74</v>
      </c>
      <c r="B831" s="1">
        <v>1</v>
      </c>
      <c r="C831" s="1">
        <v>1</v>
      </c>
      <c r="D831" s="1">
        <v>1</v>
      </c>
      <c r="E831" s="1">
        <v>0</v>
      </c>
      <c r="F831" s="1">
        <v>13</v>
      </c>
      <c r="G831" s="1">
        <v>6</v>
      </c>
      <c r="H831" s="1">
        <v>3</v>
      </c>
      <c r="I831" s="1">
        <v>2</v>
      </c>
      <c r="J831" s="1">
        <v>5</v>
      </c>
      <c r="K831" s="1">
        <v>5</v>
      </c>
      <c r="L831" s="1">
        <v>8</v>
      </c>
      <c r="M831" s="1">
        <v>34</v>
      </c>
      <c r="N831" s="1">
        <v>34</v>
      </c>
      <c r="O831" s="1">
        <v>41</v>
      </c>
      <c r="P831">
        <v>0.28847798742138375</v>
      </c>
      <c r="Q831">
        <v>0.30935055986218785</v>
      </c>
      <c r="R831">
        <v>5.0790909090909088E-2</v>
      </c>
    </row>
    <row r="832" spans="1:18">
      <c r="A832" s="1">
        <v>75</v>
      </c>
      <c r="B832" s="1">
        <v>0</v>
      </c>
      <c r="C832" s="1">
        <v>1</v>
      </c>
      <c r="D832" s="1">
        <v>0</v>
      </c>
      <c r="E832" s="1">
        <v>1</v>
      </c>
      <c r="F832" s="1">
        <v>6</v>
      </c>
      <c r="G832" s="1">
        <v>6</v>
      </c>
      <c r="H832" s="1">
        <v>1</v>
      </c>
      <c r="I832" s="1">
        <v>2</v>
      </c>
      <c r="J832" s="1">
        <v>2</v>
      </c>
      <c r="K832" s="1">
        <v>2</v>
      </c>
      <c r="L832" s="1">
        <v>8</v>
      </c>
      <c r="M832" s="1">
        <v>34</v>
      </c>
      <c r="N832" s="1">
        <v>34</v>
      </c>
      <c r="O832" s="1">
        <v>41</v>
      </c>
      <c r="P832">
        <v>0.19377777777777774</v>
      </c>
      <c r="Q832">
        <v>0.19621188630490957</v>
      </c>
      <c r="R832">
        <v>4.9104545454545449E-2</v>
      </c>
    </row>
    <row r="833" spans="1:18">
      <c r="A833" s="1">
        <v>76</v>
      </c>
      <c r="B833" s="1">
        <v>1</v>
      </c>
      <c r="C833" s="1">
        <v>0</v>
      </c>
      <c r="D833" s="1">
        <v>0</v>
      </c>
      <c r="E833" s="1">
        <v>0</v>
      </c>
      <c r="F833" s="1">
        <v>1</v>
      </c>
      <c r="G833" s="1">
        <v>6</v>
      </c>
      <c r="H833" s="1">
        <v>1</v>
      </c>
      <c r="I833" s="1">
        <v>2</v>
      </c>
      <c r="J833" s="1">
        <v>1</v>
      </c>
      <c r="K833" s="1">
        <v>1</v>
      </c>
      <c r="L833" s="1">
        <v>8</v>
      </c>
      <c r="M833" s="1">
        <v>34</v>
      </c>
      <c r="N833" s="1">
        <v>34</v>
      </c>
      <c r="O833" s="1">
        <v>41</v>
      </c>
      <c r="P833">
        <v>0.40291823899371082</v>
      </c>
      <c r="Q833">
        <v>0.26012747631352284</v>
      </c>
      <c r="R833">
        <v>4.9413636363636361E-2</v>
      </c>
    </row>
    <row r="834" spans="1:18">
      <c r="A834" s="1">
        <v>77</v>
      </c>
      <c r="B834" s="1">
        <v>0</v>
      </c>
      <c r="C834" s="1">
        <v>0</v>
      </c>
      <c r="D834" s="1">
        <v>0</v>
      </c>
      <c r="E834" s="1">
        <v>1</v>
      </c>
      <c r="F834" s="1">
        <v>0</v>
      </c>
      <c r="G834" s="1">
        <v>0</v>
      </c>
      <c r="H834" s="1">
        <v>0</v>
      </c>
      <c r="I834" s="1">
        <v>2</v>
      </c>
      <c r="J834" s="1">
        <v>0</v>
      </c>
      <c r="K834" s="1">
        <v>0</v>
      </c>
      <c r="L834" s="1">
        <v>8</v>
      </c>
      <c r="M834" s="1">
        <v>34</v>
      </c>
      <c r="N834" s="1">
        <v>34</v>
      </c>
      <c r="O834" s="1">
        <v>41</v>
      </c>
      <c r="P834">
        <v>0.20007826694619149</v>
      </c>
      <c r="Q834">
        <v>0.21479242032730408</v>
      </c>
      <c r="R834">
        <v>4.5195454545454546E-2</v>
      </c>
    </row>
    <row r="835" spans="1:18">
      <c r="A835" s="1">
        <v>78</v>
      </c>
      <c r="B835" s="1">
        <v>1</v>
      </c>
      <c r="C835" s="1">
        <v>0</v>
      </c>
      <c r="D835" s="1">
        <v>0</v>
      </c>
      <c r="E835" s="1">
        <v>1</v>
      </c>
      <c r="F835" s="1">
        <v>1</v>
      </c>
      <c r="G835" s="1">
        <v>6</v>
      </c>
      <c r="H835" s="1">
        <v>1</v>
      </c>
      <c r="I835" s="1">
        <v>2</v>
      </c>
      <c r="J835" s="1">
        <v>1</v>
      </c>
      <c r="K835" s="1">
        <v>1</v>
      </c>
      <c r="L835" s="1">
        <v>8</v>
      </c>
      <c r="M835" s="1">
        <v>34</v>
      </c>
      <c r="N835" s="1">
        <v>34</v>
      </c>
      <c r="O835" s="1">
        <v>41</v>
      </c>
      <c r="P835">
        <v>0.21417190775681344</v>
      </c>
      <c r="Q835">
        <v>0.22919896640826878</v>
      </c>
      <c r="R835">
        <v>4.7277272727272716E-2</v>
      </c>
    </row>
    <row r="836" spans="1:18">
      <c r="A836" s="1">
        <v>79</v>
      </c>
      <c r="B836" s="1">
        <v>1</v>
      </c>
      <c r="C836" s="1">
        <v>1</v>
      </c>
      <c r="D836" s="1">
        <v>1</v>
      </c>
      <c r="E836" s="1">
        <v>0</v>
      </c>
      <c r="F836" s="1">
        <v>16</v>
      </c>
      <c r="G836" s="1">
        <v>6</v>
      </c>
      <c r="H836" s="1">
        <v>3</v>
      </c>
      <c r="I836" s="1">
        <v>2</v>
      </c>
      <c r="J836" s="1">
        <v>5</v>
      </c>
      <c r="K836" s="1">
        <v>6</v>
      </c>
      <c r="L836" s="1">
        <v>8</v>
      </c>
      <c r="M836" s="1">
        <v>34</v>
      </c>
      <c r="N836" s="1">
        <v>34</v>
      </c>
      <c r="O836" s="1">
        <v>41</v>
      </c>
      <c r="P836">
        <v>0.46325786163522015</v>
      </c>
      <c r="Q836">
        <v>0.43326959517657193</v>
      </c>
      <c r="R836">
        <v>5.2677272727272732E-2</v>
      </c>
    </row>
    <row r="837" spans="1:18">
      <c r="A837" s="1">
        <v>80</v>
      </c>
      <c r="B837" s="1">
        <v>1</v>
      </c>
      <c r="C837" s="1">
        <v>1</v>
      </c>
      <c r="D837" s="1">
        <v>1</v>
      </c>
      <c r="E837" s="1">
        <v>1</v>
      </c>
      <c r="F837" s="1">
        <v>23</v>
      </c>
      <c r="G837" s="1">
        <v>18</v>
      </c>
      <c r="H837" s="1">
        <v>3</v>
      </c>
      <c r="I837" s="1">
        <v>2</v>
      </c>
      <c r="J837" s="1">
        <v>6</v>
      </c>
      <c r="K837" s="1">
        <v>7</v>
      </c>
      <c r="L837" s="1">
        <v>8</v>
      </c>
      <c r="M837" s="1">
        <v>34</v>
      </c>
      <c r="N837" s="1">
        <v>34</v>
      </c>
      <c r="O837" s="1">
        <v>41</v>
      </c>
      <c r="P837">
        <v>0.25141579315164225</v>
      </c>
      <c r="Q837">
        <v>0.21987252368647728</v>
      </c>
      <c r="R837">
        <v>4.7399999999999991E-2</v>
      </c>
    </row>
    <row r="838" spans="1:18">
      <c r="A838" s="1">
        <v>81</v>
      </c>
      <c r="B838" s="1">
        <v>1</v>
      </c>
      <c r="C838" s="1">
        <v>1</v>
      </c>
      <c r="D838" s="1">
        <v>0</v>
      </c>
      <c r="E838" s="1">
        <v>0</v>
      </c>
      <c r="F838" s="1">
        <v>7</v>
      </c>
      <c r="G838" s="1">
        <v>6</v>
      </c>
      <c r="H838" s="1">
        <v>2</v>
      </c>
      <c r="I838" s="1">
        <v>2</v>
      </c>
      <c r="J838" s="1">
        <v>3</v>
      </c>
      <c r="K838" s="1">
        <v>3</v>
      </c>
      <c r="L838" s="1">
        <v>8</v>
      </c>
      <c r="M838" s="1">
        <v>34</v>
      </c>
      <c r="N838" s="1">
        <v>34</v>
      </c>
      <c r="O838" s="1">
        <v>41</v>
      </c>
      <c r="P838">
        <v>0.38373584905660379</v>
      </c>
      <c r="Q838">
        <v>0.318</v>
      </c>
      <c r="R838">
        <v>5.2427272727272725E-2</v>
      </c>
    </row>
    <row r="839" spans="1:18">
      <c r="A839" s="1">
        <v>82</v>
      </c>
      <c r="B839" s="1">
        <v>1</v>
      </c>
      <c r="C839" s="1">
        <v>1</v>
      </c>
      <c r="D839" s="1">
        <v>1</v>
      </c>
      <c r="E839" s="1">
        <v>1</v>
      </c>
      <c r="F839" s="1">
        <v>21</v>
      </c>
      <c r="G839" s="1">
        <v>18</v>
      </c>
      <c r="H839" s="1">
        <v>3</v>
      </c>
      <c r="I839" s="1">
        <v>2</v>
      </c>
      <c r="J839" s="1">
        <v>6</v>
      </c>
      <c r="K839" s="1">
        <v>7</v>
      </c>
      <c r="L839" s="1">
        <v>8</v>
      </c>
      <c r="M839" s="1">
        <v>34</v>
      </c>
      <c r="N839" s="1">
        <v>34</v>
      </c>
      <c r="O839" s="1">
        <v>41</v>
      </c>
      <c r="P839">
        <v>0.32790496156533894</v>
      </c>
      <c r="Q839">
        <v>0.24031352282515073</v>
      </c>
      <c r="R839">
        <v>4.5895454545454545E-2</v>
      </c>
    </row>
    <row r="840" spans="1:18">
      <c r="A840" s="1">
        <v>83</v>
      </c>
      <c r="B840" s="1">
        <v>1</v>
      </c>
      <c r="C840" s="1">
        <v>1</v>
      </c>
      <c r="D840" s="1">
        <v>1</v>
      </c>
      <c r="E840" s="1">
        <v>1</v>
      </c>
      <c r="F840" s="1">
        <v>18</v>
      </c>
      <c r="G840" s="1">
        <v>6</v>
      </c>
      <c r="H840" s="1">
        <v>3</v>
      </c>
      <c r="I840" s="1">
        <v>2</v>
      </c>
      <c r="J840" s="1">
        <v>5</v>
      </c>
      <c r="K840" s="1">
        <v>6</v>
      </c>
      <c r="L840" s="1">
        <v>8</v>
      </c>
      <c r="M840" s="1">
        <v>34</v>
      </c>
      <c r="N840" s="1">
        <v>34</v>
      </c>
      <c r="O840" s="1">
        <v>41</v>
      </c>
      <c r="P840">
        <v>0.30652690426275336</v>
      </c>
      <c r="Q840">
        <v>0.27704565030146422</v>
      </c>
      <c r="R840">
        <v>4.1504545454545454E-2</v>
      </c>
    </row>
    <row r="841" spans="1:18">
      <c r="A841" s="1">
        <v>84</v>
      </c>
      <c r="B841" s="1">
        <v>1</v>
      </c>
      <c r="C841" s="1">
        <v>1</v>
      </c>
      <c r="D841" s="1">
        <v>1</v>
      </c>
      <c r="E841" s="1">
        <v>1</v>
      </c>
      <c r="F841" s="1">
        <v>24</v>
      </c>
      <c r="G841" s="1">
        <v>18</v>
      </c>
      <c r="H841" s="1">
        <v>3</v>
      </c>
      <c r="I841" s="1">
        <v>2</v>
      </c>
      <c r="J841" s="1">
        <v>6</v>
      </c>
      <c r="K841" s="1">
        <v>7</v>
      </c>
      <c r="L841" s="1">
        <v>8</v>
      </c>
      <c r="M841" s="1">
        <v>34</v>
      </c>
      <c r="N841" s="1">
        <v>34</v>
      </c>
      <c r="O841" s="1">
        <v>41</v>
      </c>
      <c r="P841">
        <v>0.21873375262054504</v>
      </c>
      <c r="Q841">
        <v>0.21796382428940575</v>
      </c>
      <c r="R841">
        <v>4.2168181818181806E-2</v>
      </c>
    </row>
    <row r="842" spans="1:18">
      <c r="A842" s="1">
        <v>85</v>
      </c>
      <c r="B842" s="1">
        <v>1</v>
      </c>
      <c r="C842" s="1">
        <v>1</v>
      </c>
      <c r="D842" s="1">
        <v>1</v>
      </c>
      <c r="E842" s="1">
        <v>1</v>
      </c>
      <c r="F842" s="1">
        <v>20</v>
      </c>
      <c r="G842" s="1">
        <v>18</v>
      </c>
      <c r="H842" s="1">
        <v>3</v>
      </c>
      <c r="I842" s="1">
        <v>2</v>
      </c>
      <c r="J842" s="1">
        <v>6</v>
      </c>
      <c r="K842" s="1">
        <v>7</v>
      </c>
      <c r="L842" s="1">
        <v>8</v>
      </c>
      <c r="M842" s="1">
        <v>34</v>
      </c>
      <c r="N842" s="1">
        <v>34</v>
      </c>
      <c r="O842" s="1">
        <v>41</v>
      </c>
      <c r="P842">
        <v>0.29697833682739344</v>
      </c>
      <c r="Q842">
        <v>0.25469595176571924</v>
      </c>
      <c r="R842">
        <v>4.237272727272727E-2</v>
      </c>
    </row>
    <row r="843" spans="1:18">
      <c r="A843" s="1">
        <v>86</v>
      </c>
      <c r="B843" s="1">
        <v>1</v>
      </c>
      <c r="C843" s="1">
        <v>1</v>
      </c>
      <c r="D843" s="1">
        <v>1</v>
      </c>
      <c r="E843" s="1">
        <v>1</v>
      </c>
      <c r="F843" s="1">
        <v>17</v>
      </c>
      <c r="G843" s="1">
        <v>6</v>
      </c>
      <c r="H843" s="1">
        <v>3</v>
      </c>
      <c r="I843" s="1">
        <v>2</v>
      </c>
      <c r="J843" s="1">
        <v>5</v>
      </c>
      <c r="K843" s="1">
        <v>6</v>
      </c>
      <c r="L843" s="1">
        <v>8</v>
      </c>
      <c r="M843" s="1">
        <v>34</v>
      </c>
      <c r="N843" s="1">
        <v>34</v>
      </c>
      <c r="O843" s="1">
        <v>41</v>
      </c>
      <c r="P843">
        <v>0.21824178895877003</v>
      </c>
      <c r="Q843">
        <v>0.22724203273040486</v>
      </c>
      <c r="R843">
        <v>4.2886363636363604E-2</v>
      </c>
    </row>
    <row r="844" spans="1:18">
      <c r="A844" s="1">
        <v>87</v>
      </c>
      <c r="B844" s="1">
        <v>0</v>
      </c>
      <c r="C844" s="1">
        <v>1</v>
      </c>
      <c r="D844" s="1">
        <v>1</v>
      </c>
      <c r="E844" s="1">
        <v>0</v>
      </c>
      <c r="F844" s="1">
        <v>12</v>
      </c>
      <c r="G844" s="1">
        <v>6</v>
      </c>
      <c r="H844" s="1">
        <v>2</v>
      </c>
      <c r="I844" s="1">
        <v>2</v>
      </c>
      <c r="J844" s="1">
        <v>4</v>
      </c>
      <c r="K844" s="1">
        <v>4</v>
      </c>
      <c r="L844" s="1">
        <v>8</v>
      </c>
      <c r="M844" s="1">
        <v>34</v>
      </c>
      <c r="N844" s="1">
        <v>34</v>
      </c>
      <c r="O844" s="1">
        <v>41</v>
      </c>
      <c r="P844">
        <v>0.25460377358490571</v>
      </c>
      <c r="Q844">
        <v>0.17219121447028435</v>
      </c>
      <c r="R844">
        <v>4.9845454545454547E-2</v>
      </c>
    </row>
    <row r="845" spans="1:18">
      <c r="A845" s="1">
        <v>88</v>
      </c>
      <c r="B845" s="1">
        <v>1</v>
      </c>
      <c r="C845" s="1">
        <v>1</v>
      </c>
      <c r="D845" s="1">
        <v>1</v>
      </c>
      <c r="E845" s="1">
        <v>1</v>
      </c>
      <c r="F845" s="1">
        <v>15</v>
      </c>
      <c r="G845" s="1">
        <v>6</v>
      </c>
      <c r="H845" s="1">
        <v>3</v>
      </c>
      <c r="I845" s="1">
        <v>2</v>
      </c>
      <c r="J845" s="1">
        <v>5</v>
      </c>
      <c r="K845" s="1">
        <v>5</v>
      </c>
      <c r="L845" s="1">
        <v>8</v>
      </c>
      <c r="M845" s="1">
        <v>34</v>
      </c>
      <c r="N845" s="1">
        <v>34</v>
      </c>
      <c r="O845" s="1">
        <v>41</v>
      </c>
      <c r="P845">
        <v>0.25548567435359898</v>
      </c>
      <c r="Q845">
        <v>0.30814814814814828</v>
      </c>
      <c r="R845">
        <v>5.315000000000001E-2</v>
      </c>
    </row>
    <row r="846" spans="1:18">
      <c r="A846" s="1">
        <v>89</v>
      </c>
      <c r="B846" s="1">
        <v>1</v>
      </c>
      <c r="C846" s="1">
        <v>0</v>
      </c>
      <c r="D846" s="1">
        <v>0</v>
      </c>
      <c r="E846" s="1">
        <v>0</v>
      </c>
      <c r="F846" s="1">
        <v>3</v>
      </c>
      <c r="G846" s="1">
        <v>6</v>
      </c>
      <c r="H846" s="1">
        <v>1</v>
      </c>
      <c r="I846" s="1">
        <v>2</v>
      </c>
      <c r="J846" s="1">
        <v>1</v>
      </c>
      <c r="K846" s="1">
        <v>1</v>
      </c>
      <c r="L846" s="1">
        <v>8</v>
      </c>
      <c r="M846" s="1">
        <v>34</v>
      </c>
      <c r="N846" s="1">
        <v>34</v>
      </c>
      <c r="O846" s="1">
        <v>41</v>
      </c>
      <c r="P846">
        <v>0.23394968553459122</v>
      </c>
      <c r="Q846">
        <v>0.24761929371231697</v>
      </c>
      <c r="R846">
        <v>5.6986363636363627E-2</v>
      </c>
    </row>
    <row r="847" spans="1:18">
      <c r="A847" s="1">
        <v>90</v>
      </c>
      <c r="B847" s="1">
        <v>1</v>
      </c>
      <c r="C847" s="1">
        <v>1</v>
      </c>
      <c r="D847" s="1">
        <v>1</v>
      </c>
      <c r="E847" s="1">
        <v>1</v>
      </c>
      <c r="F847" s="1">
        <v>16</v>
      </c>
      <c r="G847" s="1">
        <v>6</v>
      </c>
      <c r="H847" s="1">
        <v>3</v>
      </c>
      <c r="I847" s="1">
        <v>2</v>
      </c>
      <c r="J847" s="1">
        <v>5</v>
      </c>
      <c r="K847" s="1">
        <v>6</v>
      </c>
      <c r="L847" s="1">
        <v>8</v>
      </c>
      <c r="M847" s="1">
        <v>34</v>
      </c>
      <c r="N847" s="1">
        <v>34</v>
      </c>
      <c r="O847" s="1">
        <v>41</v>
      </c>
      <c r="P847">
        <v>0.26857861635220132</v>
      </c>
      <c r="Q847">
        <v>0.20207751937984506</v>
      </c>
      <c r="R847">
        <v>5.3736363636363631E-2</v>
      </c>
    </row>
    <row r="848" spans="1:18">
      <c r="A848" s="1">
        <v>91</v>
      </c>
      <c r="B848" s="1">
        <v>1</v>
      </c>
      <c r="C848" s="1">
        <v>1</v>
      </c>
      <c r="D848" s="1">
        <v>1</v>
      </c>
      <c r="E848" s="1">
        <v>0</v>
      </c>
      <c r="F848" s="1">
        <v>22</v>
      </c>
      <c r="G848" s="1">
        <v>18</v>
      </c>
      <c r="H848" s="1">
        <v>3</v>
      </c>
      <c r="I848" s="1">
        <v>2</v>
      </c>
      <c r="J848" s="1">
        <v>6</v>
      </c>
      <c r="K848" s="1">
        <v>7</v>
      </c>
      <c r="L848" s="1">
        <v>8</v>
      </c>
      <c r="M848" s="1">
        <v>34</v>
      </c>
      <c r="N848" s="1">
        <v>34</v>
      </c>
      <c r="O848" s="1">
        <v>41</v>
      </c>
      <c r="P848">
        <v>0.31744654088050311</v>
      </c>
      <c r="Q848">
        <v>0.31374504737295439</v>
      </c>
      <c r="R848">
        <v>5.2713636363636358E-2</v>
      </c>
    </row>
    <row r="849" spans="1:18">
      <c r="A849" s="1">
        <v>92</v>
      </c>
      <c r="B849" s="1">
        <v>1</v>
      </c>
      <c r="C849" s="1">
        <v>1</v>
      </c>
      <c r="D849" s="1">
        <v>0</v>
      </c>
      <c r="E849" s="1">
        <v>1</v>
      </c>
      <c r="F849" s="1">
        <v>7</v>
      </c>
      <c r="G849" s="1">
        <v>6</v>
      </c>
      <c r="H849" s="1">
        <v>2</v>
      </c>
      <c r="I849" s="1">
        <v>2</v>
      </c>
      <c r="J849" s="1">
        <v>3</v>
      </c>
      <c r="K849" s="1">
        <v>3</v>
      </c>
      <c r="L849" s="1">
        <v>8</v>
      </c>
      <c r="M849" s="1">
        <v>34</v>
      </c>
      <c r="N849" s="1">
        <v>34</v>
      </c>
      <c r="O849" s="1">
        <v>41</v>
      </c>
      <c r="P849">
        <v>0.20544514325646404</v>
      </c>
      <c r="Q849">
        <v>0.21321619293712321</v>
      </c>
      <c r="R849">
        <v>4.7827272727272725E-2</v>
      </c>
    </row>
    <row r="850" spans="1:18">
      <c r="A850" s="1">
        <v>93</v>
      </c>
      <c r="B850" s="1">
        <v>0</v>
      </c>
      <c r="C850" s="1">
        <v>1</v>
      </c>
      <c r="D850" s="1">
        <v>1</v>
      </c>
      <c r="E850" s="1">
        <v>1</v>
      </c>
      <c r="F850" s="1">
        <v>11</v>
      </c>
      <c r="G850" s="1">
        <v>6</v>
      </c>
      <c r="H850" s="1">
        <v>2</v>
      </c>
      <c r="I850" s="1">
        <v>2</v>
      </c>
      <c r="J850" s="1">
        <v>4</v>
      </c>
      <c r="K850" s="1">
        <v>4</v>
      </c>
      <c r="L850" s="1">
        <v>8</v>
      </c>
      <c r="M850" s="1">
        <v>34</v>
      </c>
      <c r="N850" s="1">
        <v>34</v>
      </c>
      <c r="O850" s="1">
        <v>41</v>
      </c>
      <c r="P850">
        <v>0.23765199161425579</v>
      </c>
      <c r="Q850">
        <v>0.21645994832041349</v>
      </c>
      <c r="R850">
        <v>5.4731818181818159E-2</v>
      </c>
    </row>
    <row r="851" spans="1:18">
      <c r="A851" s="1">
        <v>94</v>
      </c>
      <c r="B851" s="1">
        <v>1</v>
      </c>
      <c r="C851" s="1">
        <v>0</v>
      </c>
      <c r="D851" s="1">
        <v>0</v>
      </c>
      <c r="E851" s="1">
        <v>1</v>
      </c>
      <c r="F851" s="1">
        <v>3</v>
      </c>
      <c r="G851" s="1">
        <v>6</v>
      </c>
      <c r="H851" s="1">
        <v>1</v>
      </c>
      <c r="I851" s="1">
        <v>2</v>
      </c>
      <c r="J851" s="1">
        <v>1</v>
      </c>
      <c r="K851" s="1">
        <v>1</v>
      </c>
      <c r="L851" s="1">
        <v>8</v>
      </c>
      <c r="M851" s="1">
        <v>34</v>
      </c>
      <c r="N851" s="1">
        <v>34</v>
      </c>
      <c r="O851" s="1">
        <v>41</v>
      </c>
      <c r="P851">
        <v>0.35363242487770785</v>
      </c>
      <c r="Q851">
        <v>0.26249440137812247</v>
      </c>
      <c r="R851">
        <v>4.3836363636363632E-2</v>
      </c>
    </row>
    <row r="852" spans="1:18">
      <c r="A852" s="1">
        <v>95</v>
      </c>
      <c r="B852" s="1">
        <v>1</v>
      </c>
      <c r="C852" s="1">
        <v>1</v>
      </c>
      <c r="D852" s="1">
        <v>0</v>
      </c>
      <c r="E852" s="1">
        <v>1</v>
      </c>
      <c r="F852" s="1">
        <v>8</v>
      </c>
      <c r="G852" s="1">
        <v>6</v>
      </c>
      <c r="H852" s="1">
        <v>2</v>
      </c>
      <c r="I852" s="1">
        <v>2</v>
      </c>
      <c r="J852" s="1">
        <v>3</v>
      </c>
      <c r="K852" s="1">
        <v>3</v>
      </c>
      <c r="L852" s="1">
        <v>8</v>
      </c>
      <c r="M852" s="1">
        <v>34</v>
      </c>
      <c r="N852" s="1">
        <v>34</v>
      </c>
      <c r="O852" s="1">
        <v>41</v>
      </c>
      <c r="P852">
        <v>0.23489587700908449</v>
      </c>
      <c r="Q852">
        <v>0.23318001722652887</v>
      </c>
      <c r="R852">
        <v>4.5013636363636381E-2</v>
      </c>
    </row>
    <row r="853" spans="1:18">
      <c r="A853" s="1">
        <v>96</v>
      </c>
      <c r="B853" s="1">
        <v>1</v>
      </c>
      <c r="C853" s="1">
        <v>1</v>
      </c>
      <c r="D853" s="1">
        <v>0</v>
      </c>
      <c r="E853" s="1">
        <v>1</v>
      </c>
      <c r="F853" s="1">
        <v>9</v>
      </c>
      <c r="G853" s="1">
        <v>6</v>
      </c>
      <c r="H853" s="1">
        <v>2</v>
      </c>
      <c r="I853" s="1">
        <v>2</v>
      </c>
      <c r="J853" s="1">
        <v>3</v>
      </c>
      <c r="K853" s="1">
        <v>3</v>
      </c>
      <c r="L853" s="1">
        <v>8</v>
      </c>
      <c r="M853" s="1">
        <v>34</v>
      </c>
      <c r="N853" s="1">
        <v>34</v>
      </c>
      <c r="O853" s="1">
        <v>41</v>
      </c>
      <c r="P853">
        <v>0.22710272536687631</v>
      </c>
      <c r="Q853">
        <v>0.20665633074935402</v>
      </c>
      <c r="R853">
        <v>5.1445454545454551E-2</v>
      </c>
    </row>
    <row r="854" spans="1:18">
      <c r="A854" s="1">
        <v>97</v>
      </c>
      <c r="B854" s="1">
        <v>1</v>
      </c>
      <c r="C854" s="1">
        <v>1</v>
      </c>
      <c r="D854" s="1">
        <v>1</v>
      </c>
      <c r="E854" s="1">
        <v>1</v>
      </c>
      <c r="F854" s="1">
        <v>19</v>
      </c>
      <c r="G854" s="1">
        <v>6</v>
      </c>
      <c r="H854" s="1">
        <v>3</v>
      </c>
      <c r="I854" s="1">
        <v>2</v>
      </c>
      <c r="J854" s="1">
        <v>5</v>
      </c>
      <c r="K854" s="1">
        <v>6</v>
      </c>
      <c r="L854" s="1">
        <v>8</v>
      </c>
      <c r="M854" s="1">
        <v>34</v>
      </c>
      <c r="N854" s="1">
        <v>34</v>
      </c>
      <c r="O854" s="1">
        <v>41</v>
      </c>
      <c r="P854">
        <v>0.27138504542278119</v>
      </c>
      <c r="Q854">
        <v>0.26106287683031881</v>
      </c>
      <c r="R854">
        <v>5.0945454545454544E-2</v>
      </c>
    </row>
    <row r="855" spans="1:18">
      <c r="A855" s="1">
        <v>98</v>
      </c>
      <c r="B855" s="1">
        <v>1</v>
      </c>
      <c r="C855" s="1">
        <v>1</v>
      </c>
      <c r="D855" s="1">
        <v>1</v>
      </c>
      <c r="E855" s="1">
        <v>1</v>
      </c>
      <c r="F855" s="1">
        <v>25</v>
      </c>
      <c r="G855" s="1">
        <v>18</v>
      </c>
      <c r="H855" s="1">
        <v>3</v>
      </c>
      <c r="I855" s="1">
        <v>2</v>
      </c>
      <c r="J855" s="1">
        <v>6</v>
      </c>
      <c r="K855" s="1">
        <v>7</v>
      </c>
      <c r="L855" s="1">
        <v>8</v>
      </c>
      <c r="M855" s="1">
        <v>34</v>
      </c>
      <c r="N855" s="1">
        <v>34</v>
      </c>
      <c r="O855" s="1">
        <v>41</v>
      </c>
      <c r="P855">
        <v>0.27189378057302566</v>
      </c>
      <c r="Q855">
        <v>0.27732988802756248</v>
      </c>
      <c r="R855">
        <v>5.5486363636363632E-2</v>
      </c>
    </row>
    <row r="856" spans="1:18">
      <c r="A856" s="1">
        <v>99</v>
      </c>
      <c r="B856" s="1">
        <v>1</v>
      </c>
      <c r="C856" s="1">
        <v>1</v>
      </c>
      <c r="D856" s="1">
        <v>1</v>
      </c>
      <c r="E856" s="1">
        <v>0</v>
      </c>
      <c r="F856" s="1">
        <v>26</v>
      </c>
      <c r="G856" s="1">
        <v>18</v>
      </c>
      <c r="H856" s="1">
        <v>3</v>
      </c>
      <c r="I856" s="1">
        <v>2</v>
      </c>
      <c r="J856" s="1">
        <v>6</v>
      </c>
      <c r="K856" s="1">
        <v>7</v>
      </c>
      <c r="L856" s="1">
        <v>8</v>
      </c>
      <c r="M856" s="1">
        <v>34</v>
      </c>
      <c r="N856" s="1">
        <v>34</v>
      </c>
      <c r="O856" s="1">
        <v>41</v>
      </c>
      <c r="P856">
        <v>0.41294339622641513</v>
      </c>
      <c r="Q856">
        <v>0.40057364341085283</v>
      </c>
      <c r="R856">
        <v>5.0118181818181812E-2</v>
      </c>
    </row>
    <row r="857" spans="1:18">
      <c r="A857" s="1">
        <v>100</v>
      </c>
      <c r="B857" s="1">
        <v>1</v>
      </c>
      <c r="C857" s="1">
        <v>1</v>
      </c>
      <c r="D857" s="1">
        <v>1</v>
      </c>
      <c r="E857" s="1">
        <v>1</v>
      </c>
      <c r="F857" s="1">
        <v>22</v>
      </c>
      <c r="G857" s="1">
        <v>18</v>
      </c>
      <c r="H857" s="1">
        <v>3</v>
      </c>
      <c r="I857" s="1">
        <v>2</v>
      </c>
      <c r="J857" s="1">
        <v>6</v>
      </c>
      <c r="K857" s="1">
        <v>7</v>
      </c>
      <c r="L857" s="1">
        <v>8</v>
      </c>
      <c r="M857" s="1">
        <v>34</v>
      </c>
      <c r="N857" s="1">
        <v>34</v>
      </c>
      <c r="O857" s="1">
        <v>41</v>
      </c>
      <c r="P857">
        <v>0.23442068483577913</v>
      </c>
      <c r="Q857">
        <v>0.25498018949181733</v>
      </c>
      <c r="R857">
        <v>4.6036363636363653E-2</v>
      </c>
    </row>
    <row r="858" spans="1:18">
      <c r="A858" s="1">
        <v>101</v>
      </c>
      <c r="B858" s="1">
        <v>1</v>
      </c>
      <c r="C858" s="1">
        <v>1</v>
      </c>
      <c r="D858" s="1">
        <v>1</v>
      </c>
      <c r="E858" s="1">
        <v>1</v>
      </c>
      <c r="F858" s="1">
        <v>13</v>
      </c>
      <c r="G858" s="1">
        <v>6</v>
      </c>
      <c r="H858" s="1">
        <v>3</v>
      </c>
      <c r="I858" s="1">
        <v>2</v>
      </c>
      <c r="J858" s="1">
        <v>5</v>
      </c>
      <c r="K858" s="1">
        <v>5</v>
      </c>
      <c r="L858" s="1">
        <v>8</v>
      </c>
      <c r="M858" s="1">
        <v>34</v>
      </c>
      <c r="N858" s="1">
        <v>34</v>
      </c>
      <c r="O858" s="1">
        <v>41</v>
      </c>
      <c r="P858">
        <v>0.23341998602375971</v>
      </c>
      <c r="Q858">
        <v>0.24706115417743341</v>
      </c>
      <c r="R858">
        <v>4.7927272727272735E-2</v>
      </c>
    </row>
    <row r="859" spans="1:18">
      <c r="A859" s="1">
        <v>102</v>
      </c>
      <c r="B859" s="1">
        <v>0</v>
      </c>
      <c r="C859" s="1">
        <v>1</v>
      </c>
      <c r="D859" s="1">
        <v>0</v>
      </c>
      <c r="E859" s="1">
        <v>1</v>
      </c>
      <c r="F859" s="1">
        <v>4</v>
      </c>
      <c r="G859" s="1">
        <v>6</v>
      </c>
      <c r="H859" s="1">
        <v>1</v>
      </c>
      <c r="I859" s="1">
        <v>2</v>
      </c>
      <c r="J859" s="1">
        <v>2</v>
      </c>
      <c r="K859" s="1">
        <v>2</v>
      </c>
      <c r="L859" s="1">
        <v>8</v>
      </c>
      <c r="M859" s="1">
        <v>34</v>
      </c>
      <c r="N859" s="1">
        <v>34</v>
      </c>
      <c r="O859" s="1">
        <v>41</v>
      </c>
      <c r="P859">
        <v>0.30562683438155147</v>
      </c>
      <c r="Q859">
        <v>0.2651886304909562</v>
      </c>
      <c r="R859">
        <v>5.2818181818181813E-2</v>
      </c>
    </row>
    <row r="860" spans="1:18">
      <c r="A860" s="1">
        <v>103</v>
      </c>
      <c r="B860" s="1">
        <v>0</v>
      </c>
      <c r="C860" s="1">
        <v>1</v>
      </c>
      <c r="D860" s="1">
        <v>1</v>
      </c>
      <c r="E860" s="1">
        <v>1</v>
      </c>
      <c r="F860" s="1">
        <v>10</v>
      </c>
      <c r="G860" s="1">
        <v>6</v>
      </c>
      <c r="H860" s="1">
        <v>2</v>
      </c>
      <c r="I860" s="1">
        <v>2</v>
      </c>
      <c r="J860" s="1">
        <v>4</v>
      </c>
      <c r="K860" s="1">
        <v>4</v>
      </c>
      <c r="L860" s="1">
        <v>8</v>
      </c>
      <c r="M860" s="1">
        <v>34</v>
      </c>
      <c r="N860" s="1">
        <v>34</v>
      </c>
      <c r="O860" s="1">
        <v>41</v>
      </c>
      <c r="P860">
        <v>9.6324248777078986E-2</v>
      </c>
      <c r="Q860">
        <v>7.9595176571920764E-2</v>
      </c>
      <c r="R860">
        <v>3.8035909090909099E-2</v>
      </c>
    </row>
    <row r="861" spans="1:18">
      <c r="A861" s="1">
        <v>104</v>
      </c>
      <c r="B861" s="1">
        <v>0</v>
      </c>
      <c r="C861" s="1">
        <v>1</v>
      </c>
      <c r="D861" s="1">
        <v>1</v>
      </c>
      <c r="E861" s="1">
        <v>1</v>
      </c>
      <c r="F861" s="1">
        <v>12</v>
      </c>
      <c r="G861" s="1">
        <v>6</v>
      </c>
      <c r="H861" s="1">
        <v>2</v>
      </c>
      <c r="I861" s="1">
        <v>2</v>
      </c>
      <c r="J861" s="1">
        <v>4</v>
      </c>
      <c r="K861" s="1">
        <v>4</v>
      </c>
      <c r="L861" s="1">
        <v>8</v>
      </c>
      <c r="M861" s="1">
        <v>34</v>
      </c>
      <c r="N861" s="1">
        <v>34</v>
      </c>
      <c r="O861" s="1">
        <v>41</v>
      </c>
      <c r="P861">
        <v>0.42287071977638013</v>
      </c>
      <c r="Q861">
        <v>0.34981567614125753</v>
      </c>
      <c r="R861">
        <v>3.6327272727272722E-2</v>
      </c>
    </row>
    <row r="862" spans="1:18">
      <c r="A862" s="1">
        <v>105</v>
      </c>
      <c r="B862" s="1">
        <v>1</v>
      </c>
      <c r="C862" s="1">
        <v>1</v>
      </c>
      <c r="D862" s="1">
        <v>1</v>
      </c>
      <c r="E862" s="1">
        <v>1</v>
      </c>
      <c r="F862" s="1">
        <v>14</v>
      </c>
      <c r="G862" s="1">
        <v>6</v>
      </c>
      <c r="H862" s="1">
        <v>3</v>
      </c>
      <c r="I862" s="1">
        <v>2</v>
      </c>
      <c r="J862" s="1">
        <v>5</v>
      </c>
      <c r="K862" s="1">
        <v>5</v>
      </c>
      <c r="L862" s="1">
        <v>8</v>
      </c>
      <c r="M862" s="1">
        <v>34</v>
      </c>
      <c r="N862" s="1">
        <v>34</v>
      </c>
      <c r="O862" s="1">
        <v>41</v>
      </c>
      <c r="P862">
        <v>0.22413417190775689</v>
      </c>
      <c r="Q862">
        <v>0.23212919896640835</v>
      </c>
      <c r="R862">
        <v>4.9759090909090913E-2</v>
      </c>
    </row>
    <row r="863" spans="1:18">
      <c r="A863" s="1">
        <v>106</v>
      </c>
      <c r="B863" s="1">
        <v>1</v>
      </c>
      <c r="C863" s="1">
        <v>1</v>
      </c>
      <c r="D863" s="1">
        <v>1</v>
      </c>
      <c r="E863" s="1">
        <v>0</v>
      </c>
      <c r="F863" s="1">
        <v>19</v>
      </c>
      <c r="G863" s="1">
        <v>6</v>
      </c>
      <c r="H863" s="1">
        <v>3</v>
      </c>
      <c r="I863" s="1">
        <v>2</v>
      </c>
      <c r="J863" s="1">
        <v>5</v>
      </c>
      <c r="K863" s="1">
        <v>6</v>
      </c>
      <c r="L863" s="1">
        <v>8</v>
      </c>
      <c r="M863" s="1">
        <v>34</v>
      </c>
      <c r="N863" s="1">
        <v>34</v>
      </c>
      <c r="O863" s="1">
        <v>41</v>
      </c>
      <c r="P863">
        <v>0.32555974842767293</v>
      </c>
      <c r="Q863">
        <v>0.28922308354866505</v>
      </c>
      <c r="R863">
        <v>4.8000000000000022E-2</v>
      </c>
    </row>
    <row r="864" spans="1:18">
      <c r="A864" s="1">
        <v>107</v>
      </c>
      <c r="B864" s="1">
        <v>1</v>
      </c>
      <c r="C864" s="1">
        <v>1</v>
      </c>
      <c r="D864" s="1">
        <v>1</v>
      </c>
      <c r="E864" s="1">
        <v>1</v>
      </c>
      <c r="F864" s="1">
        <v>26</v>
      </c>
      <c r="G864" s="1">
        <v>18</v>
      </c>
      <c r="H864" s="1">
        <v>3</v>
      </c>
      <c r="I864" s="1">
        <v>2</v>
      </c>
      <c r="J864" s="1">
        <v>6</v>
      </c>
      <c r="K864" s="1">
        <v>7</v>
      </c>
      <c r="L864" s="1">
        <v>8</v>
      </c>
      <c r="M864" s="1">
        <v>34</v>
      </c>
      <c r="N864" s="1">
        <v>34</v>
      </c>
      <c r="O864" s="1">
        <v>41</v>
      </c>
      <c r="P864">
        <v>0.21835918937805734</v>
      </c>
      <c r="Q864">
        <v>0.25536089577950033</v>
      </c>
      <c r="R864">
        <v>4.8945454545454521E-2</v>
      </c>
    </row>
    <row r="865" spans="1:18">
      <c r="A865" s="1">
        <v>108</v>
      </c>
      <c r="B865" s="1">
        <v>1</v>
      </c>
      <c r="C865" s="1">
        <v>0</v>
      </c>
      <c r="D865" s="1">
        <v>0</v>
      </c>
      <c r="E865" s="1">
        <v>1</v>
      </c>
      <c r="F865" s="1">
        <v>2</v>
      </c>
      <c r="G865" s="1">
        <v>6</v>
      </c>
      <c r="H865" s="1">
        <v>1</v>
      </c>
      <c r="I865" s="1">
        <v>2</v>
      </c>
      <c r="J865" s="1">
        <v>1</v>
      </c>
      <c r="K865" s="1">
        <v>1</v>
      </c>
      <c r="L865" s="1">
        <v>8</v>
      </c>
      <c r="M865" s="1">
        <v>34</v>
      </c>
      <c r="N865" s="1">
        <v>34</v>
      </c>
      <c r="O865" s="1">
        <v>41</v>
      </c>
      <c r="P865">
        <v>0.30037735849056607</v>
      </c>
      <c r="Q865">
        <v>0.18883720930232553</v>
      </c>
      <c r="R865">
        <v>4.6868181818181795E-2</v>
      </c>
    </row>
    <row r="866" spans="1:18">
      <c r="A866" s="1">
        <v>1</v>
      </c>
      <c r="B866" s="1">
        <v>1</v>
      </c>
      <c r="C866" s="1">
        <v>1</v>
      </c>
      <c r="D866" s="1">
        <v>1</v>
      </c>
      <c r="E866" s="1">
        <v>0</v>
      </c>
      <c r="F866" s="1">
        <v>14</v>
      </c>
      <c r="G866" s="1">
        <v>6</v>
      </c>
      <c r="H866" s="1">
        <v>3</v>
      </c>
      <c r="I866" s="1">
        <v>1</v>
      </c>
      <c r="J866" s="1">
        <v>5</v>
      </c>
      <c r="K866" s="1">
        <v>5</v>
      </c>
      <c r="L866" s="1">
        <v>9</v>
      </c>
      <c r="M866" s="1">
        <v>40</v>
      </c>
      <c r="N866" s="1">
        <v>42</v>
      </c>
      <c r="O866" s="1">
        <v>49</v>
      </c>
      <c r="P866">
        <v>0.25012301587301577</v>
      </c>
      <c r="Q866">
        <v>0.29880000000000007</v>
      </c>
      <c r="R866">
        <v>5.1318181818181818E-2</v>
      </c>
    </row>
    <row r="867" spans="1:18">
      <c r="A867" s="1">
        <v>2</v>
      </c>
      <c r="B867" s="1">
        <v>1</v>
      </c>
      <c r="C867" s="1">
        <v>1</v>
      </c>
      <c r="D867" s="1">
        <v>1</v>
      </c>
      <c r="E867" s="1">
        <v>0</v>
      </c>
      <c r="F867" s="1">
        <v>15</v>
      </c>
      <c r="G867" s="1">
        <v>6</v>
      </c>
      <c r="H867" s="1">
        <v>3</v>
      </c>
      <c r="I867" s="1">
        <v>1</v>
      </c>
      <c r="J867" s="1">
        <v>5</v>
      </c>
      <c r="K867" s="1">
        <v>5</v>
      </c>
      <c r="L867" s="1">
        <v>9</v>
      </c>
      <c r="M867" s="1">
        <v>40</v>
      </c>
      <c r="N867" s="1">
        <v>42</v>
      </c>
      <c r="O867" s="1">
        <v>49</v>
      </c>
      <c r="P867">
        <v>0.26538888888888895</v>
      </c>
      <c r="Q867">
        <v>0.37840000000000007</v>
      </c>
      <c r="R867">
        <v>4.4754545454545429E-2</v>
      </c>
    </row>
    <row r="868" spans="1:18">
      <c r="A868" s="1">
        <v>3</v>
      </c>
      <c r="B868" s="1">
        <v>1</v>
      </c>
      <c r="C868" s="1">
        <v>1</v>
      </c>
      <c r="D868" s="1">
        <v>1</v>
      </c>
      <c r="E868" s="1">
        <v>0</v>
      </c>
      <c r="F868" s="1">
        <v>13</v>
      </c>
      <c r="G868" s="1">
        <v>6</v>
      </c>
      <c r="H868" s="1">
        <v>3</v>
      </c>
      <c r="I868" s="1">
        <v>1</v>
      </c>
      <c r="J868" s="1">
        <v>5</v>
      </c>
      <c r="K868" s="1">
        <v>5</v>
      </c>
      <c r="L868" s="1">
        <v>9</v>
      </c>
      <c r="M868" s="1">
        <v>40</v>
      </c>
      <c r="N868" s="1">
        <v>42</v>
      </c>
      <c r="O868" s="1">
        <v>49</v>
      </c>
      <c r="P868">
        <v>0.29136904761904753</v>
      </c>
      <c r="Q868">
        <v>0.37100000000000011</v>
      </c>
      <c r="R868">
        <v>5.1722727272727281E-2</v>
      </c>
    </row>
    <row r="869" spans="1:18">
      <c r="A869" s="1">
        <v>4</v>
      </c>
      <c r="B869" s="1">
        <v>1</v>
      </c>
      <c r="C869" s="1">
        <v>0</v>
      </c>
      <c r="D869" s="1">
        <v>0</v>
      </c>
      <c r="E869" s="1">
        <v>0</v>
      </c>
      <c r="F869" s="1">
        <v>1</v>
      </c>
      <c r="G869" s="1">
        <v>6</v>
      </c>
      <c r="H869" s="1">
        <v>1</v>
      </c>
      <c r="I869" s="1">
        <v>1</v>
      </c>
      <c r="J869" s="1">
        <v>1</v>
      </c>
      <c r="K869" s="1">
        <v>1</v>
      </c>
      <c r="L869" s="1">
        <v>9</v>
      </c>
      <c r="M869" s="1">
        <v>40</v>
      </c>
      <c r="N869" s="1">
        <v>42</v>
      </c>
      <c r="O869" s="1">
        <v>49</v>
      </c>
      <c r="P869">
        <v>0.21592063492063499</v>
      </c>
      <c r="Q869">
        <v>0.26659999999999984</v>
      </c>
      <c r="R869">
        <v>4.8059090909090912E-2</v>
      </c>
    </row>
    <row r="870" spans="1:18">
      <c r="A870" s="1">
        <v>5</v>
      </c>
      <c r="B870" s="1">
        <v>1</v>
      </c>
      <c r="C870" s="1">
        <v>1</v>
      </c>
      <c r="D870" s="1">
        <v>0</v>
      </c>
      <c r="E870" s="1">
        <v>0</v>
      </c>
      <c r="F870" s="1">
        <v>8</v>
      </c>
      <c r="G870" s="1">
        <v>6</v>
      </c>
      <c r="H870" s="1">
        <v>2</v>
      </c>
      <c r="I870" s="1">
        <v>1</v>
      </c>
      <c r="J870" s="1">
        <v>3</v>
      </c>
      <c r="K870" s="1">
        <v>3</v>
      </c>
      <c r="L870" s="1">
        <v>9</v>
      </c>
      <c r="M870" s="1">
        <v>40</v>
      </c>
      <c r="N870" s="1">
        <v>42</v>
      </c>
      <c r="O870" s="1">
        <v>49</v>
      </c>
      <c r="P870">
        <v>0.30261507936507931</v>
      </c>
      <c r="Q870">
        <v>0.33820000000000006</v>
      </c>
      <c r="R870">
        <v>5.8231818181818176E-2</v>
      </c>
    </row>
    <row r="871" spans="1:18">
      <c r="A871" s="1">
        <v>6</v>
      </c>
      <c r="B871" s="1">
        <v>1</v>
      </c>
      <c r="C871" s="1">
        <v>0</v>
      </c>
      <c r="D871" s="1">
        <v>0</v>
      </c>
      <c r="E871" s="1">
        <v>0</v>
      </c>
      <c r="F871" s="1">
        <v>2</v>
      </c>
      <c r="G871" s="1">
        <v>6</v>
      </c>
      <c r="H871" s="1">
        <v>1</v>
      </c>
      <c r="I871" s="1">
        <v>1</v>
      </c>
      <c r="J871" s="1">
        <v>1</v>
      </c>
      <c r="K871" s="1">
        <v>1</v>
      </c>
      <c r="L871" s="1">
        <v>9</v>
      </c>
      <c r="M871" s="1">
        <v>40</v>
      </c>
      <c r="N871" s="1">
        <v>42</v>
      </c>
      <c r="O871" s="1">
        <v>49</v>
      </c>
      <c r="P871">
        <v>0.18716666666666665</v>
      </c>
      <c r="Q871">
        <v>0.27879999999999994</v>
      </c>
      <c r="R871">
        <v>4.6622727272727295E-2</v>
      </c>
    </row>
    <row r="872" spans="1:18">
      <c r="A872" s="1">
        <v>7</v>
      </c>
      <c r="B872" s="1">
        <v>1</v>
      </c>
      <c r="C872" s="1">
        <v>1</v>
      </c>
      <c r="D872" s="1">
        <v>1</v>
      </c>
      <c r="E872" s="1">
        <v>0</v>
      </c>
      <c r="F872" s="1">
        <v>24</v>
      </c>
      <c r="G872" s="1">
        <v>18</v>
      </c>
      <c r="H872" s="1">
        <v>3</v>
      </c>
      <c r="I872" s="1">
        <v>1</v>
      </c>
      <c r="J872" s="1">
        <v>6</v>
      </c>
      <c r="K872" s="1">
        <v>7</v>
      </c>
      <c r="L872" s="1">
        <v>9</v>
      </c>
      <c r="M872" s="1">
        <v>40</v>
      </c>
      <c r="N872" s="1">
        <v>42</v>
      </c>
      <c r="O872" s="1">
        <v>49</v>
      </c>
      <c r="P872">
        <v>0.25600396825396821</v>
      </c>
      <c r="Q872">
        <v>0.37340000000000001</v>
      </c>
      <c r="R872">
        <v>4.2422727272727292E-2</v>
      </c>
    </row>
    <row r="873" spans="1:18">
      <c r="A873" s="1">
        <v>8</v>
      </c>
      <c r="B873" s="1">
        <v>1</v>
      </c>
      <c r="C873" s="1">
        <v>1</v>
      </c>
      <c r="D873" s="1">
        <v>1</v>
      </c>
      <c r="E873" s="1">
        <v>0</v>
      </c>
      <c r="F873" s="1">
        <v>26</v>
      </c>
      <c r="G873" s="1">
        <v>18</v>
      </c>
      <c r="H873" s="1">
        <v>3</v>
      </c>
      <c r="I873" s="1">
        <v>1</v>
      </c>
      <c r="J873" s="1">
        <v>6</v>
      </c>
      <c r="K873" s="1">
        <v>7</v>
      </c>
      <c r="L873" s="1">
        <v>9</v>
      </c>
      <c r="M873" s="1">
        <v>40</v>
      </c>
      <c r="N873" s="1">
        <v>42</v>
      </c>
      <c r="O873" s="1">
        <v>49</v>
      </c>
      <c r="P873">
        <v>0.29484126984126979</v>
      </c>
      <c r="Q873">
        <v>0.40099999999999991</v>
      </c>
      <c r="R873">
        <v>4.8663636363636374E-2</v>
      </c>
    </row>
    <row r="874" spans="1:18">
      <c r="A874" s="1">
        <v>9</v>
      </c>
      <c r="B874" s="1">
        <v>1</v>
      </c>
      <c r="C874" s="1">
        <v>1</v>
      </c>
      <c r="D874" s="1">
        <v>1</v>
      </c>
      <c r="E874" s="1">
        <v>0</v>
      </c>
      <c r="F874" s="1">
        <v>21</v>
      </c>
      <c r="G874" s="1">
        <v>18</v>
      </c>
      <c r="H874" s="1">
        <v>3</v>
      </c>
      <c r="I874" s="1">
        <v>1</v>
      </c>
      <c r="J874" s="1">
        <v>6</v>
      </c>
      <c r="K874" s="1">
        <v>7</v>
      </c>
      <c r="L874" s="1">
        <v>9</v>
      </c>
      <c r="M874" s="1">
        <v>40</v>
      </c>
      <c r="N874" s="1">
        <v>42</v>
      </c>
      <c r="O874" s="1">
        <v>49</v>
      </c>
      <c r="P874">
        <v>0.35010714285714278</v>
      </c>
      <c r="Q874">
        <v>0.4836000000000002</v>
      </c>
      <c r="R874">
        <v>4.1595454545454554E-2</v>
      </c>
    </row>
    <row r="875" spans="1:18">
      <c r="A875" s="1">
        <v>10</v>
      </c>
      <c r="B875" s="1">
        <v>1</v>
      </c>
      <c r="C875" s="1">
        <v>1</v>
      </c>
      <c r="D875" s="1">
        <v>1</v>
      </c>
      <c r="E875" s="1">
        <v>0</v>
      </c>
      <c r="F875" s="1">
        <v>25</v>
      </c>
      <c r="G875" s="1">
        <v>18</v>
      </c>
      <c r="H875" s="1">
        <v>3</v>
      </c>
      <c r="I875" s="1">
        <v>1</v>
      </c>
      <c r="J875" s="1">
        <v>6</v>
      </c>
      <c r="K875" s="1">
        <v>7</v>
      </c>
      <c r="L875" s="1">
        <v>9</v>
      </c>
      <c r="M875" s="1">
        <v>40</v>
      </c>
      <c r="N875" s="1">
        <v>42</v>
      </c>
      <c r="O875" s="1">
        <v>49</v>
      </c>
      <c r="P875">
        <v>0.39965873015873016</v>
      </c>
      <c r="Q875">
        <v>0.50319999999999998</v>
      </c>
      <c r="R875">
        <v>5.0413636363636376E-2</v>
      </c>
    </row>
    <row r="876" spans="1:18">
      <c r="A876" s="1">
        <v>11</v>
      </c>
      <c r="B876" s="1">
        <v>1</v>
      </c>
      <c r="C876" s="1">
        <v>1</v>
      </c>
      <c r="D876" s="1">
        <v>1</v>
      </c>
      <c r="E876" s="1">
        <v>0</v>
      </c>
      <c r="F876" s="1">
        <v>20</v>
      </c>
      <c r="G876" s="1">
        <v>18</v>
      </c>
      <c r="H876" s="1">
        <v>3</v>
      </c>
      <c r="I876" s="1">
        <v>1</v>
      </c>
      <c r="J876" s="1">
        <v>6</v>
      </c>
      <c r="K876" s="1">
        <v>7</v>
      </c>
      <c r="L876" s="1">
        <v>9</v>
      </c>
      <c r="M876" s="1">
        <v>40</v>
      </c>
      <c r="N876" s="1">
        <v>42</v>
      </c>
      <c r="O876" s="1">
        <v>49</v>
      </c>
      <c r="P876">
        <v>0.26849603174603182</v>
      </c>
      <c r="Q876">
        <v>0.37279999999999996</v>
      </c>
      <c r="R876">
        <v>5.1881818181818161E-2</v>
      </c>
    </row>
    <row r="877" spans="1:18">
      <c r="A877" s="1">
        <v>12</v>
      </c>
      <c r="B877" s="1">
        <v>1</v>
      </c>
      <c r="C877" s="1">
        <v>1</v>
      </c>
      <c r="D877" s="1">
        <v>1</v>
      </c>
      <c r="E877" s="1">
        <v>1</v>
      </c>
      <c r="F877" s="1">
        <v>18</v>
      </c>
      <c r="G877" s="1">
        <v>6</v>
      </c>
      <c r="H877" s="1">
        <v>3</v>
      </c>
      <c r="I877" s="1">
        <v>1</v>
      </c>
      <c r="J877" s="1">
        <v>5</v>
      </c>
      <c r="K877" s="1">
        <v>6</v>
      </c>
      <c r="L877" s="1">
        <v>9</v>
      </c>
      <c r="M877" s="1">
        <v>40</v>
      </c>
      <c r="N877" s="1">
        <v>42</v>
      </c>
      <c r="O877" s="1">
        <v>49</v>
      </c>
      <c r="P877">
        <v>0.10161904761904762</v>
      </c>
      <c r="Q877">
        <v>0.17635555555555552</v>
      </c>
      <c r="R877">
        <v>3.8359090909090891E-2</v>
      </c>
    </row>
    <row r="878" spans="1:18">
      <c r="A878" s="1">
        <v>13</v>
      </c>
      <c r="B878" s="1">
        <v>1</v>
      </c>
      <c r="C878" s="1">
        <v>1</v>
      </c>
      <c r="D878" s="1">
        <v>1</v>
      </c>
      <c r="E878" s="1">
        <v>1</v>
      </c>
      <c r="F878" s="1">
        <v>25</v>
      </c>
      <c r="G878" s="1">
        <v>18</v>
      </c>
      <c r="H878" s="1">
        <v>3</v>
      </c>
      <c r="I878" s="1">
        <v>1</v>
      </c>
      <c r="J878" s="1">
        <v>6</v>
      </c>
      <c r="K878" s="1">
        <v>7</v>
      </c>
      <c r="L878" s="1">
        <v>9</v>
      </c>
      <c r="M878" s="1">
        <v>40</v>
      </c>
      <c r="N878" s="1">
        <v>42</v>
      </c>
      <c r="O878" s="1">
        <v>49</v>
      </c>
      <c r="P878">
        <v>0.16646825396825404</v>
      </c>
      <c r="Q878">
        <v>0.2433518518518519</v>
      </c>
      <c r="R878">
        <v>4.2586363636363637E-2</v>
      </c>
    </row>
    <row r="879" spans="1:18">
      <c r="A879" s="1">
        <v>14</v>
      </c>
      <c r="B879" s="1">
        <v>1</v>
      </c>
      <c r="C879" s="1">
        <v>1</v>
      </c>
      <c r="D879" s="1">
        <v>1</v>
      </c>
      <c r="E879" s="1">
        <v>1</v>
      </c>
      <c r="F879" s="1">
        <v>14</v>
      </c>
      <c r="G879" s="1">
        <v>6</v>
      </c>
      <c r="H879" s="1">
        <v>3</v>
      </c>
      <c r="I879" s="1">
        <v>1</v>
      </c>
      <c r="J879" s="1">
        <v>5</v>
      </c>
      <c r="K879" s="1">
        <v>5</v>
      </c>
      <c r="L879" s="1">
        <v>9</v>
      </c>
      <c r="M879" s="1">
        <v>40</v>
      </c>
      <c r="N879" s="1">
        <v>42</v>
      </c>
      <c r="O879" s="1">
        <v>49</v>
      </c>
      <c r="P879">
        <v>0.22274603174603172</v>
      </c>
      <c r="Q879">
        <v>0.27834814814814807</v>
      </c>
      <c r="R879">
        <v>4.4086363636363653E-2</v>
      </c>
    </row>
    <row r="880" spans="1:18">
      <c r="A880" s="1">
        <v>15</v>
      </c>
      <c r="B880" s="1">
        <v>1</v>
      </c>
      <c r="C880" s="1">
        <v>1</v>
      </c>
      <c r="D880" s="1">
        <v>1</v>
      </c>
      <c r="E880" s="1">
        <v>0</v>
      </c>
      <c r="F880" s="1">
        <v>18</v>
      </c>
      <c r="G880" s="1">
        <v>6</v>
      </c>
      <c r="H880" s="1">
        <v>3</v>
      </c>
      <c r="I880" s="1">
        <v>1</v>
      </c>
      <c r="J880" s="1">
        <v>5</v>
      </c>
      <c r="K880" s="1">
        <v>6</v>
      </c>
      <c r="L880" s="1">
        <v>9</v>
      </c>
      <c r="M880" s="1">
        <v>40</v>
      </c>
      <c r="N880" s="1">
        <v>42</v>
      </c>
      <c r="O880" s="1">
        <v>49</v>
      </c>
      <c r="P880">
        <v>0.24027380952380956</v>
      </c>
      <c r="Q880">
        <v>0.33219999999999994</v>
      </c>
      <c r="R880">
        <v>4.5359090909090911E-2</v>
      </c>
    </row>
    <row r="881" spans="1:18">
      <c r="A881" s="1">
        <v>16</v>
      </c>
      <c r="B881" s="1">
        <v>1</v>
      </c>
      <c r="C881" s="1">
        <v>1</v>
      </c>
      <c r="D881" s="1">
        <v>1</v>
      </c>
      <c r="E881" s="1">
        <v>1</v>
      </c>
      <c r="F881" s="1">
        <v>21</v>
      </c>
      <c r="G881" s="1">
        <v>18</v>
      </c>
      <c r="H881" s="1">
        <v>3</v>
      </c>
      <c r="I881" s="1">
        <v>1</v>
      </c>
      <c r="J881" s="1">
        <v>6</v>
      </c>
      <c r="K881" s="1">
        <v>7</v>
      </c>
      <c r="L881" s="1">
        <v>9</v>
      </c>
      <c r="M881" s="1">
        <v>40</v>
      </c>
      <c r="N881" s="1">
        <v>42</v>
      </c>
      <c r="O881" s="1">
        <v>49</v>
      </c>
      <c r="P881">
        <v>0.20601587301587296</v>
      </c>
      <c r="Q881">
        <v>0.26434074074074082</v>
      </c>
      <c r="R881">
        <v>3.8527272727272723E-2</v>
      </c>
    </row>
    <row r="882" spans="1:18">
      <c r="A882" s="1">
        <v>17</v>
      </c>
      <c r="B882" s="1">
        <v>1</v>
      </c>
      <c r="C882" s="1">
        <v>0</v>
      </c>
      <c r="D882" s="1">
        <v>0</v>
      </c>
      <c r="E882" s="1">
        <v>1</v>
      </c>
      <c r="F882" s="1">
        <v>1</v>
      </c>
      <c r="G882" s="1">
        <v>6</v>
      </c>
      <c r="H882" s="1">
        <v>1</v>
      </c>
      <c r="I882" s="1">
        <v>1</v>
      </c>
      <c r="J882" s="1">
        <v>1</v>
      </c>
      <c r="K882" s="1">
        <v>1</v>
      </c>
      <c r="L882" s="1">
        <v>9</v>
      </c>
      <c r="M882" s="1">
        <v>40</v>
      </c>
      <c r="N882" s="1">
        <v>42</v>
      </c>
      <c r="O882" s="1">
        <v>49</v>
      </c>
      <c r="P882">
        <v>0.13800793650793655</v>
      </c>
      <c r="Q882">
        <v>0.22333703703703711</v>
      </c>
      <c r="R882">
        <v>3.9868181818181817E-2</v>
      </c>
    </row>
    <row r="883" spans="1:18">
      <c r="A883" s="1">
        <v>18</v>
      </c>
      <c r="B883" s="1">
        <v>1</v>
      </c>
      <c r="C883" s="1">
        <v>1</v>
      </c>
      <c r="D883" s="1">
        <v>1</v>
      </c>
      <c r="E883" s="1">
        <v>0</v>
      </c>
      <c r="F883" s="1">
        <v>22</v>
      </c>
      <c r="G883" s="1">
        <v>18</v>
      </c>
      <c r="H883" s="1">
        <v>3</v>
      </c>
      <c r="I883" s="1">
        <v>1</v>
      </c>
      <c r="J883" s="1">
        <v>6</v>
      </c>
      <c r="K883" s="1">
        <v>7</v>
      </c>
      <c r="L883" s="1">
        <v>9</v>
      </c>
      <c r="M883" s="1">
        <v>40</v>
      </c>
      <c r="N883" s="1">
        <v>42</v>
      </c>
      <c r="O883" s="1">
        <v>49</v>
      </c>
      <c r="P883">
        <v>0.29107142857142854</v>
      </c>
      <c r="Q883">
        <v>0.35</v>
      </c>
      <c r="R883">
        <v>4.0359090909090893E-2</v>
      </c>
    </row>
    <row r="884" spans="1:18">
      <c r="A884" s="1">
        <v>19</v>
      </c>
      <c r="B884" s="1">
        <v>1</v>
      </c>
      <c r="C884" s="1">
        <v>1</v>
      </c>
      <c r="D884" s="1">
        <v>1</v>
      </c>
      <c r="E884" s="1">
        <v>1</v>
      </c>
      <c r="F884" s="1">
        <v>26</v>
      </c>
      <c r="G884" s="1">
        <v>18</v>
      </c>
      <c r="H884" s="1">
        <v>3</v>
      </c>
      <c r="I884" s="1">
        <v>1</v>
      </c>
      <c r="J884" s="1">
        <v>6</v>
      </c>
      <c r="K884" s="1">
        <v>7</v>
      </c>
      <c r="L884" s="1">
        <v>9</v>
      </c>
      <c r="M884" s="1">
        <v>40</v>
      </c>
      <c r="N884" s="1">
        <v>42</v>
      </c>
      <c r="O884" s="1">
        <v>49</v>
      </c>
      <c r="P884">
        <v>0.18984920634920632</v>
      </c>
      <c r="Q884">
        <v>0.27132962962962964</v>
      </c>
      <c r="R884">
        <v>4.5495454545454554E-2</v>
      </c>
    </row>
    <row r="885" spans="1:18">
      <c r="A885" s="1">
        <v>20</v>
      </c>
      <c r="B885" s="1">
        <v>1</v>
      </c>
      <c r="C885" s="1">
        <v>1</v>
      </c>
      <c r="D885" s="1">
        <v>1</v>
      </c>
      <c r="E885" s="1">
        <v>0</v>
      </c>
      <c r="F885" s="1">
        <v>17</v>
      </c>
      <c r="G885" s="1">
        <v>6</v>
      </c>
      <c r="H885" s="1">
        <v>3</v>
      </c>
      <c r="I885" s="1">
        <v>1</v>
      </c>
      <c r="J885" s="1">
        <v>5</v>
      </c>
      <c r="K885" s="1">
        <v>6</v>
      </c>
      <c r="L885" s="1">
        <v>9</v>
      </c>
      <c r="M885" s="1">
        <v>40</v>
      </c>
      <c r="N885" s="1">
        <v>42</v>
      </c>
      <c r="O885" s="1">
        <v>49</v>
      </c>
      <c r="P885">
        <v>0.25731746031746033</v>
      </c>
      <c r="Q885">
        <v>0.30519999999999986</v>
      </c>
      <c r="R885">
        <v>3.9245454545454563E-2</v>
      </c>
    </row>
    <row r="886" spans="1:18">
      <c r="A886" s="1">
        <v>21</v>
      </c>
      <c r="B886" s="1">
        <v>1</v>
      </c>
      <c r="C886" s="1">
        <v>1</v>
      </c>
      <c r="D886" s="1">
        <v>1</v>
      </c>
      <c r="E886" s="1">
        <v>0</v>
      </c>
      <c r="F886" s="1">
        <v>19</v>
      </c>
      <c r="G886" s="1">
        <v>6</v>
      </c>
      <c r="H886" s="1">
        <v>3</v>
      </c>
      <c r="I886" s="1">
        <v>1</v>
      </c>
      <c r="J886" s="1">
        <v>5</v>
      </c>
      <c r="K886" s="1">
        <v>6</v>
      </c>
      <c r="L886" s="1">
        <v>9</v>
      </c>
      <c r="M886" s="1">
        <v>40</v>
      </c>
      <c r="N886" s="1">
        <v>42</v>
      </c>
      <c r="O886" s="1">
        <v>49</v>
      </c>
      <c r="P886">
        <v>0.25258333333333327</v>
      </c>
      <c r="Q886">
        <v>0.36079999999999995</v>
      </c>
      <c r="R886">
        <v>4.2845454545454548E-2</v>
      </c>
    </row>
    <row r="887" spans="1:18">
      <c r="A887" s="1">
        <v>22</v>
      </c>
      <c r="B887" s="1">
        <v>1</v>
      </c>
      <c r="C887" s="1">
        <v>0</v>
      </c>
      <c r="D887" s="1">
        <v>0</v>
      </c>
      <c r="E887" s="1">
        <v>0</v>
      </c>
      <c r="F887" s="1">
        <v>3</v>
      </c>
      <c r="G887" s="1">
        <v>6</v>
      </c>
      <c r="H887" s="1">
        <v>1</v>
      </c>
      <c r="I887" s="1">
        <v>1</v>
      </c>
      <c r="J887" s="1">
        <v>1</v>
      </c>
      <c r="K887" s="1">
        <v>1</v>
      </c>
      <c r="L887" s="1">
        <v>9</v>
      </c>
      <c r="M887" s="1">
        <v>40</v>
      </c>
      <c r="N887" s="1">
        <v>42</v>
      </c>
      <c r="O887" s="1">
        <v>49</v>
      </c>
      <c r="P887">
        <v>0.12999206349206346</v>
      </c>
      <c r="Q887">
        <v>0.2703999999999997</v>
      </c>
      <c r="R887">
        <v>4.899545454545455E-2</v>
      </c>
    </row>
    <row r="888" spans="1:18">
      <c r="A888" s="1">
        <v>23</v>
      </c>
      <c r="B888" s="1">
        <v>1</v>
      </c>
      <c r="C888" s="1">
        <v>1</v>
      </c>
      <c r="D888" s="1">
        <v>1</v>
      </c>
      <c r="E888" s="1">
        <v>1</v>
      </c>
      <c r="F888" s="1">
        <v>24</v>
      </c>
      <c r="G888" s="1">
        <v>18</v>
      </c>
      <c r="H888" s="1">
        <v>3</v>
      </c>
      <c r="I888" s="1">
        <v>1</v>
      </c>
      <c r="J888" s="1">
        <v>6</v>
      </c>
      <c r="K888" s="1">
        <v>7</v>
      </c>
      <c r="L888" s="1">
        <v>9</v>
      </c>
      <c r="M888" s="1">
        <v>40</v>
      </c>
      <c r="N888" s="1">
        <v>42</v>
      </c>
      <c r="O888" s="1">
        <v>49</v>
      </c>
      <c r="P888">
        <v>0.24210317460317471</v>
      </c>
      <c r="Q888">
        <v>0.28231481481481485</v>
      </c>
      <c r="R888">
        <v>3.9272727272727265E-2</v>
      </c>
    </row>
    <row r="889" spans="1:18">
      <c r="A889" s="1">
        <v>24</v>
      </c>
      <c r="B889" s="1">
        <v>1</v>
      </c>
      <c r="C889" s="1">
        <v>1</v>
      </c>
      <c r="D889" s="1">
        <v>1</v>
      </c>
      <c r="E889" s="1">
        <v>0</v>
      </c>
      <c r="F889" s="1">
        <v>16</v>
      </c>
      <c r="G889" s="1">
        <v>6</v>
      </c>
      <c r="H889" s="1">
        <v>3</v>
      </c>
      <c r="I889" s="1">
        <v>1</v>
      </c>
      <c r="J889" s="1">
        <v>5</v>
      </c>
      <c r="K889" s="1">
        <v>6</v>
      </c>
      <c r="L889" s="1">
        <v>9</v>
      </c>
      <c r="M889" s="1">
        <v>40</v>
      </c>
      <c r="N889" s="1">
        <v>42</v>
      </c>
      <c r="O889" s="1">
        <v>49</v>
      </c>
      <c r="P889">
        <v>0.37623809523809498</v>
      </c>
      <c r="Q889">
        <v>0.54059999999999975</v>
      </c>
      <c r="R889">
        <v>5.2318181818181812E-2</v>
      </c>
    </row>
    <row r="890" spans="1:18">
      <c r="A890" s="1">
        <v>25</v>
      </c>
      <c r="B890" s="1">
        <v>0</v>
      </c>
      <c r="C890" s="1">
        <v>1</v>
      </c>
      <c r="D890" s="1">
        <v>1</v>
      </c>
      <c r="E890" s="1">
        <v>0</v>
      </c>
      <c r="F890" s="1">
        <v>10</v>
      </c>
      <c r="G890" s="1">
        <v>6</v>
      </c>
      <c r="H890" s="1">
        <v>2</v>
      </c>
      <c r="I890" s="1">
        <v>1</v>
      </c>
      <c r="J890" s="1">
        <v>4</v>
      </c>
      <c r="K890" s="1">
        <v>4</v>
      </c>
      <c r="L890" s="1">
        <v>9</v>
      </c>
      <c r="M890" s="1">
        <v>40</v>
      </c>
      <c r="N890" s="1">
        <v>42</v>
      </c>
      <c r="O890" s="1">
        <v>49</v>
      </c>
      <c r="P890">
        <v>0.17864682539682533</v>
      </c>
      <c r="Q890">
        <v>0.23320000000000007</v>
      </c>
      <c r="R890">
        <v>4.2936363636363634E-2</v>
      </c>
    </row>
    <row r="891" spans="1:18">
      <c r="A891" s="1">
        <v>26</v>
      </c>
      <c r="B891" s="1">
        <v>0</v>
      </c>
      <c r="C891" s="1">
        <v>1</v>
      </c>
      <c r="D891" s="1">
        <v>0</v>
      </c>
      <c r="E891" s="1">
        <v>0</v>
      </c>
      <c r="F891" s="1">
        <v>6</v>
      </c>
      <c r="G891" s="1">
        <v>6</v>
      </c>
      <c r="H891" s="1">
        <v>1</v>
      </c>
      <c r="I891" s="1">
        <v>1</v>
      </c>
      <c r="J891" s="1">
        <v>2</v>
      </c>
      <c r="K891" s="1">
        <v>2</v>
      </c>
      <c r="L891" s="1">
        <v>9</v>
      </c>
      <c r="M891" s="1">
        <v>40</v>
      </c>
      <c r="N891" s="1">
        <v>42</v>
      </c>
      <c r="O891" s="1">
        <v>49</v>
      </c>
      <c r="P891">
        <v>0.26962698412698405</v>
      </c>
      <c r="Q891">
        <v>0.41779999999999989</v>
      </c>
      <c r="R891">
        <v>5.1072727272727277E-2</v>
      </c>
    </row>
    <row r="892" spans="1:18">
      <c r="A892" s="1">
        <v>27</v>
      </c>
      <c r="B892" s="1">
        <v>1</v>
      </c>
      <c r="C892" s="1">
        <v>1</v>
      </c>
      <c r="D892" s="1">
        <v>0</v>
      </c>
      <c r="E892" s="1">
        <v>0</v>
      </c>
      <c r="F892" s="1">
        <v>9</v>
      </c>
      <c r="G892" s="1">
        <v>6</v>
      </c>
      <c r="H892" s="1">
        <v>2</v>
      </c>
      <c r="I892" s="1">
        <v>1</v>
      </c>
      <c r="J892" s="1">
        <v>3</v>
      </c>
      <c r="K892" s="1">
        <v>3</v>
      </c>
      <c r="L892" s="1">
        <v>9</v>
      </c>
      <c r="M892" s="1">
        <v>40</v>
      </c>
      <c r="N892" s="1">
        <v>42</v>
      </c>
      <c r="O892" s="1">
        <v>49</v>
      </c>
      <c r="P892">
        <v>0.24060714285714294</v>
      </c>
      <c r="Q892">
        <v>0.31140000000000007</v>
      </c>
      <c r="R892">
        <v>3.7104545454545453E-2</v>
      </c>
    </row>
    <row r="893" spans="1:18">
      <c r="A893" s="1">
        <v>28</v>
      </c>
      <c r="B893" s="1">
        <v>1</v>
      </c>
      <c r="C893" s="1">
        <v>1</v>
      </c>
      <c r="D893" s="1">
        <v>0</v>
      </c>
      <c r="E893" s="1">
        <v>0</v>
      </c>
      <c r="F893" s="1">
        <v>7</v>
      </c>
      <c r="G893" s="1">
        <v>6</v>
      </c>
      <c r="H893" s="1">
        <v>2</v>
      </c>
      <c r="I893" s="1">
        <v>1</v>
      </c>
      <c r="J893" s="1">
        <v>3</v>
      </c>
      <c r="K893" s="1">
        <v>3</v>
      </c>
      <c r="L893" s="1">
        <v>9</v>
      </c>
      <c r="M893" s="1">
        <v>40</v>
      </c>
      <c r="N893" s="1">
        <v>42</v>
      </c>
      <c r="O893" s="1">
        <v>49</v>
      </c>
      <c r="P893">
        <v>0.32301587301587287</v>
      </c>
      <c r="Q893">
        <v>0.39799999999999985</v>
      </c>
      <c r="R893">
        <v>5.5459090909090909E-2</v>
      </c>
    </row>
    <row r="894" spans="1:18">
      <c r="A894" s="1">
        <v>29</v>
      </c>
      <c r="B894" s="1">
        <v>1</v>
      </c>
      <c r="C894" s="1">
        <v>1</v>
      </c>
      <c r="D894" s="1">
        <v>1</v>
      </c>
      <c r="E894" s="1">
        <v>0</v>
      </c>
      <c r="F894" s="1">
        <v>23</v>
      </c>
      <c r="G894" s="1">
        <v>18</v>
      </c>
      <c r="H894" s="1">
        <v>3</v>
      </c>
      <c r="I894" s="1">
        <v>1</v>
      </c>
      <c r="J894" s="1">
        <v>6</v>
      </c>
      <c r="K894" s="1">
        <v>7</v>
      </c>
      <c r="L894" s="1">
        <v>9</v>
      </c>
      <c r="M894" s="1">
        <v>40</v>
      </c>
      <c r="N894" s="1">
        <v>42</v>
      </c>
      <c r="O894" s="1">
        <v>49</v>
      </c>
      <c r="P894">
        <v>0.22899603174603173</v>
      </c>
      <c r="Q894">
        <v>0.29959999999999992</v>
      </c>
      <c r="R894">
        <v>4.201363636363635E-2</v>
      </c>
    </row>
    <row r="895" spans="1:18">
      <c r="A895" s="1">
        <v>30</v>
      </c>
      <c r="B895" s="1">
        <v>0</v>
      </c>
      <c r="C895" s="1">
        <v>1</v>
      </c>
      <c r="D895" s="1">
        <v>0</v>
      </c>
      <c r="E895" s="1">
        <v>0</v>
      </c>
      <c r="F895" s="1">
        <v>4</v>
      </c>
      <c r="G895" s="1">
        <v>6</v>
      </c>
      <c r="H895" s="1">
        <v>1</v>
      </c>
      <c r="I895" s="1">
        <v>1</v>
      </c>
      <c r="J895" s="1">
        <v>2</v>
      </c>
      <c r="K895" s="1">
        <v>2</v>
      </c>
      <c r="L895" s="1">
        <v>9</v>
      </c>
      <c r="M895" s="1">
        <v>40</v>
      </c>
      <c r="N895" s="1">
        <v>42</v>
      </c>
      <c r="O895" s="1">
        <v>49</v>
      </c>
      <c r="P895">
        <v>0.21497619047619043</v>
      </c>
      <c r="Q895">
        <v>0.27319999999999994</v>
      </c>
      <c r="R895">
        <v>4.8422727272727256E-2</v>
      </c>
    </row>
    <row r="896" spans="1:18">
      <c r="A896" s="1">
        <v>31</v>
      </c>
      <c r="B896" s="1">
        <v>1</v>
      </c>
      <c r="C896" s="1">
        <v>0</v>
      </c>
      <c r="D896" s="1">
        <v>0</v>
      </c>
      <c r="E896" s="1">
        <v>1</v>
      </c>
      <c r="F896" s="1">
        <v>3</v>
      </c>
      <c r="G896" s="1">
        <v>6</v>
      </c>
      <c r="H896" s="1">
        <v>1</v>
      </c>
      <c r="I896" s="1">
        <v>1</v>
      </c>
      <c r="J896" s="1">
        <v>1</v>
      </c>
      <c r="K896" s="1">
        <v>1</v>
      </c>
      <c r="L896" s="1">
        <v>9</v>
      </c>
      <c r="M896" s="1">
        <v>40</v>
      </c>
      <c r="N896" s="1">
        <v>42</v>
      </c>
      <c r="O896" s="1">
        <v>49</v>
      </c>
      <c r="P896">
        <v>0.16946825396825391</v>
      </c>
      <c r="Q896">
        <v>0.25628518518518506</v>
      </c>
      <c r="R896">
        <v>4.6831818181818204E-2</v>
      </c>
    </row>
    <row r="897" spans="1:18">
      <c r="A897" s="1">
        <v>32</v>
      </c>
      <c r="B897" s="1">
        <v>1</v>
      </c>
      <c r="C897" s="1">
        <v>1</v>
      </c>
      <c r="D897" s="1">
        <v>1</v>
      </c>
      <c r="E897" s="1">
        <v>1</v>
      </c>
      <c r="F897" s="1">
        <v>13</v>
      </c>
      <c r="G897" s="1">
        <v>6</v>
      </c>
      <c r="H897" s="1">
        <v>3</v>
      </c>
      <c r="I897" s="1">
        <v>1</v>
      </c>
      <c r="J897" s="1">
        <v>5</v>
      </c>
      <c r="K897" s="1">
        <v>5</v>
      </c>
      <c r="L897" s="1">
        <v>9</v>
      </c>
      <c r="M897" s="1">
        <v>40</v>
      </c>
      <c r="N897" s="1">
        <v>42</v>
      </c>
      <c r="O897" s="1">
        <v>49</v>
      </c>
      <c r="P897">
        <v>4.3174603174603076E-3</v>
      </c>
      <c r="Q897">
        <v>3.6281481481481491E-2</v>
      </c>
      <c r="R897">
        <v>5.4640909090909101E-2</v>
      </c>
    </row>
    <row r="898" spans="1:18">
      <c r="A898" s="1">
        <v>33</v>
      </c>
      <c r="B898" s="1">
        <v>0</v>
      </c>
      <c r="C898" s="1">
        <v>1</v>
      </c>
      <c r="D898" s="1">
        <v>1</v>
      </c>
      <c r="E898" s="1">
        <v>0</v>
      </c>
      <c r="F898" s="1">
        <v>12</v>
      </c>
      <c r="G898" s="1">
        <v>6</v>
      </c>
      <c r="H898" s="1">
        <v>2</v>
      </c>
      <c r="I898" s="1">
        <v>1</v>
      </c>
      <c r="J898" s="1">
        <v>4</v>
      </c>
      <c r="K898" s="1">
        <v>4</v>
      </c>
      <c r="L898" s="1">
        <v>9</v>
      </c>
      <c r="M898" s="1">
        <v>40</v>
      </c>
      <c r="N898" s="1">
        <v>42</v>
      </c>
      <c r="O898" s="1">
        <v>49</v>
      </c>
      <c r="P898">
        <v>0.32505952380952369</v>
      </c>
      <c r="Q898">
        <v>0.47</v>
      </c>
      <c r="R898">
        <v>4.0895454545454554E-2</v>
      </c>
    </row>
    <row r="899" spans="1:18">
      <c r="A899" s="1">
        <v>34</v>
      </c>
      <c r="B899" s="1">
        <v>0</v>
      </c>
      <c r="C899" s="1">
        <v>1</v>
      </c>
      <c r="D899" s="1">
        <v>1</v>
      </c>
      <c r="E899" s="1">
        <v>1</v>
      </c>
      <c r="F899" s="1">
        <v>10</v>
      </c>
      <c r="G899" s="1">
        <v>6</v>
      </c>
      <c r="H899" s="1">
        <v>2</v>
      </c>
      <c r="I899" s="1">
        <v>1</v>
      </c>
      <c r="J899" s="1">
        <v>4</v>
      </c>
      <c r="K899" s="1">
        <v>4</v>
      </c>
      <c r="L899" s="1">
        <v>9</v>
      </c>
      <c r="M899" s="1">
        <v>40</v>
      </c>
      <c r="N899" s="1">
        <v>42</v>
      </c>
      <c r="O899" s="1">
        <v>49</v>
      </c>
      <c r="P899">
        <v>0.1118730158730159</v>
      </c>
      <c r="Q899">
        <v>0.21227407407407411</v>
      </c>
      <c r="R899">
        <v>4.6209090909090908E-2</v>
      </c>
    </row>
    <row r="900" spans="1:18">
      <c r="A900" s="1">
        <v>35</v>
      </c>
      <c r="B900" s="1">
        <v>1</v>
      </c>
      <c r="C900" s="1">
        <v>1</v>
      </c>
      <c r="D900" s="1">
        <v>0</v>
      </c>
      <c r="E900" s="1">
        <v>1</v>
      </c>
      <c r="F900" s="1">
        <v>8</v>
      </c>
      <c r="G900" s="1">
        <v>6</v>
      </c>
      <c r="H900" s="1">
        <v>2</v>
      </c>
      <c r="I900" s="1">
        <v>1</v>
      </c>
      <c r="J900" s="1">
        <v>3</v>
      </c>
      <c r="K900" s="1">
        <v>3</v>
      </c>
      <c r="L900" s="1">
        <v>9</v>
      </c>
      <c r="M900" s="1">
        <v>40</v>
      </c>
      <c r="N900" s="1">
        <v>42</v>
      </c>
      <c r="O900" s="1">
        <v>49</v>
      </c>
      <c r="P900">
        <v>0.21743650793650796</v>
      </c>
      <c r="Q900">
        <v>0.30327037037037041</v>
      </c>
      <c r="R900">
        <v>5.1945454545454559E-2</v>
      </c>
    </row>
    <row r="901" spans="1:18">
      <c r="A901" s="1">
        <v>36</v>
      </c>
      <c r="B901" s="1">
        <v>1</v>
      </c>
      <c r="C901" s="1">
        <v>1</v>
      </c>
      <c r="D901" s="1">
        <v>1</v>
      </c>
      <c r="E901" s="1">
        <v>1</v>
      </c>
      <c r="F901" s="1">
        <v>20</v>
      </c>
      <c r="G901" s="1">
        <v>18</v>
      </c>
      <c r="H901" s="1">
        <v>3</v>
      </c>
      <c r="I901" s="1">
        <v>1</v>
      </c>
      <c r="J901" s="1">
        <v>6</v>
      </c>
      <c r="K901" s="1">
        <v>7</v>
      </c>
      <c r="L901" s="1">
        <v>9</v>
      </c>
      <c r="M901" s="1">
        <v>40</v>
      </c>
      <c r="N901" s="1">
        <v>42</v>
      </c>
      <c r="O901" s="1">
        <v>49</v>
      </c>
      <c r="P901">
        <v>0.30799999999999994</v>
      </c>
      <c r="Q901">
        <v>0.40226666666666661</v>
      </c>
      <c r="R901">
        <v>4.5354545454545467E-2</v>
      </c>
    </row>
    <row r="902" spans="1:18">
      <c r="A902" s="1">
        <v>37</v>
      </c>
      <c r="B902" s="1">
        <v>1</v>
      </c>
      <c r="C902" s="1">
        <v>1</v>
      </c>
      <c r="D902" s="1">
        <v>1</v>
      </c>
      <c r="E902" s="1">
        <v>1</v>
      </c>
      <c r="F902" s="1">
        <v>23</v>
      </c>
      <c r="G902" s="1">
        <v>18</v>
      </c>
      <c r="H902" s="1">
        <v>3</v>
      </c>
      <c r="I902" s="1">
        <v>1</v>
      </c>
      <c r="J902" s="1">
        <v>6</v>
      </c>
      <c r="K902" s="1">
        <v>7</v>
      </c>
      <c r="L902" s="1">
        <v>9</v>
      </c>
      <c r="M902" s="1">
        <v>40</v>
      </c>
      <c r="N902" s="1">
        <v>42</v>
      </c>
      <c r="O902" s="1">
        <v>49</v>
      </c>
      <c r="P902">
        <v>0.20856349206349206</v>
      </c>
      <c r="Q902">
        <v>0.25026296296296291</v>
      </c>
      <c r="R902">
        <v>4.2409090909090903E-2</v>
      </c>
    </row>
    <row r="903" spans="1:18">
      <c r="A903" s="1">
        <v>38</v>
      </c>
      <c r="B903" s="1">
        <v>0</v>
      </c>
      <c r="C903" s="1">
        <v>1</v>
      </c>
      <c r="D903" s="1">
        <v>0</v>
      </c>
      <c r="E903" s="1">
        <v>1</v>
      </c>
      <c r="F903" s="1">
        <v>4</v>
      </c>
      <c r="G903" s="1">
        <v>6</v>
      </c>
      <c r="H903" s="1">
        <v>1</v>
      </c>
      <c r="I903" s="1">
        <v>1</v>
      </c>
      <c r="J903" s="1">
        <v>2</v>
      </c>
      <c r="K903" s="1">
        <v>2</v>
      </c>
      <c r="L903" s="1">
        <v>9</v>
      </c>
      <c r="M903" s="1">
        <v>40</v>
      </c>
      <c r="N903" s="1">
        <v>42</v>
      </c>
      <c r="O903" s="1">
        <v>49</v>
      </c>
      <c r="P903">
        <v>0.19198412698412692</v>
      </c>
      <c r="Q903">
        <v>0.2412592592592592</v>
      </c>
      <c r="R903">
        <v>5.535909090909092E-2</v>
      </c>
    </row>
    <row r="904" spans="1:18">
      <c r="A904" s="1">
        <v>39</v>
      </c>
      <c r="B904" s="1">
        <v>1</v>
      </c>
      <c r="C904" s="1">
        <v>1</v>
      </c>
      <c r="D904" s="1">
        <v>1</v>
      </c>
      <c r="E904" s="1">
        <v>1</v>
      </c>
      <c r="F904" s="1">
        <v>22</v>
      </c>
      <c r="G904" s="1">
        <v>18</v>
      </c>
      <c r="H904" s="1">
        <v>3</v>
      </c>
      <c r="I904" s="1">
        <v>1</v>
      </c>
      <c r="J904" s="1">
        <v>6</v>
      </c>
      <c r="K904" s="1">
        <v>7</v>
      </c>
      <c r="L904" s="1">
        <v>9</v>
      </c>
      <c r="M904" s="1">
        <v>40</v>
      </c>
      <c r="N904" s="1">
        <v>42</v>
      </c>
      <c r="O904" s="1">
        <v>49</v>
      </c>
      <c r="P904">
        <v>0.25969047619047625</v>
      </c>
      <c r="Q904">
        <v>0.38725555555555558</v>
      </c>
      <c r="R904">
        <v>4.2627272727272715E-2</v>
      </c>
    </row>
    <row r="905" spans="1:18">
      <c r="A905" s="1">
        <v>40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1</v>
      </c>
      <c r="J905" s="1">
        <v>0</v>
      </c>
      <c r="K905" s="1">
        <v>0</v>
      </c>
      <c r="L905" s="1">
        <v>9</v>
      </c>
      <c r="M905" s="1">
        <v>40</v>
      </c>
      <c r="N905" s="1">
        <v>42</v>
      </c>
      <c r="O905" s="1">
        <v>49</v>
      </c>
      <c r="P905">
        <v>0.21692063492063479</v>
      </c>
      <c r="Q905">
        <v>0.26719999999999999</v>
      </c>
      <c r="R905">
        <v>4.1863636363636374E-2</v>
      </c>
    </row>
    <row r="906" spans="1:18">
      <c r="A906" s="1">
        <v>41</v>
      </c>
      <c r="B906" s="1">
        <v>1</v>
      </c>
      <c r="C906" s="1">
        <v>1</v>
      </c>
      <c r="D906" s="1">
        <v>0</v>
      </c>
      <c r="E906" s="1">
        <v>1</v>
      </c>
      <c r="F906" s="1">
        <v>9</v>
      </c>
      <c r="G906" s="1">
        <v>6</v>
      </c>
      <c r="H906" s="1">
        <v>2</v>
      </c>
      <c r="I906" s="1">
        <v>1</v>
      </c>
      <c r="J906" s="1">
        <v>3</v>
      </c>
      <c r="K906" s="1">
        <v>3</v>
      </c>
      <c r="L906" s="1">
        <v>9</v>
      </c>
      <c r="M906" s="1">
        <v>40</v>
      </c>
      <c r="N906" s="1">
        <v>42</v>
      </c>
      <c r="O906" s="1">
        <v>49</v>
      </c>
      <c r="P906">
        <v>0.18510317460317458</v>
      </c>
      <c r="Q906">
        <v>0.10024814814814813</v>
      </c>
      <c r="R906">
        <v>3.1681818181818186E-2</v>
      </c>
    </row>
    <row r="907" spans="1:18">
      <c r="A907" s="1">
        <v>42</v>
      </c>
      <c r="B907" s="1">
        <v>0</v>
      </c>
      <c r="C907" s="1">
        <v>0</v>
      </c>
      <c r="D907" s="1">
        <v>0</v>
      </c>
      <c r="E907" s="1">
        <v>1</v>
      </c>
      <c r="F907" s="1">
        <v>0</v>
      </c>
      <c r="G907" s="1">
        <v>0</v>
      </c>
      <c r="H907" s="1">
        <v>0</v>
      </c>
      <c r="I907" s="1">
        <v>1</v>
      </c>
      <c r="J907" s="1">
        <v>0</v>
      </c>
      <c r="K907" s="1">
        <v>0</v>
      </c>
      <c r="L907" s="1">
        <v>9</v>
      </c>
      <c r="M907" s="1">
        <v>40</v>
      </c>
      <c r="N907" s="1">
        <v>42</v>
      </c>
      <c r="O907" s="1">
        <v>49</v>
      </c>
      <c r="P907">
        <v>0.34780952380952385</v>
      </c>
      <c r="Q907">
        <v>0.42124444444444437</v>
      </c>
      <c r="R907">
        <v>3.5449999999999982E-2</v>
      </c>
    </row>
    <row r="908" spans="1:18">
      <c r="A908" s="1">
        <v>43</v>
      </c>
      <c r="B908" s="1">
        <v>1</v>
      </c>
      <c r="C908" s="1">
        <v>1</v>
      </c>
      <c r="D908" s="1">
        <v>0</v>
      </c>
      <c r="E908" s="1">
        <v>1</v>
      </c>
      <c r="F908" s="1">
        <v>7</v>
      </c>
      <c r="G908" s="1">
        <v>6</v>
      </c>
      <c r="H908" s="1">
        <v>2</v>
      </c>
      <c r="I908" s="1">
        <v>1</v>
      </c>
      <c r="J908" s="1">
        <v>3</v>
      </c>
      <c r="K908" s="1">
        <v>3</v>
      </c>
      <c r="L908" s="1">
        <v>9</v>
      </c>
      <c r="M908" s="1">
        <v>40</v>
      </c>
      <c r="N908" s="1">
        <v>42</v>
      </c>
      <c r="O908" s="1">
        <v>49</v>
      </c>
      <c r="P908">
        <v>0.21265873015873016</v>
      </c>
      <c r="Q908">
        <v>0.28324074074074074</v>
      </c>
      <c r="R908">
        <v>5.3954545454545449E-2</v>
      </c>
    </row>
    <row r="909" spans="1:18">
      <c r="A909" s="1">
        <v>44</v>
      </c>
      <c r="B909" s="1">
        <v>0</v>
      </c>
      <c r="C909" s="1">
        <v>1</v>
      </c>
      <c r="D909" s="1">
        <v>0</v>
      </c>
      <c r="E909" s="1">
        <v>0</v>
      </c>
      <c r="F909" s="1">
        <v>5</v>
      </c>
      <c r="G909" s="1">
        <v>6</v>
      </c>
      <c r="H909" s="1">
        <v>1</v>
      </c>
      <c r="I909" s="1">
        <v>1</v>
      </c>
      <c r="J909" s="1">
        <v>2</v>
      </c>
      <c r="K909" s="1">
        <v>2</v>
      </c>
      <c r="L909" s="1">
        <v>9</v>
      </c>
      <c r="M909" s="1">
        <v>40</v>
      </c>
      <c r="N909" s="1">
        <v>42</v>
      </c>
      <c r="O909" s="1">
        <v>49</v>
      </c>
      <c r="P909">
        <v>0.17869841269841277</v>
      </c>
      <c r="Q909">
        <v>0.26160000000000017</v>
      </c>
      <c r="R909">
        <v>4.3431818181818189E-2</v>
      </c>
    </row>
    <row r="910" spans="1:18">
      <c r="A910" s="1">
        <v>45</v>
      </c>
      <c r="B910" s="1">
        <v>0</v>
      </c>
      <c r="C910" s="1">
        <v>1</v>
      </c>
      <c r="D910" s="1">
        <v>0</v>
      </c>
      <c r="E910" s="1">
        <v>1</v>
      </c>
      <c r="F910" s="1">
        <v>5</v>
      </c>
      <c r="G910" s="1">
        <v>6</v>
      </c>
      <c r="H910" s="1">
        <v>1</v>
      </c>
      <c r="I910" s="1">
        <v>1</v>
      </c>
      <c r="J910" s="1">
        <v>2</v>
      </c>
      <c r="K910" s="1">
        <v>2</v>
      </c>
      <c r="L910" s="1">
        <v>9</v>
      </c>
      <c r="M910" s="1">
        <v>40</v>
      </c>
      <c r="N910" s="1">
        <v>42</v>
      </c>
      <c r="O910" s="1">
        <v>49</v>
      </c>
      <c r="P910">
        <v>0.10092857142857145</v>
      </c>
      <c r="Q910">
        <v>0.18923333333333331</v>
      </c>
      <c r="R910">
        <v>5.0513636363636344E-2</v>
      </c>
    </row>
    <row r="911" spans="1:18">
      <c r="A911" s="1">
        <v>46</v>
      </c>
      <c r="B911" s="1">
        <v>0</v>
      </c>
      <c r="C911" s="1">
        <v>1</v>
      </c>
      <c r="D911" s="1">
        <v>0</v>
      </c>
      <c r="E911" s="1">
        <v>1</v>
      </c>
      <c r="F911" s="1">
        <v>6</v>
      </c>
      <c r="G911" s="1">
        <v>6</v>
      </c>
      <c r="H911" s="1">
        <v>1</v>
      </c>
      <c r="I911" s="1">
        <v>1</v>
      </c>
      <c r="J911" s="1">
        <v>2</v>
      </c>
      <c r="K911" s="1">
        <v>2</v>
      </c>
      <c r="L911" s="1">
        <v>9</v>
      </c>
      <c r="M911" s="1">
        <v>40</v>
      </c>
      <c r="N911" s="1">
        <v>42</v>
      </c>
      <c r="O911" s="1">
        <v>49</v>
      </c>
      <c r="P911">
        <v>0.19649206349206352</v>
      </c>
      <c r="Q911">
        <v>0.24222962962962971</v>
      </c>
      <c r="R911">
        <v>4.944545454545457E-2</v>
      </c>
    </row>
    <row r="912" spans="1:18">
      <c r="A912" s="1">
        <v>47</v>
      </c>
      <c r="B912" s="1">
        <v>1</v>
      </c>
      <c r="C912" s="1">
        <v>1</v>
      </c>
      <c r="D912" s="1">
        <v>1</v>
      </c>
      <c r="E912" s="1">
        <v>1</v>
      </c>
      <c r="F912" s="1">
        <v>16</v>
      </c>
      <c r="G912" s="1">
        <v>6</v>
      </c>
      <c r="H912" s="1">
        <v>3</v>
      </c>
      <c r="I912" s="1">
        <v>1</v>
      </c>
      <c r="J912" s="1">
        <v>5</v>
      </c>
      <c r="K912" s="1">
        <v>6</v>
      </c>
      <c r="L912" s="1">
        <v>9</v>
      </c>
      <c r="M912" s="1">
        <v>40</v>
      </c>
      <c r="N912" s="1">
        <v>42</v>
      </c>
      <c r="O912" s="1">
        <v>49</v>
      </c>
      <c r="P912">
        <v>0.21062698412698408</v>
      </c>
      <c r="Q912">
        <v>0.31422592592592596</v>
      </c>
      <c r="R912">
        <v>3.267272727272727E-2</v>
      </c>
    </row>
    <row r="913" spans="1:18">
      <c r="A913" s="1">
        <v>48</v>
      </c>
      <c r="B913" s="1">
        <v>0</v>
      </c>
      <c r="C913" s="1">
        <v>1</v>
      </c>
      <c r="D913" s="1">
        <v>1</v>
      </c>
      <c r="E913" s="1">
        <v>1</v>
      </c>
      <c r="F913" s="1">
        <v>12</v>
      </c>
      <c r="G913" s="1">
        <v>6</v>
      </c>
      <c r="H913" s="1">
        <v>2</v>
      </c>
      <c r="I913" s="1">
        <v>1</v>
      </c>
      <c r="J913" s="1">
        <v>4</v>
      </c>
      <c r="K913" s="1">
        <v>4</v>
      </c>
      <c r="L913" s="1">
        <v>9</v>
      </c>
      <c r="M913" s="1">
        <v>40</v>
      </c>
      <c r="N913" s="1">
        <v>42</v>
      </c>
      <c r="O913" s="1">
        <v>49</v>
      </c>
      <c r="P913">
        <v>0.29976190476190484</v>
      </c>
      <c r="Q913">
        <v>0.42022222222222227</v>
      </c>
      <c r="R913">
        <v>3.5990909090909101E-2</v>
      </c>
    </row>
    <row r="914" spans="1:18">
      <c r="A914" s="1">
        <v>49</v>
      </c>
      <c r="B914" s="1">
        <v>1</v>
      </c>
      <c r="C914" s="1">
        <v>0</v>
      </c>
      <c r="D914" s="1">
        <v>0</v>
      </c>
      <c r="E914" s="1">
        <v>1</v>
      </c>
      <c r="F914" s="1">
        <v>2</v>
      </c>
      <c r="G914" s="1">
        <v>6</v>
      </c>
      <c r="H914" s="1">
        <v>1</v>
      </c>
      <c r="I914" s="1">
        <v>1</v>
      </c>
      <c r="J914" s="1">
        <v>1</v>
      </c>
      <c r="K914" s="1">
        <v>1</v>
      </c>
      <c r="L914" s="1">
        <v>9</v>
      </c>
      <c r="M914" s="1">
        <v>40</v>
      </c>
      <c r="N914" s="1">
        <v>42</v>
      </c>
      <c r="O914" s="1">
        <v>49</v>
      </c>
      <c r="P914">
        <v>0.16532539682539685</v>
      </c>
      <c r="Q914">
        <v>0.27621851851851853</v>
      </c>
      <c r="R914">
        <v>5.5881818181818164E-2</v>
      </c>
    </row>
    <row r="915" spans="1:18">
      <c r="A915" s="1">
        <v>50</v>
      </c>
      <c r="B915" s="1">
        <v>1</v>
      </c>
      <c r="C915" s="1">
        <v>1</v>
      </c>
      <c r="D915" s="1">
        <v>1</v>
      </c>
      <c r="E915" s="1">
        <v>1</v>
      </c>
      <c r="F915" s="1">
        <v>17</v>
      </c>
      <c r="G915" s="1">
        <v>6</v>
      </c>
      <c r="H915" s="1">
        <v>3</v>
      </c>
      <c r="I915" s="1">
        <v>1</v>
      </c>
      <c r="J915" s="1">
        <v>5</v>
      </c>
      <c r="K915" s="1">
        <v>6</v>
      </c>
      <c r="L915" s="1">
        <v>9</v>
      </c>
      <c r="M915" s="1">
        <v>40</v>
      </c>
      <c r="N915" s="1">
        <v>42</v>
      </c>
      <c r="O915" s="1">
        <v>49</v>
      </c>
      <c r="P915">
        <v>0.21374603174603188</v>
      </c>
      <c r="Q915">
        <v>0.24721481481481486</v>
      </c>
      <c r="R915">
        <v>5.1649999999999995E-2</v>
      </c>
    </row>
    <row r="916" spans="1:18">
      <c r="A916" s="1">
        <v>51</v>
      </c>
      <c r="B916" s="1">
        <v>0</v>
      </c>
      <c r="C916" s="1">
        <v>1</v>
      </c>
      <c r="D916" s="1">
        <v>1</v>
      </c>
      <c r="E916" s="1">
        <v>0</v>
      </c>
      <c r="F916" s="1">
        <v>11</v>
      </c>
      <c r="G916" s="1">
        <v>6</v>
      </c>
      <c r="H916" s="1">
        <v>2</v>
      </c>
      <c r="I916" s="1">
        <v>1</v>
      </c>
      <c r="J916" s="1">
        <v>4</v>
      </c>
      <c r="K916" s="1">
        <v>4</v>
      </c>
      <c r="L916" s="1">
        <v>9</v>
      </c>
      <c r="M916" s="1">
        <v>40</v>
      </c>
      <c r="N916" s="1">
        <v>42</v>
      </c>
      <c r="O916" s="1">
        <v>49</v>
      </c>
      <c r="P916">
        <v>0.28270238095238082</v>
      </c>
      <c r="Q916">
        <v>0.38979999999999998</v>
      </c>
      <c r="R916">
        <v>4.6390909090909066E-2</v>
      </c>
    </row>
    <row r="917" spans="1:18">
      <c r="A917" s="1">
        <v>52</v>
      </c>
      <c r="B917" s="1">
        <v>0</v>
      </c>
      <c r="C917" s="1">
        <v>1</v>
      </c>
      <c r="D917" s="1">
        <v>1</v>
      </c>
      <c r="E917" s="1">
        <v>1</v>
      </c>
      <c r="F917" s="1">
        <v>11</v>
      </c>
      <c r="G917" s="1">
        <v>6</v>
      </c>
      <c r="H917" s="1">
        <v>2</v>
      </c>
      <c r="I917" s="1">
        <v>1</v>
      </c>
      <c r="J917" s="1">
        <v>4</v>
      </c>
      <c r="K917" s="1">
        <v>4</v>
      </c>
      <c r="L917" s="1">
        <v>9</v>
      </c>
      <c r="M917" s="1">
        <v>40</v>
      </c>
      <c r="N917" s="1">
        <v>42</v>
      </c>
      <c r="O917" s="1">
        <v>49</v>
      </c>
      <c r="P917">
        <v>0.17273015873015879</v>
      </c>
      <c r="Q917">
        <v>0.20120740740740733</v>
      </c>
      <c r="R917">
        <v>5.4568181818181814E-2</v>
      </c>
    </row>
    <row r="918" spans="1:18">
      <c r="A918" s="1">
        <v>53</v>
      </c>
      <c r="B918" s="1">
        <v>1</v>
      </c>
      <c r="C918" s="1">
        <v>1</v>
      </c>
      <c r="D918" s="1">
        <v>1</v>
      </c>
      <c r="E918" s="1">
        <v>1</v>
      </c>
      <c r="F918" s="1">
        <v>15</v>
      </c>
      <c r="G918" s="1">
        <v>6</v>
      </c>
      <c r="H918" s="1">
        <v>3</v>
      </c>
      <c r="I918" s="1">
        <v>1</v>
      </c>
      <c r="J918" s="1">
        <v>5</v>
      </c>
      <c r="K918" s="1">
        <v>5</v>
      </c>
      <c r="L918" s="1">
        <v>9</v>
      </c>
      <c r="M918" s="1">
        <v>40</v>
      </c>
      <c r="N918" s="1">
        <v>42</v>
      </c>
      <c r="O918" s="1">
        <v>49</v>
      </c>
      <c r="P918">
        <v>0.21543650793650787</v>
      </c>
      <c r="Q918">
        <v>0.25420370370370371</v>
      </c>
      <c r="R918">
        <v>3.7459090909090893E-2</v>
      </c>
    </row>
    <row r="919" spans="1:18">
      <c r="A919" s="1">
        <v>54</v>
      </c>
      <c r="B919" s="1">
        <v>1</v>
      </c>
      <c r="C919" s="1">
        <v>1</v>
      </c>
      <c r="D919" s="1">
        <v>1</v>
      </c>
      <c r="E919" s="1">
        <v>1</v>
      </c>
      <c r="F919" s="1">
        <v>19</v>
      </c>
      <c r="G919" s="1">
        <v>6</v>
      </c>
      <c r="H919" s="1">
        <v>3</v>
      </c>
      <c r="I919" s="1">
        <v>1</v>
      </c>
      <c r="J919" s="1">
        <v>5</v>
      </c>
      <c r="K919" s="1">
        <v>6</v>
      </c>
      <c r="L919" s="1">
        <v>9</v>
      </c>
      <c r="M919" s="1">
        <v>40</v>
      </c>
      <c r="N919" s="1">
        <v>42</v>
      </c>
      <c r="O919" s="1">
        <v>49</v>
      </c>
      <c r="P919">
        <v>0.26100000000000012</v>
      </c>
      <c r="Q919">
        <v>0.31420000000000015</v>
      </c>
      <c r="R919">
        <v>4.1963636363636342E-2</v>
      </c>
    </row>
    <row r="920" spans="1:18">
      <c r="A920" s="1">
        <v>55</v>
      </c>
      <c r="B920" s="1">
        <v>0</v>
      </c>
      <c r="C920" s="1">
        <v>1</v>
      </c>
      <c r="D920" s="1">
        <v>1</v>
      </c>
      <c r="E920" s="1">
        <v>0</v>
      </c>
      <c r="F920" s="1">
        <v>11</v>
      </c>
      <c r="G920" s="1">
        <v>6</v>
      </c>
      <c r="H920" s="1">
        <v>2</v>
      </c>
      <c r="I920" s="1">
        <v>2</v>
      </c>
      <c r="J920" s="1">
        <v>4</v>
      </c>
      <c r="K920" s="1">
        <v>4</v>
      </c>
      <c r="L920" s="1">
        <v>9</v>
      </c>
      <c r="M920" s="1">
        <v>40</v>
      </c>
      <c r="N920" s="1">
        <v>42</v>
      </c>
      <c r="O920" s="1">
        <v>49</v>
      </c>
      <c r="P920">
        <v>0.23590873015873015</v>
      </c>
      <c r="Q920">
        <v>0.41020000000000001</v>
      </c>
      <c r="R920">
        <v>5.244999999999999E-2</v>
      </c>
    </row>
    <row r="921" spans="1:18">
      <c r="A921" s="1">
        <v>56</v>
      </c>
      <c r="B921" s="1">
        <v>0</v>
      </c>
      <c r="C921" s="1">
        <v>1</v>
      </c>
      <c r="D921" s="1">
        <v>1</v>
      </c>
      <c r="E921" s="1">
        <v>0</v>
      </c>
      <c r="F921" s="1">
        <v>10</v>
      </c>
      <c r="G921" s="1">
        <v>6</v>
      </c>
      <c r="H921" s="1">
        <v>2</v>
      </c>
      <c r="I921" s="1">
        <v>2</v>
      </c>
      <c r="J921" s="1">
        <v>4</v>
      </c>
      <c r="K921" s="1">
        <v>4</v>
      </c>
      <c r="L921" s="1">
        <v>9</v>
      </c>
      <c r="M921" s="1">
        <v>40</v>
      </c>
      <c r="N921" s="1">
        <v>42</v>
      </c>
      <c r="O921" s="1">
        <v>49</v>
      </c>
      <c r="P921">
        <v>0.16903174603174603</v>
      </c>
      <c r="Q921">
        <v>0.23179999999999995</v>
      </c>
      <c r="R921">
        <v>4.0050000000000023E-2</v>
      </c>
    </row>
    <row r="922" spans="1:18">
      <c r="A922" s="1">
        <v>57</v>
      </c>
      <c r="B922" s="1">
        <v>1</v>
      </c>
      <c r="C922" s="1">
        <v>1</v>
      </c>
      <c r="D922" s="1">
        <v>1</v>
      </c>
      <c r="E922" s="1">
        <v>0</v>
      </c>
      <c r="F922" s="1">
        <v>20</v>
      </c>
      <c r="G922" s="1">
        <v>18</v>
      </c>
      <c r="H922" s="1">
        <v>3</v>
      </c>
      <c r="I922" s="1">
        <v>2</v>
      </c>
      <c r="J922" s="1">
        <v>6</v>
      </c>
      <c r="K922" s="1">
        <v>7</v>
      </c>
      <c r="L922" s="1">
        <v>9</v>
      </c>
      <c r="M922" s="1">
        <v>40</v>
      </c>
      <c r="N922" s="1">
        <v>42</v>
      </c>
      <c r="O922" s="1">
        <v>49</v>
      </c>
      <c r="P922">
        <v>0.31786904761904761</v>
      </c>
      <c r="Q922">
        <v>0.40839999999999999</v>
      </c>
      <c r="R922">
        <v>4.8427272727272722E-2</v>
      </c>
    </row>
    <row r="923" spans="1:18">
      <c r="A923" s="1">
        <v>58</v>
      </c>
      <c r="B923" s="1">
        <v>1</v>
      </c>
      <c r="C923" s="1">
        <v>1</v>
      </c>
      <c r="D923" s="1">
        <v>1</v>
      </c>
      <c r="E923" s="1">
        <v>0</v>
      </c>
      <c r="F923" s="1">
        <v>25</v>
      </c>
      <c r="G923" s="1">
        <v>18</v>
      </c>
      <c r="H923" s="1">
        <v>3</v>
      </c>
      <c r="I923" s="1">
        <v>2</v>
      </c>
      <c r="J923" s="1">
        <v>6</v>
      </c>
      <c r="K923" s="1">
        <v>7</v>
      </c>
      <c r="L923" s="1">
        <v>9</v>
      </c>
      <c r="M923" s="1">
        <v>40</v>
      </c>
      <c r="N923" s="1">
        <v>42</v>
      </c>
      <c r="O923" s="1">
        <v>49</v>
      </c>
      <c r="P923">
        <v>0.2517063492063491</v>
      </c>
      <c r="Q923">
        <v>0.375</v>
      </c>
      <c r="R923">
        <v>5.9709090909090913E-2</v>
      </c>
    </row>
    <row r="924" spans="1:18">
      <c r="A924" s="1">
        <v>59</v>
      </c>
      <c r="B924" s="1">
        <v>1</v>
      </c>
      <c r="C924" s="1">
        <v>1</v>
      </c>
      <c r="D924" s="1">
        <v>1</v>
      </c>
      <c r="E924" s="1">
        <v>0</v>
      </c>
      <c r="F924" s="1">
        <v>17</v>
      </c>
      <c r="G924" s="1">
        <v>6</v>
      </c>
      <c r="H924" s="1">
        <v>3</v>
      </c>
      <c r="I924" s="1">
        <v>2</v>
      </c>
      <c r="J924" s="1">
        <v>5</v>
      </c>
      <c r="K924" s="1">
        <v>6</v>
      </c>
      <c r="L924" s="1">
        <v>9</v>
      </c>
      <c r="M924" s="1">
        <v>40</v>
      </c>
      <c r="N924" s="1">
        <v>42</v>
      </c>
      <c r="O924" s="1">
        <v>49</v>
      </c>
      <c r="P924">
        <v>0.21268650793650798</v>
      </c>
      <c r="Q924">
        <v>0.2435999999999999</v>
      </c>
      <c r="R924">
        <v>4.5968181818181832E-2</v>
      </c>
    </row>
    <row r="925" spans="1:18">
      <c r="A925" s="1">
        <v>60</v>
      </c>
      <c r="B925" s="1">
        <v>1</v>
      </c>
      <c r="C925" s="1">
        <v>1</v>
      </c>
      <c r="D925" s="1">
        <v>1</v>
      </c>
      <c r="E925" s="1">
        <v>0</v>
      </c>
      <c r="F925" s="1">
        <v>23</v>
      </c>
      <c r="G925" s="1">
        <v>18</v>
      </c>
      <c r="H925" s="1">
        <v>3</v>
      </c>
      <c r="I925" s="1">
        <v>2</v>
      </c>
      <c r="J925" s="1">
        <v>6</v>
      </c>
      <c r="K925" s="1">
        <v>7</v>
      </c>
      <c r="L925" s="1">
        <v>9</v>
      </c>
      <c r="M925" s="1">
        <v>40</v>
      </c>
      <c r="N925" s="1">
        <v>42</v>
      </c>
      <c r="O925" s="1">
        <v>49</v>
      </c>
      <c r="P925">
        <v>0.2636666666666666</v>
      </c>
      <c r="Q925">
        <v>0.32719999999999982</v>
      </c>
      <c r="R925">
        <v>5.3654545454545483E-2</v>
      </c>
    </row>
    <row r="926" spans="1:18">
      <c r="A926" s="1">
        <v>61</v>
      </c>
      <c r="B926" s="1">
        <v>0</v>
      </c>
      <c r="C926" s="1">
        <v>1</v>
      </c>
      <c r="D926" s="1">
        <v>0</v>
      </c>
      <c r="E926" s="1">
        <v>0</v>
      </c>
      <c r="F926" s="1">
        <v>6</v>
      </c>
      <c r="G926" s="1">
        <v>6</v>
      </c>
      <c r="H926" s="1">
        <v>1</v>
      </c>
      <c r="I926" s="1">
        <v>2</v>
      </c>
      <c r="J926" s="1">
        <v>2</v>
      </c>
      <c r="K926" s="1">
        <v>2</v>
      </c>
      <c r="L926" s="1">
        <v>9</v>
      </c>
      <c r="M926" s="1">
        <v>40</v>
      </c>
      <c r="N926" s="1">
        <v>42</v>
      </c>
      <c r="O926" s="1">
        <v>49</v>
      </c>
      <c r="P926">
        <v>0.29607539682539702</v>
      </c>
      <c r="Q926">
        <v>0.30080000000000007</v>
      </c>
      <c r="R926">
        <v>6.3195454545454541E-2</v>
      </c>
    </row>
    <row r="927" spans="1:18">
      <c r="A927" s="1">
        <v>62</v>
      </c>
      <c r="B927" s="1">
        <v>0</v>
      </c>
      <c r="C927" s="1">
        <v>1</v>
      </c>
      <c r="D927" s="1">
        <v>0</v>
      </c>
      <c r="E927" s="1">
        <v>0</v>
      </c>
      <c r="F927" s="1">
        <v>5</v>
      </c>
      <c r="G927" s="1">
        <v>6</v>
      </c>
      <c r="H927" s="1">
        <v>1</v>
      </c>
      <c r="I927" s="1">
        <v>2</v>
      </c>
      <c r="J927" s="1">
        <v>2</v>
      </c>
      <c r="K927" s="1">
        <v>2</v>
      </c>
      <c r="L927" s="1">
        <v>9</v>
      </c>
      <c r="M927" s="1">
        <v>40</v>
      </c>
      <c r="N927" s="1">
        <v>42</v>
      </c>
      <c r="O927" s="1">
        <v>49</v>
      </c>
      <c r="P927">
        <v>0.24205555555555566</v>
      </c>
      <c r="Q927">
        <v>0.35140000000000027</v>
      </c>
      <c r="R927">
        <v>4.5363636363636356E-2</v>
      </c>
    </row>
    <row r="928" spans="1:18">
      <c r="A928" s="1">
        <v>63</v>
      </c>
      <c r="B928" s="1">
        <v>0</v>
      </c>
      <c r="C928" s="1">
        <v>1</v>
      </c>
      <c r="D928" s="1">
        <v>0</v>
      </c>
      <c r="E928" s="1">
        <v>1</v>
      </c>
      <c r="F928" s="1">
        <v>5</v>
      </c>
      <c r="G928" s="1">
        <v>6</v>
      </c>
      <c r="H928" s="1">
        <v>1</v>
      </c>
      <c r="I928" s="1">
        <v>2</v>
      </c>
      <c r="J928" s="1">
        <v>2</v>
      </c>
      <c r="K928" s="1">
        <v>2</v>
      </c>
      <c r="L928" s="1">
        <v>9</v>
      </c>
      <c r="M928" s="1">
        <v>40</v>
      </c>
      <c r="N928" s="1">
        <v>42</v>
      </c>
      <c r="O928" s="1">
        <v>49</v>
      </c>
      <c r="P928">
        <v>9.7500000000000003E-2</v>
      </c>
      <c r="Q928">
        <v>0.22316666666666657</v>
      </c>
      <c r="R928">
        <v>3.979545454545453E-2</v>
      </c>
    </row>
    <row r="929" spans="1:18">
      <c r="A929" s="1">
        <v>64</v>
      </c>
      <c r="B929" s="1">
        <v>1</v>
      </c>
      <c r="C929" s="1">
        <v>1</v>
      </c>
      <c r="D929" s="1">
        <v>0</v>
      </c>
      <c r="E929" s="1">
        <v>0</v>
      </c>
      <c r="F929" s="1">
        <v>9</v>
      </c>
      <c r="G929" s="1">
        <v>6</v>
      </c>
      <c r="H929" s="1">
        <v>2</v>
      </c>
      <c r="I929" s="1">
        <v>2</v>
      </c>
      <c r="J929" s="1">
        <v>3</v>
      </c>
      <c r="K929" s="1">
        <v>3</v>
      </c>
      <c r="L929" s="1">
        <v>9</v>
      </c>
      <c r="M929" s="1">
        <v>40</v>
      </c>
      <c r="N929" s="1">
        <v>42</v>
      </c>
      <c r="O929" s="1">
        <v>49</v>
      </c>
      <c r="P929">
        <v>0.29901587301587301</v>
      </c>
      <c r="Q929">
        <v>0.43459999999999982</v>
      </c>
      <c r="R929">
        <v>4.1450000000000008E-2</v>
      </c>
    </row>
    <row r="930" spans="1:18">
      <c r="A930" s="1">
        <v>65</v>
      </c>
      <c r="B930" s="1">
        <v>1</v>
      </c>
      <c r="C930" s="1">
        <v>1</v>
      </c>
      <c r="D930" s="1">
        <v>1</v>
      </c>
      <c r="E930" s="1">
        <v>0</v>
      </c>
      <c r="F930" s="1">
        <v>15</v>
      </c>
      <c r="G930" s="1">
        <v>6</v>
      </c>
      <c r="H930" s="1">
        <v>3</v>
      </c>
      <c r="I930" s="1">
        <v>2</v>
      </c>
      <c r="J930" s="1">
        <v>5</v>
      </c>
      <c r="K930" s="1">
        <v>5</v>
      </c>
      <c r="L930" s="1">
        <v>9</v>
      </c>
      <c r="M930" s="1">
        <v>40</v>
      </c>
      <c r="N930" s="1">
        <v>42</v>
      </c>
      <c r="O930" s="1">
        <v>49</v>
      </c>
      <c r="P930">
        <v>0.25642460317460308</v>
      </c>
      <c r="Q930">
        <v>0.38520000000000004</v>
      </c>
      <c r="R930">
        <v>4.5559090909090931E-2</v>
      </c>
    </row>
    <row r="931" spans="1:18">
      <c r="A931" s="1">
        <v>66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2</v>
      </c>
      <c r="J931" s="1">
        <v>0</v>
      </c>
      <c r="K931" s="1">
        <v>0</v>
      </c>
      <c r="L931" s="1">
        <v>9</v>
      </c>
      <c r="M931" s="1">
        <v>40</v>
      </c>
      <c r="N931" s="1">
        <v>42</v>
      </c>
      <c r="O931" s="1">
        <v>49</v>
      </c>
      <c r="P931">
        <v>0.20097619047619059</v>
      </c>
      <c r="Q931">
        <v>0.28480000000000005</v>
      </c>
      <c r="R931">
        <v>5.3490909090909075E-2</v>
      </c>
    </row>
    <row r="932" spans="1:18">
      <c r="A932" s="1">
        <v>67</v>
      </c>
      <c r="B932" s="1">
        <v>1</v>
      </c>
      <c r="C932" s="1">
        <v>1</v>
      </c>
      <c r="D932" s="1">
        <v>1</v>
      </c>
      <c r="E932" s="1">
        <v>0</v>
      </c>
      <c r="F932" s="1">
        <v>18</v>
      </c>
      <c r="G932" s="1">
        <v>6</v>
      </c>
      <c r="H932" s="1">
        <v>3</v>
      </c>
      <c r="I932" s="1">
        <v>2</v>
      </c>
      <c r="J932" s="1">
        <v>5</v>
      </c>
      <c r="K932" s="1">
        <v>6</v>
      </c>
      <c r="L932" s="1">
        <v>9</v>
      </c>
      <c r="M932" s="1">
        <v>40</v>
      </c>
      <c r="N932" s="1">
        <v>42</v>
      </c>
      <c r="O932" s="1">
        <v>49</v>
      </c>
      <c r="P932">
        <v>0.27624206349206343</v>
      </c>
      <c r="Q932">
        <v>0.39939999999999998</v>
      </c>
      <c r="R932">
        <v>5.641363636363636E-2</v>
      </c>
    </row>
    <row r="933" spans="1:18">
      <c r="A933" s="1">
        <v>68</v>
      </c>
      <c r="B933" s="1">
        <v>1</v>
      </c>
      <c r="C933" s="1">
        <v>1</v>
      </c>
      <c r="D933" s="1">
        <v>0</v>
      </c>
      <c r="E933" s="1">
        <v>0</v>
      </c>
      <c r="F933" s="1">
        <v>8</v>
      </c>
      <c r="G933" s="1">
        <v>6</v>
      </c>
      <c r="H933" s="1">
        <v>2</v>
      </c>
      <c r="I933" s="1">
        <v>2</v>
      </c>
      <c r="J933" s="1">
        <v>3</v>
      </c>
      <c r="K933" s="1">
        <v>3</v>
      </c>
      <c r="L933" s="1">
        <v>9</v>
      </c>
      <c r="M933" s="1">
        <v>40</v>
      </c>
      <c r="N933" s="1">
        <v>42</v>
      </c>
      <c r="O933" s="1">
        <v>49</v>
      </c>
      <c r="P933">
        <v>0.24865079365079371</v>
      </c>
      <c r="Q933">
        <v>0.29199999999999998</v>
      </c>
      <c r="R933">
        <v>5.3540909090909077E-2</v>
      </c>
    </row>
    <row r="934" spans="1:18">
      <c r="A934" s="1">
        <v>69</v>
      </c>
      <c r="B934" s="1">
        <v>0</v>
      </c>
      <c r="C934" s="1">
        <v>1</v>
      </c>
      <c r="D934" s="1">
        <v>0</v>
      </c>
      <c r="E934" s="1">
        <v>0</v>
      </c>
      <c r="F934" s="1">
        <v>4</v>
      </c>
      <c r="G934" s="1">
        <v>6</v>
      </c>
      <c r="H934" s="1">
        <v>1</v>
      </c>
      <c r="I934" s="1">
        <v>2</v>
      </c>
      <c r="J934" s="1">
        <v>2</v>
      </c>
      <c r="K934" s="1">
        <v>2</v>
      </c>
      <c r="L934" s="1">
        <v>9</v>
      </c>
      <c r="M934" s="1">
        <v>40</v>
      </c>
      <c r="N934" s="1">
        <v>42</v>
      </c>
      <c r="O934" s="1">
        <v>49</v>
      </c>
      <c r="P934">
        <v>0.2774880952380952</v>
      </c>
      <c r="Q934">
        <v>0.30759999999999987</v>
      </c>
      <c r="R934">
        <v>3.6640909090909106E-2</v>
      </c>
    </row>
    <row r="935" spans="1:18">
      <c r="A935" s="1">
        <v>70</v>
      </c>
      <c r="B935" s="1">
        <v>1</v>
      </c>
      <c r="C935" s="1">
        <v>1</v>
      </c>
      <c r="D935" s="1">
        <v>1</v>
      </c>
      <c r="E935" s="1">
        <v>0</v>
      </c>
      <c r="F935" s="1">
        <v>21</v>
      </c>
      <c r="G935" s="1">
        <v>18</v>
      </c>
      <c r="H935" s="1">
        <v>3</v>
      </c>
      <c r="I935" s="1">
        <v>2</v>
      </c>
      <c r="J935" s="1">
        <v>6</v>
      </c>
      <c r="K935" s="1">
        <v>7</v>
      </c>
      <c r="L935" s="1">
        <v>9</v>
      </c>
      <c r="M935" s="1">
        <v>40</v>
      </c>
      <c r="N935" s="1">
        <v>42</v>
      </c>
      <c r="O935" s="1">
        <v>49</v>
      </c>
      <c r="P935">
        <v>0.36775396825396822</v>
      </c>
      <c r="Q935">
        <v>0.45520000000000016</v>
      </c>
      <c r="R935">
        <v>5.4545454545454557E-2</v>
      </c>
    </row>
    <row r="936" spans="1:18">
      <c r="A936" s="1">
        <v>71</v>
      </c>
      <c r="B936" s="1">
        <v>1</v>
      </c>
      <c r="C936" s="1">
        <v>0</v>
      </c>
      <c r="D936" s="1">
        <v>0</v>
      </c>
      <c r="E936" s="1">
        <v>0</v>
      </c>
      <c r="F936" s="1">
        <v>2</v>
      </c>
      <c r="G936" s="1">
        <v>6</v>
      </c>
      <c r="H936" s="1">
        <v>1</v>
      </c>
      <c r="I936" s="1">
        <v>2</v>
      </c>
      <c r="J936" s="1">
        <v>1</v>
      </c>
      <c r="K936" s="1">
        <v>1</v>
      </c>
      <c r="L936" s="1">
        <v>9</v>
      </c>
      <c r="M936" s="1">
        <v>40</v>
      </c>
      <c r="N936" s="1">
        <v>42</v>
      </c>
      <c r="O936" s="1">
        <v>49</v>
      </c>
      <c r="P936">
        <v>0.23230555555555554</v>
      </c>
      <c r="Q936">
        <v>0.31379999999999997</v>
      </c>
      <c r="R936">
        <v>4.8918181818181798E-2</v>
      </c>
    </row>
    <row r="937" spans="1:18">
      <c r="A937" s="1">
        <v>72</v>
      </c>
      <c r="B937" s="1">
        <v>1</v>
      </c>
      <c r="C937" s="1">
        <v>1</v>
      </c>
      <c r="D937" s="1">
        <v>1</v>
      </c>
      <c r="E937" s="1">
        <v>0</v>
      </c>
      <c r="F937" s="1">
        <v>24</v>
      </c>
      <c r="G937" s="1">
        <v>18</v>
      </c>
      <c r="H937" s="1">
        <v>3</v>
      </c>
      <c r="I937" s="1">
        <v>2</v>
      </c>
      <c r="J937" s="1">
        <v>6</v>
      </c>
      <c r="K937" s="1">
        <v>7</v>
      </c>
      <c r="L937" s="1">
        <v>9</v>
      </c>
      <c r="M937" s="1">
        <v>40</v>
      </c>
      <c r="N937" s="1">
        <v>42</v>
      </c>
      <c r="O937" s="1">
        <v>49</v>
      </c>
      <c r="P937">
        <v>0.28399999999999992</v>
      </c>
      <c r="Q937">
        <v>0.40440000000000004</v>
      </c>
      <c r="R937">
        <v>4.898636363636364E-2</v>
      </c>
    </row>
    <row r="938" spans="1:18">
      <c r="A938" s="1">
        <v>73</v>
      </c>
      <c r="B938" s="1">
        <v>1</v>
      </c>
      <c r="C938" s="1">
        <v>1</v>
      </c>
      <c r="D938" s="1">
        <v>1</v>
      </c>
      <c r="E938" s="1">
        <v>0</v>
      </c>
      <c r="F938" s="1">
        <v>14</v>
      </c>
      <c r="G938" s="1">
        <v>6</v>
      </c>
      <c r="H938" s="1">
        <v>3</v>
      </c>
      <c r="I938" s="1">
        <v>2</v>
      </c>
      <c r="J938" s="1">
        <v>5</v>
      </c>
      <c r="K938" s="1">
        <v>5</v>
      </c>
      <c r="L938" s="1">
        <v>9</v>
      </c>
      <c r="M938" s="1">
        <v>40</v>
      </c>
      <c r="N938" s="1">
        <v>42</v>
      </c>
      <c r="O938" s="1">
        <v>49</v>
      </c>
      <c r="P938">
        <v>0.38712301587301579</v>
      </c>
      <c r="Q938">
        <v>0.47099999999999992</v>
      </c>
      <c r="R938">
        <v>5.4872727272727288E-2</v>
      </c>
    </row>
    <row r="939" spans="1:18">
      <c r="A939" s="1">
        <v>74</v>
      </c>
      <c r="B939" s="1">
        <v>1</v>
      </c>
      <c r="C939" s="1">
        <v>1</v>
      </c>
      <c r="D939" s="1">
        <v>1</v>
      </c>
      <c r="E939" s="1">
        <v>0</v>
      </c>
      <c r="F939" s="1">
        <v>13</v>
      </c>
      <c r="G939" s="1">
        <v>6</v>
      </c>
      <c r="H939" s="1">
        <v>3</v>
      </c>
      <c r="I939" s="1">
        <v>2</v>
      </c>
      <c r="J939" s="1">
        <v>5</v>
      </c>
      <c r="K939" s="1">
        <v>5</v>
      </c>
      <c r="L939" s="1">
        <v>9</v>
      </c>
      <c r="M939" s="1">
        <v>40</v>
      </c>
      <c r="N939" s="1">
        <v>42</v>
      </c>
      <c r="O939" s="1">
        <v>49</v>
      </c>
      <c r="P939">
        <v>0.3581031746031747</v>
      </c>
      <c r="Q939">
        <v>0.42360000000000009</v>
      </c>
      <c r="R939">
        <v>5.5513636363636355E-2</v>
      </c>
    </row>
    <row r="940" spans="1:18">
      <c r="A940" s="1">
        <v>75</v>
      </c>
      <c r="B940" s="1">
        <v>0</v>
      </c>
      <c r="C940" s="1">
        <v>1</v>
      </c>
      <c r="D940" s="1">
        <v>0</v>
      </c>
      <c r="E940" s="1">
        <v>1</v>
      </c>
      <c r="F940" s="1">
        <v>6</v>
      </c>
      <c r="G940" s="1">
        <v>6</v>
      </c>
      <c r="H940" s="1">
        <v>1</v>
      </c>
      <c r="I940" s="1">
        <v>2</v>
      </c>
      <c r="J940" s="1">
        <v>2</v>
      </c>
      <c r="K940" s="1">
        <v>2</v>
      </c>
      <c r="L940" s="1">
        <v>9</v>
      </c>
      <c r="M940" s="1">
        <v>40</v>
      </c>
      <c r="N940" s="1">
        <v>42</v>
      </c>
      <c r="O940" s="1">
        <v>49</v>
      </c>
      <c r="P940">
        <v>0.20569047619047615</v>
      </c>
      <c r="Q940">
        <v>0.23912222222222229</v>
      </c>
      <c r="R940">
        <v>4.9577272727272727E-2</v>
      </c>
    </row>
    <row r="941" spans="1:18">
      <c r="A941" s="1">
        <v>76</v>
      </c>
      <c r="B941" s="1">
        <v>1</v>
      </c>
      <c r="C941" s="1">
        <v>0</v>
      </c>
      <c r="D941" s="1">
        <v>0</v>
      </c>
      <c r="E941" s="1">
        <v>0</v>
      </c>
      <c r="F941" s="1">
        <v>1</v>
      </c>
      <c r="G941" s="1">
        <v>6</v>
      </c>
      <c r="H941" s="1">
        <v>1</v>
      </c>
      <c r="I941" s="1">
        <v>2</v>
      </c>
      <c r="J941" s="1">
        <v>1</v>
      </c>
      <c r="K941" s="1">
        <v>1</v>
      </c>
      <c r="L941" s="1">
        <v>9</v>
      </c>
      <c r="M941" s="1">
        <v>40</v>
      </c>
      <c r="N941" s="1">
        <v>42</v>
      </c>
      <c r="O941" s="1">
        <v>49</v>
      </c>
      <c r="P941">
        <v>0.26649206349206345</v>
      </c>
      <c r="Q941">
        <v>0.35779999999999995</v>
      </c>
      <c r="R941">
        <v>5.9227272727272726E-2</v>
      </c>
    </row>
    <row r="942" spans="1:18">
      <c r="A942" s="1">
        <v>77</v>
      </c>
      <c r="B942" s="1">
        <v>0</v>
      </c>
      <c r="C942" s="1">
        <v>0</v>
      </c>
      <c r="D942" s="1">
        <v>0</v>
      </c>
      <c r="E942" s="1">
        <v>1</v>
      </c>
      <c r="F942" s="1">
        <v>0</v>
      </c>
      <c r="G942" s="1">
        <v>0</v>
      </c>
      <c r="H942" s="1">
        <v>0</v>
      </c>
      <c r="I942" s="1">
        <v>2</v>
      </c>
      <c r="J942" s="1">
        <v>0</v>
      </c>
      <c r="K942" s="1">
        <v>0</v>
      </c>
      <c r="L942" s="1">
        <v>9</v>
      </c>
      <c r="M942" s="1">
        <v>40</v>
      </c>
      <c r="N942" s="1">
        <v>42</v>
      </c>
      <c r="O942" s="1">
        <v>49</v>
      </c>
      <c r="P942">
        <v>9.9674603174603221E-2</v>
      </c>
      <c r="Q942">
        <v>0.18911481481481482</v>
      </c>
      <c r="R942">
        <v>4.2013636363636371E-2</v>
      </c>
    </row>
    <row r="943" spans="1:18">
      <c r="A943" s="1">
        <v>78</v>
      </c>
      <c r="B943" s="1">
        <v>1</v>
      </c>
      <c r="C943" s="1">
        <v>0</v>
      </c>
      <c r="D943" s="1">
        <v>0</v>
      </c>
      <c r="E943" s="1">
        <v>1</v>
      </c>
      <c r="F943" s="1">
        <v>1</v>
      </c>
      <c r="G943" s="1">
        <v>6</v>
      </c>
      <c r="H943" s="1">
        <v>1</v>
      </c>
      <c r="I943" s="1">
        <v>2</v>
      </c>
      <c r="J943" s="1">
        <v>1</v>
      </c>
      <c r="K943" s="1">
        <v>1</v>
      </c>
      <c r="L943" s="1">
        <v>9</v>
      </c>
      <c r="M943" s="1">
        <v>40</v>
      </c>
      <c r="N943" s="1">
        <v>42</v>
      </c>
      <c r="O943" s="1">
        <v>49</v>
      </c>
      <c r="P943">
        <v>0.1352380952380953</v>
      </c>
      <c r="Q943">
        <v>0.20911111111111125</v>
      </c>
      <c r="R943">
        <v>4.5881818181818197E-2</v>
      </c>
    </row>
    <row r="944" spans="1:18">
      <c r="A944" s="1">
        <v>79</v>
      </c>
      <c r="B944" s="1">
        <v>1</v>
      </c>
      <c r="C944" s="1">
        <v>1</v>
      </c>
      <c r="D944" s="1">
        <v>1</v>
      </c>
      <c r="E944" s="1">
        <v>0</v>
      </c>
      <c r="F944" s="1">
        <v>16</v>
      </c>
      <c r="G944" s="1">
        <v>6</v>
      </c>
      <c r="H944" s="1">
        <v>3</v>
      </c>
      <c r="I944" s="1">
        <v>2</v>
      </c>
      <c r="J944" s="1">
        <v>5</v>
      </c>
      <c r="K944" s="1">
        <v>6</v>
      </c>
      <c r="L944" s="1">
        <v>9</v>
      </c>
      <c r="M944" s="1">
        <v>40</v>
      </c>
      <c r="N944" s="1">
        <v>42</v>
      </c>
      <c r="O944" s="1">
        <v>49</v>
      </c>
      <c r="P944">
        <v>0.33586111111111105</v>
      </c>
      <c r="Q944">
        <v>0.4765999999999998</v>
      </c>
      <c r="R944">
        <v>4.8654545454545443E-2</v>
      </c>
    </row>
    <row r="945" spans="1:18">
      <c r="A945" s="1">
        <v>80</v>
      </c>
      <c r="B945" s="1">
        <v>1</v>
      </c>
      <c r="C945" s="1">
        <v>1</v>
      </c>
      <c r="D945" s="1">
        <v>1</v>
      </c>
      <c r="E945" s="1">
        <v>1</v>
      </c>
      <c r="F945" s="1">
        <v>23</v>
      </c>
      <c r="G945" s="1">
        <v>18</v>
      </c>
      <c r="H945" s="1">
        <v>3</v>
      </c>
      <c r="I945" s="1">
        <v>2</v>
      </c>
      <c r="J945" s="1">
        <v>6</v>
      </c>
      <c r="K945" s="1">
        <v>7</v>
      </c>
      <c r="L945" s="1">
        <v>9</v>
      </c>
      <c r="M945" s="1">
        <v>40</v>
      </c>
      <c r="N945" s="1">
        <v>42</v>
      </c>
      <c r="O945" s="1">
        <v>49</v>
      </c>
      <c r="P945">
        <v>0.21922222222222221</v>
      </c>
      <c r="Q945">
        <v>0.26910370370370362</v>
      </c>
      <c r="R945">
        <v>4.4077272727272729E-2</v>
      </c>
    </row>
    <row r="946" spans="1:18">
      <c r="A946" s="1">
        <v>81</v>
      </c>
      <c r="B946" s="1">
        <v>1</v>
      </c>
      <c r="C946" s="1">
        <v>1</v>
      </c>
      <c r="D946" s="1">
        <v>0</v>
      </c>
      <c r="E946" s="1">
        <v>0</v>
      </c>
      <c r="F946" s="1">
        <v>7</v>
      </c>
      <c r="G946" s="1">
        <v>6</v>
      </c>
      <c r="H946" s="1">
        <v>2</v>
      </c>
      <c r="I946" s="1">
        <v>2</v>
      </c>
      <c r="J946" s="1">
        <v>3</v>
      </c>
      <c r="K946" s="1">
        <v>3</v>
      </c>
      <c r="L946" s="1">
        <v>9</v>
      </c>
      <c r="M946" s="1">
        <v>40</v>
      </c>
      <c r="N946" s="1">
        <v>42</v>
      </c>
      <c r="O946" s="1">
        <v>49</v>
      </c>
      <c r="P946">
        <v>0.32496428571428571</v>
      </c>
      <c r="Q946">
        <v>0.40479999999999999</v>
      </c>
      <c r="R946">
        <v>4.7540909090909113E-2</v>
      </c>
    </row>
    <row r="947" spans="1:18">
      <c r="A947" s="1">
        <v>82</v>
      </c>
      <c r="B947" s="1">
        <v>1</v>
      </c>
      <c r="C947" s="1">
        <v>1</v>
      </c>
      <c r="D947" s="1">
        <v>1</v>
      </c>
      <c r="E947" s="1">
        <v>1</v>
      </c>
      <c r="F947" s="1">
        <v>21</v>
      </c>
      <c r="G947" s="1">
        <v>18</v>
      </c>
      <c r="H947" s="1">
        <v>3</v>
      </c>
      <c r="I947" s="1">
        <v>2</v>
      </c>
      <c r="J947" s="1">
        <v>6</v>
      </c>
      <c r="K947" s="1">
        <v>7</v>
      </c>
      <c r="L947" s="1">
        <v>9</v>
      </c>
      <c r="M947" s="1">
        <v>40</v>
      </c>
      <c r="N947" s="1">
        <v>42</v>
      </c>
      <c r="O947" s="1">
        <v>49</v>
      </c>
      <c r="P947">
        <v>0.25606349206349222</v>
      </c>
      <c r="Q947">
        <v>0.33809629629629645</v>
      </c>
      <c r="R947">
        <v>3.7195454545454538E-2</v>
      </c>
    </row>
    <row r="948" spans="1:18">
      <c r="A948" s="1">
        <v>83</v>
      </c>
      <c r="B948" s="1">
        <v>1</v>
      </c>
      <c r="C948" s="1">
        <v>1</v>
      </c>
      <c r="D948" s="1">
        <v>1</v>
      </c>
      <c r="E948" s="1">
        <v>1</v>
      </c>
      <c r="F948" s="1">
        <v>18</v>
      </c>
      <c r="G948" s="1">
        <v>6</v>
      </c>
      <c r="H948" s="1">
        <v>3</v>
      </c>
      <c r="I948" s="1">
        <v>2</v>
      </c>
      <c r="J948" s="1">
        <v>5</v>
      </c>
      <c r="K948" s="1">
        <v>6</v>
      </c>
      <c r="L948" s="1">
        <v>9</v>
      </c>
      <c r="M948" s="1">
        <v>40</v>
      </c>
      <c r="N948" s="1">
        <v>42</v>
      </c>
      <c r="O948" s="1">
        <v>49</v>
      </c>
      <c r="P948">
        <v>0.2087698412698413</v>
      </c>
      <c r="Q948">
        <v>0.2490925925925927</v>
      </c>
      <c r="R948">
        <v>3.9868181818181817E-2</v>
      </c>
    </row>
    <row r="949" spans="1:18">
      <c r="A949" s="1">
        <v>84</v>
      </c>
      <c r="B949" s="1">
        <v>1</v>
      </c>
      <c r="C949" s="1">
        <v>1</v>
      </c>
      <c r="D949" s="1">
        <v>1</v>
      </c>
      <c r="E949" s="1">
        <v>1</v>
      </c>
      <c r="F949" s="1">
        <v>24</v>
      </c>
      <c r="G949" s="1">
        <v>18</v>
      </c>
      <c r="H949" s="1">
        <v>3</v>
      </c>
      <c r="I949" s="1">
        <v>2</v>
      </c>
      <c r="J949" s="1">
        <v>6</v>
      </c>
      <c r="K949" s="1">
        <v>7</v>
      </c>
      <c r="L949" s="1">
        <v>9</v>
      </c>
      <c r="M949" s="1">
        <v>40</v>
      </c>
      <c r="N949" s="1">
        <v>42</v>
      </c>
      <c r="O949" s="1">
        <v>49</v>
      </c>
      <c r="P949">
        <v>0.22004761904761905</v>
      </c>
      <c r="Q949">
        <v>0.2440888888888888</v>
      </c>
      <c r="R949">
        <v>4.2700000000000023E-2</v>
      </c>
    </row>
    <row r="950" spans="1:18">
      <c r="A950" s="1">
        <v>85</v>
      </c>
      <c r="B950" s="1">
        <v>1</v>
      </c>
      <c r="C950" s="1">
        <v>1</v>
      </c>
      <c r="D950" s="1">
        <v>1</v>
      </c>
      <c r="E950" s="1">
        <v>1</v>
      </c>
      <c r="F950" s="1">
        <v>20</v>
      </c>
      <c r="G950" s="1">
        <v>18</v>
      </c>
      <c r="H950" s="1">
        <v>3</v>
      </c>
      <c r="I950" s="1">
        <v>2</v>
      </c>
      <c r="J950" s="1">
        <v>6</v>
      </c>
      <c r="K950" s="1">
        <v>7</v>
      </c>
      <c r="L950" s="1">
        <v>9</v>
      </c>
      <c r="M950" s="1">
        <v>40</v>
      </c>
      <c r="N950" s="1">
        <v>42</v>
      </c>
      <c r="O950" s="1">
        <v>49</v>
      </c>
      <c r="P950">
        <v>0.22418253968253962</v>
      </c>
      <c r="Q950">
        <v>0.28508518518518511</v>
      </c>
      <c r="R950">
        <v>3.929545454545455E-2</v>
      </c>
    </row>
    <row r="951" spans="1:18">
      <c r="A951" s="1">
        <v>86</v>
      </c>
      <c r="B951" s="1">
        <v>1</v>
      </c>
      <c r="C951" s="1">
        <v>1</v>
      </c>
      <c r="D951" s="1">
        <v>1</v>
      </c>
      <c r="E951" s="1">
        <v>1</v>
      </c>
      <c r="F951" s="1">
        <v>17</v>
      </c>
      <c r="G951" s="1">
        <v>6</v>
      </c>
      <c r="H951" s="1">
        <v>3</v>
      </c>
      <c r="I951" s="1">
        <v>2</v>
      </c>
      <c r="J951" s="1">
        <v>5</v>
      </c>
      <c r="K951" s="1">
        <v>6</v>
      </c>
      <c r="L951" s="1">
        <v>9</v>
      </c>
      <c r="M951" s="1">
        <v>40</v>
      </c>
      <c r="N951" s="1">
        <v>42</v>
      </c>
      <c r="O951" s="1">
        <v>49</v>
      </c>
      <c r="P951">
        <v>0.1418888888888889</v>
      </c>
      <c r="Q951">
        <v>0.15808148148148149</v>
      </c>
      <c r="R951">
        <v>4.3568181818181791E-2</v>
      </c>
    </row>
    <row r="952" spans="1:18">
      <c r="A952" s="1">
        <v>87</v>
      </c>
      <c r="B952" s="1">
        <v>0</v>
      </c>
      <c r="C952" s="1">
        <v>1</v>
      </c>
      <c r="D952" s="1">
        <v>1</v>
      </c>
      <c r="E952" s="1">
        <v>0</v>
      </c>
      <c r="F952" s="1">
        <v>12</v>
      </c>
      <c r="G952" s="1">
        <v>6</v>
      </c>
      <c r="H952" s="1">
        <v>2</v>
      </c>
      <c r="I952" s="1">
        <v>2</v>
      </c>
      <c r="J952" s="1">
        <v>4</v>
      </c>
      <c r="K952" s="1">
        <v>4</v>
      </c>
      <c r="L952" s="1">
        <v>9</v>
      </c>
      <c r="M952" s="1">
        <v>40</v>
      </c>
      <c r="N952" s="1">
        <v>42</v>
      </c>
      <c r="O952" s="1">
        <v>49</v>
      </c>
      <c r="P952">
        <v>0.12655952380952382</v>
      </c>
      <c r="Q952">
        <v>0.16940000000000008</v>
      </c>
      <c r="R952">
        <v>4.4804545454545437E-2</v>
      </c>
    </row>
    <row r="953" spans="1:18">
      <c r="A953" s="1">
        <v>88</v>
      </c>
      <c r="B953" s="1">
        <v>1</v>
      </c>
      <c r="C953" s="1">
        <v>1</v>
      </c>
      <c r="D953" s="1">
        <v>1</v>
      </c>
      <c r="E953" s="1">
        <v>1</v>
      </c>
      <c r="F953" s="1">
        <v>15</v>
      </c>
      <c r="G953" s="1">
        <v>6</v>
      </c>
      <c r="H953" s="1">
        <v>3</v>
      </c>
      <c r="I953" s="1">
        <v>2</v>
      </c>
      <c r="J953" s="1">
        <v>5</v>
      </c>
      <c r="K953" s="1">
        <v>5</v>
      </c>
      <c r="L953" s="1">
        <v>9</v>
      </c>
      <c r="M953" s="1">
        <v>40</v>
      </c>
      <c r="N953" s="1">
        <v>42</v>
      </c>
      <c r="O953" s="1">
        <v>49</v>
      </c>
      <c r="P953">
        <v>0.25230158730158736</v>
      </c>
      <c r="Q953">
        <v>0.32407407407407413</v>
      </c>
      <c r="R953">
        <v>5.5649999999999998E-2</v>
      </c>
    </row>
    <row r="954" spans="1:18">
      <c r="A954" s="1">
        <v>89</v>
      </c>
      <c r="B954" s="1">
        <v>1</v>
      </c>
      <c r="C954" s="1">
        <v>0</v>
      </c>
      <c r="D954" s="1">
        <v>0</v>
      </c>
      <c r="E954" s="1">
        <v>0</v>
      </c>
      <c r="F954" s="1">
        <v>3</v>
      </c>
      <c r="G954" s="1">
        <v>6</v>
      </c>
      <c r="H954" s="1">
        <v>1</v>
      </c>
      <c r="I954" s="1">
        <v>2</v>
      </c>
      <c r="J954" s="1">
        <v>1</v>
      </c>
      <c r="K954" s="1">
        <v>1</v>
      </c>
      <c r="L954" s="1">
        <v>9</v>
      </c>
      <c r="M954" s="1">
        <v>40</v>
      </c>
      <c r="N954" s="1">
        <v>42</v>
      </c>
      <c r="O954" s="1">
        <v>49</v>
      </c>
      <c r="P954">
        <v>0.22851984126984132</v>
      </c>
      <c r="Q954">
        <v>0.25860000000000005</v>
      </c>
      <c r="R954">
        <v>5.8727272727272718E-2</v>
      </c>
    </row>
    <row r="955" spans="1:18">
      <c r="A955" s="1">
        <v>90</v>
      </c>
      <c r="B955" s="1">
        <v>1</v>
      </c>
      <c r="C955" s="1">
        <v>1</v>
      </c>
      <c r="D955" s="1">
        <v>1</v>
      </c>
      <c r="E955" s="1">
        <v>1</v>
      </c>
      <c r="F955" s="1">
        <v>16</v>
      </c>
      <c r="G955" s="1">
        <v>6</v>
      </c>
      <c r="H955" s="1">
        <v>3</v>
      </c>
      <c r="I955" s="1">
        <v>2</v>
      </c>
      <c r="J955" s="1">
        <v>5</v>
      </c>
      <c r="K955" s="1">
        <v>6</v>
      </c>
      <c r="L955" s="1">
        <v>9</v>
      </c>
      <c r="M955" s="1">
        <v>40</v>
      </c>
      <c r="N955" s="1">
        <v>42</v>
      </c>
      <c r="O955" s="1">
        <v>49</v>
      </c>
      <c r="P955">
        <v>0.16628571428571437</v>
      </c>
      <c r="Q955">
        <v>0.20906666666666673</v>
      </c>
      <c r="R955">
        <v>4.3977272727272719E-2</v>
      </c>
    </row>
    <row r="956" spans="1:18">
      <c r="A956" s="1">
        <v>91</v>
      </c>
      <c r="B956" s="1">
        <v>1</v>
      </c>
      <c r="C956" s="1">
        <v>1</v>
      </c>
      <c r="D956" s="1">
        <v>1</v>
      </c>
      <c r="E956" s="1">
        <v>0</v>
      </c>
      <c r="F956" s="1">
        <v>22</v>
      </c>
      <c r="G956" s="1">
        <v>18</v>
      </c>
      <c r="H956" s="1">
        <v>3</v>
      </c>
      <c r="I956" s="1">
        <v>2</v>
      </c>
      <c r="J956" s="1">
        <v>6</v>
      </c>
      <c r="K956" s="1">
        <v>7</v>
      </c>
      <c r="L956" s="1">
        <v>9</v>
      </c>
      <c r="M956" s="1">
        <v>40</v>
      </c>
      <c r="N956" s="1">
        <v>42</v>
      </c>
      <c r="O956" s="1">
        <v>49</v>
      </c>
      <c r="P956">
        <v>0.2626230158730159</v>
      </c>
      <c r="Q956">
        <v>0.32880000000000004</v>
      </c>
      <c r="R956">
        <v>5.4127272727272718E-2</v>
      </c>
    </row>
    <row r="957" spans="1:18">
      <c r="A957" s="1">
        <v>92</v>
      </c>
      <c r="B957" s="1">
        <v>1</v>
      </c>
      <c r="C957" s="1">
        <v>1</v>
      </c>
      <c r="D957" s="1">
        <v>0</v>
      </c>
      <c r="E957" s="1">
        <v>1</v>
      </c>
      <c r="F957" s="1">
        <v>7</v>
      </c>
      <c r="G957" s="1">
        <v>6</v>
      </c>
      <c r="H957" s="1">
        <v>2</v>
      </c>
      <c r="I957" s="1">
        <v>2</v>
      </c>
      <c r="J957" s="1">
        <v>3</v>
      </c>
      <c r="K957" s="1">
        <v>3</v>
      </c>
      <c r="L957" s="1">
        <v>9</v>
      </c>
      <c r="M957" s="1">
        <v>40</v>
      </c>
      <c r="N957" s="1">
        <v>42</v>
      </c>
      <c r="O957" s="1">
        <v>49</v>
      </c>
      <c r="P957">
        <v>0.16384126984126984</v>
      </c>
      <c r="Q957">
        <v>0.19905925925925921</v>
      </c>
      <c r="R957">
        <v>4.2790909090909102E-2</v>
      </c>
    </row>
    <row r="958" spans="1:18">
      <c r="A958" s="1">
        <v>93</v>
      </c>
      <c r="B958" s="1">
        <v>0</v>
      </c>
      <c r="C958" s="1">
        <v>1</v>
      </c>
      <c r="D958" s="1">
        <v>1</v>
      </c>
      <c r="E958" s="1">
        <v>1</v>
      </c>
      <c r="F958" s="1">
        <v>11</v>
      </c>
      <c r="G958" s="1">
        <v>6</v>
      </c>
      <c r="H958" s="1">
        <v>2</v>
      </c>
      <c r="I958" s="1">
        <v>2</v>
      </c>
      <c r="J958" s="1">
        <v>4</v>
      </c>
      <c r="K958" s="1">
        <v>4</v>
      </c>
      <c r="L958" s="1">
        <v>9</v>
      </c>
      <c r="M958" s="1">
        <v>40</v>
      </c>
      <c r="N958" s="1">
        <v>42</v>
      </c>
      <c r="O958" s="1">
        <v>49</v>
      </c>
      <c r="P958">
        <v>0.13797619047619047</v>
      </c>
      <c r="Q958">
        <v>0.17705555555555552</v>
      </c>
      <c r="R958">
        <v>5.6850000000000026E-2</v>
      </c>
    </row>
    <row r="959" spans="1:18">
      <c r="A959" s="1">
        <v>94</v>
      </c>
      <c r="B959" s="1">
        <v>1</v>
      </c>
      <c r="C959" s="1">
        <v>0</v>
      </c>
      <c r="D959" s="1">
        <v>0</v>
      </c>
      <c r="E959" s="1">
        <v>1</v>
      </c>
      <c r="F959" s="1">
        <v>3</v>
      </c>
      <c r="G959" s="1">
        <v>6</v>
      </c>
      <c r="H959" s="1">
        <v>1</v>
      </c>
      <c r="I959" s="1">
        <v>2</v>
      </c>
      <c r="J959" s="1">
        <v>1</v>
      </c>
      <c r="K959" s="1">
        <v>1</v>
      </c>
      <c r="L959" s="1">
        <v>9</v>
      </c>
      <c r="M959" s="1">
        <v>40</v>
      </c>
      <c r="N959" s="1">
        <v>42</v>
      </c>
      <c r="O959" s="1">
        <v>49</v>
      </c>
      <c r="P959">
        <v>0.24996825396825401</v>
      </c>
      <c r="Q959">
        <v>0.31205185185185191</v>
      </c>
      <c r="R959">
        <v>3.7549999999999993E-2</v>
      </c>
    </row>
    <row r="960" spans="1:18">
      <c r="A960" s="1">
        <v>95</v>
      </c>
      <c r="B960" s="1">
        <v>1</v>
      </c>
      <c r="C960" s="1">
        <v>1</v>
      </c>
      <c r="D960" s="1">
        <v>0</v>
      </c>
      <c r="E960" s="1">
        <v>1</v>
      </c>
      <c r="F960" s="1">
        <v>8</v>
      </c>
      <c r="G960" s="1">
        <v>6</v>
      </c>
      <c r="H960" s="1">
        <v>2</v>
      </c>
      <c r="I960" s="1">
        <v>2</v>
      </c>
      <c r="J960" s="1">
        <v>3</v>
      </c>
      <c r="K960" s="1">
        <v>3</v>
      </c>
      <c r="L960" s="1">
        <v>9</v>
      </c>
      <c r="M960" s="1">
        <v>40</v>
      </c>
      <c r="N960" s="1">
        <v>42</v>
      </c>
      <c r="O960" s="1">
        <v>49</v>
      </c>
      <c r="P960">
        <v>0.2183888888888888</v>
      </c>
      <c r="Q960">
        <v>0.27104814814814809</v>
      </c>
      <c r="R960">
        <v>3.9454545454545471E-2</v>
      </c>
    </row>
    <row r="961" spans="1:18">
      <c r="A961" s="1">
        <v>96</v>
      </c>
      <c r="B961" s="1">
        <v>1</v>
      </c>
      <c r="C961" s="1">
        <v>1</v>
      </c>
      <c r="D961" s="1">
        <v>0</v>
      </c>
      <c r="E961" s="1">
        <v>1</v>
      </c>
      <c r="F961" s="1">
        <v>9</v>
      </c>
      <c r="G961" s="1">
        <v>6</v>
      </c>
      <c r="H961" s="1">
        <v>2</v>
      </c>
      <c r="I961" s="1">
        <v>2</v>
      </c>
      <c r="J961" s="1">
        <v>3</v>
      </c>
      <c r="K961" s="1">
        <v>3</v>
      </c>
      <c r="L961" s="1">
        <v>9</v>
      </c>
      <c r="M961" s="1">
        <v>40</v>
      </c>
      <c r="N961" s="1">
        <v>42</v>
      </c>
      <c r="O961" s="1">
        <v>49</v>
      </c>
      <c r="P961">
        <v>0.13538095238095232</v>
      </c>
      <c r="Q961">
        <v>0.21704444444444437</v>
      </c>
      <c r="R961">
        <v>5.0113636363636367E-2</v>
      </c>
    </row>
    <row r="962" spans="1:18">
      <c r="A962" s="1">
        <v>97</v>
      </c>
      <c r="B962" s="1">
        <v>1</v>
      </c>
      <c r="C962" s="1">
        <v>1</v>
      </c>
      <c r="D962" s="1">
        <v>1</v>
      </c>
      <c r="E962" s="1">
        <v>1</v>
      </c>
      <c r="F962" s="1">
        <v>19</v>
      </c>
      <c r="G962" s="1">
        <v>6</v>
      </c>
      <c r="H962" s="1">
        <v>3</v>
      </c>
      <c r="I962" s="1">
        <v>2</v>
      </c>
      <c r="J962" s="1">
        <v>5</v>
      </c>
      <c r="K962" s="1">
        <v>6</v>
      </c>
      <c r="L962" s="1">
        <v>9</v>
      </c>
      <c r="M962" s="1">
        <v>40</v>
      </c>
      <c r="N962" s="1">
        <v>42</v>
      </c>
      <c r="O962" s="1">
        <v>49</v>
      </c>
      <c r="P962">
        <v>0.21451587301587299</v>
      </c>
      <c r="Q962">
        <v>0.26604074074074086</v>
      </c>
      <c r="R962">
        <v>4.4072727272727263E-2</v>
      </c>
    </row>
    <row r="963" spans="1:18">
      <c r="A963" s="1">
        <v>98</v>
      </c>
      <c r="B963" s="1">
        <v>1</v>
      </c>
      <c r="C963" s="1">
        <v>1</v>
      </c>
      <c r="D963" s="1">
        <v>1</v>
      </c>
      <c r="E963" s="1">
        <v>1</v>
      </c>
      <c r="F963" s="1">
        <v>25</v>
      </c>
      <c r="G963" s="1">
        <v>18</v>
      </c>
      <c r="H963" s="1">
        <v>3</v>
      </c>
      <c r="I963" s="1">
        <v>2</v>
      </c>
      <c r="J963" s="1">
        <v>6</v>
      </c>
      <c r="K963" s="1">
        <v>7</v>
      </c>
      <c r="L963" s="1">
        <v>9</v>
      </c>
      <c r="M963" s="1">
        <v>40</v>
      </c>
      <c r="N963" s="1">
        <v>42</v>
      </c>
      <c r="O963" s="1">
        <v>49</v>
      </c>
      <c r="P963">
        <v>0.18793650793650801</v>
      </c>
      <c r="Q963">
        <v>0.27003703703703702</v>
      </c>
      <c r="R963">
        <v>4.2799999999999991E-2</v>
      </c>
    </row>
    <row r="964" spans="1:18">
      <c r="A964" s="1">
        <v>99</v>
      </c>
      <c r="B964" s="1">
        <v>1</v>
      </c>
      <c r="C964" s="1">
        <v>1</v>
      </c>
      <c r="D964" s="1">
        <v>1</v>
      </c>
      <c r="E964" s="1">
        <v>0</v>
      </c>
      <c r="F964" s="1">
        <v>26</v>
      </c>
      <c r="G964" s="1">
        <v>18</v>
      </c>
      <c r="H964" s="1">
        <v>3</v>
      </c>
      <c r="I964" s="1">
        <v>2</v>
      </c>
      <c r="J964" s="1">
        <v>6</v>
      </c>
      <c r="K964" s="1">
        <v>7</v>
      </c>
      <c r="L964" s="1">
        <v>9</v>
      </c>
      <c r="M964" s="1">
        <v>40</v>
      </c>
      <c r="N964" s="1">
        <v>42</v>
      </c>
      <c r="O964" s="1">
        <v>49</v>
      </c>
      <c r="P964">
        <v>0.34546428571428578</v>
      </c>
      <c r="Q964">
        <v>0.40860000000000002</v>
      </c>
      <c r="R964">
        <v>5.7127272727272714E-2</v>
      </c>
    </row>
    <row r="965" spans="1:18">
      <c r="A965" s="1">
        <v>100</v>
      </c>
      <c r="B965" s="1">
        <v>1</v>
      </c>
      <c r="C965" s="1">
        <v>1</v>
      </c>
      <c r="D965" s="1">
        <v>1</v>
      </c>
      <c r="E965" s="1">
        <v>1</v>
      </c>
      <c r="F965" s="1">
        <v>22</v>
      </c>
      <c r="G965" s="1">
        <v>18</v>
      </c>
      <c r="H965" s="1">
        <v>3</v>
      </c>
      <c r="I965" s="1">
        <v>2</v>
      </c>
      <c r="J965" s="1">
        <v>6</v>
      </c>
      <c r="K965" s="1">
        <v>7</v>
      </c>
      <c r="L965" s="1">
        <v>9</v>
      </c>
      <c r="M965" s="1">
        <v>40</v>
      </c>
      <c r="N965" s="1">
        <v>42</v>
      </c>
      <c r="O965" s="1">
        <v>49</v>
      </c>
      <c r="P965">
        <v>0.22049206349206349</v>
      </c>
      <c r="Q965">
        <v>0.25502962962962961</v>
      </c>
      <c r="R965">
        <v>4.3318181818181832E-2</v>
      </c>
    </row>
    <row r="966" spans="1:18">
      <c r="A966" s="1">
        <v>101</v>
      </c>
      <c r="B966" s="1">
        <v>1</v>
      </c>
      <c r="C966" s="1">
        <v>1</v>
      </c>
      <c r="D966" s="1">
        <v>1</v>
      </c>
      <c r="E966" s="1">
        <v>1</v>
      </c>
      <c r="F966" s="1">
        <v>13</v>
      </c>
      <c r="G966" s="1">
        <v>6</v>
      </c>
      <c r="H966" s="1">
        <v>3</v>
      </c>
      <c r="I966" s="1">
        <v>2</v>
      </c>
      <c r="J966" s="1">
        <v>5</v>
      </c>
      <c r="K966" s="1">
        <v>5</v>
      </c>
      <c r="L966" s="1">
        <v>9</v>
      </c>
      <c r="M966" s="1">
        <v>40</v>
      </c>
      <c r="N966" s="1">
        <v>42</v>
      </c>
      <c r="O966" s="1">
        <v>49</v>
      </c>
      <c r="P966">
        <v>0.1567698412698412</v>
      </c>
      <c r="Q966">
        <v>0.24102592592592592</v>
      </c>
      <c r="R966">
        <v>4.9295454545454559E-2</v>
      </c>
    </row>
    <row r="967" spans="1:18">
      <c r="A967" s="1">
        <v>102</v>
      </c>
      <c r="B967" s="1">
        <v>0</v>
      </c>
      <c r="C967" s="1">
        <v>1</v>
      </c>
      <c r="D967" s="1">
        <v>0</v>
      </c>
      <c r="E967" s="1">
        <v>1</v>
      </c>
      <c r="F967" s="1">
        <v>4</v>
      </c>
      <c r="G967" s="1">
        <v>6</v>
      </c>
      <c r="H967" s="1">
        <v>1</v>
      </c>
      <c r="I967" s="1">
        <v>2</v>
      </c>
      <c r="J967" s="1">
        <v>2</v>
      </c>
      <c r="K967" s="1">
        <v>2</v>
      </c>
      <c r="L967" s="1">
        <v>9</v>
      </c>
      <c r="M967" s="1">
        <v>40</v>
      </c>
      <c r="N967" s="1">
        <v>42</v>
      </c>
      <c r="O967" s="1">
        <v>49</v>
      </c>
      <c r="P967">
        <v>0.25590476190476191</v>
      </c>
      <c r="Q967">
        <v>0.27902222222222228</v>
      </c>
      <c r="R967">
        <v>5.2509090909090922E-2</v>
      </c>
    </row>
    <row r="968" spans="1:18">
      <c r="A968" s="1">
        <v>103</v>
      </c>
      <c r="B968" s="1">
        <v>0</v>
      </c>
      <c r="C968" s="1">
        <v>1</v>
      </c>
      <c r="D968" s="1">
        <v>1</v>
      </c>
      <c r="E968" s="1">
        <v>1</v>
      </c>
      <c r="F968" s="1">
        <v>10</v>
      </c>
      <c r="G968" s="1">
        <v>6</v>
      </c>
      <c r="H968" s="1">
        <v>2</v>
      </c>
      <c r="I968" s="1">
        <v>2</v>
      </c>
      <c r="J968" s="1">
        <v>4</v>
      </c>
      <c r="K968" s="1">
        <v>4</v>
      </c>
      <c r="L968" s="1">
        <v>9</v>
      </c>
      <c r="M968" s="1">
        <v>40</v>
      </c>
      <c r="N968" s="1">
        <v>42</v>
      </c>
      <c r="O968" s="1">
        <v>49</v>
      </c>
      <c r="P968">
        <v>0.18646825396825392</v>
      </c>
      <c r="Q968">
        <v>0.18401851851851844</v>
      </c>
      <c r="R968">
        <v>3.3213636363636369E-2</v>
      </c>
    </row>
    <row r="969" spans="1:18">
      <c r="A969" s="1">
        <v>104</v>
      </c>
      <c r="B969" s="1">
        <v>0</v>
      </c>
      <c r="C969" s="1">
        <v>1</v>
      </c>
      <c r="D969" s="1">
        <v>1</v>
      </c>
      <c r="E969" s="1">
        <v>1</v>
      </c>
      <c r="F969" s="1">
        <v>12</v>
      </c>
      <c r="G969" s="1">
        <v>6</v>
      </c>
      <c r="H969" s="1">
        <v>2</v>
      </c>
      <c r="I969" s="1">
        <v>2</v>
      </c>
      <c r="J969" s="1">
        <v>4</v>
      </c>
      <c r="K969" s="1">
        <v>4</v>
      </c>
      <c r="L969" s="1">
        <v>9</v>
      </c>
      <c r="M969" s="1">
        <v>40</v>
      </c>
      <c r="N969" s="1">
        <v>42</v>
      </c>
      <c r="O969" s="1">
        <v>49</v>
      </c>
      <c r="P969">
        <v>0.32774603174603184</v>
      </c>
      <c r="Q969">
        <v>0.41101481481481494</v>
      </c>
      <c r="R969">
        <v>3.8918181818181831E-2</v>
      </c>
    </row>
    <row r="970" spans="1:18">
      <c r="A970" s="1">
        <v>105</v>
      </c>
      <c r="B970" s="1">
        <v>1</v>
      </c>
      <c r="C970" s="1">
        <v>1</v>
      </c>
      <c r="D970" s="1">
        <v>1</v>
      </c>
      <c r="E970" s="1">
        <v>1</v>
      </c>
      <c r="F970" s="1">
        <v>14</v>
      </c>
      <c r="G970" s="1">
        <v>6</v>
      </c>
      <c r="H970" s="1">
        <v>3</v>
      </c>
      <c r="I970" s="1">
        <v>2</v>
      </c>
      <c r="J970" s="1">
        <v>5</v>
      </c>
      <c r="K970" s="1">
        <v>5</v>
      </c>
      <c r="L970" s="1">
        <v>9</v>
      </c>
      <c r="M970" s="1">
        <v>40</v>
      </c>
      <c r="N970" s="1">
        <v>42</v>
      </c>
      <c r="O970" s="1">
        <v>49</v>
      </c>
      <c r="P970">
        <v>0.22116666666666657</v>
      </c>
      <c r="Q970">
        <v>0.26101111111111097</v>
      </c>
      <c r="R970">
        <v>5.5104545454545455E-2</v>
      </c>
    </row>
    <row r="971" spans="1:18">
      <c r="A971" s="1">
        <v>106</v>
      </c>
      <c r="B971" s="1">
        <v>1</v>
      </c>
      <c r="C971" s="1">
        <v>1</v>
      </c>
      <c r="D971" s="1">
        <v>1</v>
      </c>
      <c r="E971" s="1">
        <v>0</v>
      </c>
      <c r="F971" s="1">
        <v>19</v>
      </c>
      <c r="G971" s="1">
        <v>6</v>
      </c>
      <c r="H971" s="1">
        <v>3</v>
      </c>
      <c r="I971" s="1">
        <v>2</v>
      </c>
      <c r="J971" s="1">
        <v>5</v>
      </c>
      <c r="K971" s="1">
        <v>6</v>
      </c>
      <c r="L971" s="1">
        <v>9</v>
      </c>
      <c r="M971" s="1">
        <v>40</v>
      </c>
      <c r="N971" s="1">
        <v>42</v>
      </c>
      <c r="O971" s="1">
        <v>49</v>
      </c>
      <c r="P971">
        <v>0.26946825396825413</v>
      </c>
      <c r="Q971">
        <v>0.33980000000000016</v>
      </c>
      <c r="R971">
        <v>4.7072727272727259E-2</v>
      </c>
    </row>
    <row r="972" spans="1:18">
      <c r="A972" s="1">
        <v>107</v>
      </c>
      <c r="B972" s="1">
        <v>1</v>
      </c>
      <c r="C972" s="1">
        <v>1</v>
      </c>
      <c r="D972" s="1">
        <v>1</v>
      </c>
      <c r="E972" s="1">
        <v>1</v>
      </c>
      <c r="F972" s="1">
        <v>26</v>
      </c>
      <c r="G972" s="1">
        <v>18</v>
      </c>
      <c r="H972" s="1">
        <v>3</v>
      </c>
      <c r="I972" s="1">
        <v>2</v>
      </c>
      <c r="J972" s="1">
        <v>6</v>
      </c>
      <c r="K972" s="1">
        <v>7</v>
      </c>
      <c r="L972" s="1">
        <v>9</v>
      </c>
      <c r="M972" s="1">
        <v>40</v>
      </c>
      <c r="N972" s="1">
        <v>42</v>
      </c>
      <c r="O972" s="1">
        <v>49</v>
      </c>
      <c r="P972">
        <v>0.16872222222222208</v>
      </c>
      <c r="Q972">
        <v>0.22300370370370368</v>
      </c>
      <c r="R972">
        <v>5.0949999999999988E-2</v>
      </c>
    </row>
    <row r="973" spans="1:18">
      <c r="A973" s="1">
        <v>108</v>
      </c>
      <c r="B973" s="1">
        <v>1</v>
      </c>
      <c r="C973" s="1">
        <v>0</v>
      </c>
      <c r="D973" s="1">
        <v>0</v>
      </c>
      <c r="E973" s="1">
        <v>1</v>
      </c>
      <c r="F973" s="1">
        <v>2</v>
      </c>
      <c r="G973" s="1">
        <v>6</v>
      </c>
      <c r="H973" s="1">
        <v>1</v>
      </c>
      <c r="I973" s="1">
        <v>2</v>
      </c>
      <c r="J973" s="1">
        <v>1</v>
      </c>
      <c r="K973" s="1">
        <v>1</v>
      </c>
      <c r="L973" s="1">
        <v>9</v>
      </c>
      <c r="M973" s="1">
        <v>40</v>
      </c>
      <c r="N973" s="1">
        <v>42</v>
      </c>
      <c r="O973" s="1">
        <v>49</v>
      </c>
      <c r="P973">
        <v>0.215</v>
      </c>
      <c r="Q973">
        <v>0.28399999999999997</v>
      </c>
      <c r="R973">
        <v>4.4086363636363618E-2</v>
      </c>
    </row>
    <row r="974" spans="1:18">
      <c r="A974" s="1">
        <v>1</v>
      </c>
      <c r="B974" s="1">
        <v>1</v>
      </c>
      <c r="C974" s="1">
        <v>1</v>
      </c>
      <c r="D974" s="1">
        <v>1</v>
      </c>
      <c r="E974" s="1">
        <v>0</v>
      </c>
      <c r="F974" s="1">
        <v>14</v>
      </c>
      <c r="G974" s="1">
        <v>6</v>
      </c>
      <c r="H974" s="1">
        <v>3</v>
      </c>
      <c r="I974" s="1">
        <v>1</v>
      </c>
      <c r="J974" s="1">
        <v>5</v>
      </c>
      <c r="K974" s="1">
        <v>5</v>
      </c>
      <c r="L974" s="1">
        <v>10</v>
      </c>
      <c r="M974" s="1">
        <v>48</v>
      </c>
      <c r="N974" s="1">
        <v>51</v>
      </c>
      <c r="O974" s="1">
        <v>58</v>
      </c>
      <c r="P974">
        <v>0.13614618406285078</v>
      </c>
      <c r="Q974">
        <v>0.15186819172113281</v>
      </c>
      <c r="R974">
        <v>4.3829166666666641E-2</v>
      </c>
    </row>
    <row r="975" spans="1:18">
      <c r="A975" s="1">
        <v>2</v>
      </c>
      <c r="B975" s="1">
        <v>1</v>
      </c>
      <c r="C975" s="1">
        <v>1</v>
      </c>
      <c r="D975" s="1">
        <v>1</v>
      </c>
      <c r="E975" s="1">
        <v>0</v>
      </c>
      <c r="F975" s="1">
        <v>15</v>
      </c>
      <c r="G975" s="1">
        <v>6</v>
      </c>
      <c r="H975" s="1">
        <v>3</v>
      </c>
      <c r="I975" s="1">
        <v>1</v>
      </c>
      <c r="J975" s="1">
        <v>5</v>
      </c>
      <c r="K975" s="1">
        <v>5</v>
      </c>
      <c r="L975" s="1">
        <v>10</v>
      </c>
      <c r="M975" s="1">
        <v>48</v>
      </c>
      <c r="N975" s="1">
        <v>51</v>
      </c>
      <c r="O975" s="1">
        <v>58</v>
      </c>
      <c r="P975">
        <v>0.18820145903479238</v>
      </c>
      <c r="Q975">
        <v>0.20824618736383438</v>
      </c>
      <c r="R975">
        <v>4.4214166666666686E-2</v>
      </c>
    </row>
    <row r="976" spans="1:18">
      <c r="A976" s="1">
        <v>3</v>
      </c>
      <c r="B976" s="1">
        <v>1</v>
      </c>
      <c r="C976" s="1">
        <v>1</v>
      </c>
      <c r="D976" s="1">
        <v>1</v>
      </c>
      <c r="E976" s="1">
        <v>0</v>
      </c>
      <c r="F976" s="1">
        <v>13</v>
      </c>
      <c r="G976" s="1">
        <v>6</v>
      </c>
      <c r="H976" s="1">
        <v>3</v>
      </c>
      <c r="I976" s="1">
        <v>1</v>
      </c>
      <c r="J976" s="1">
        <v>5</v>
      </c>
      <c r="K976" s="1">
        <v>5</v>
      </c>
      <c r="L976" s="1">
        <v>10</v>
      </c>
      <c r="M976" s="1">
        <v>48</v>
      </c>
      <c r="N976" s="1">
        <v>51</v>
      </c>
      <c r="O976" s="1">
        <v>58</v>
      </c>
      <c r="P976">
        <v>0.20237794612794607</v>
      </c>
      <c r="Q976">
        <v>0.15972222222222221</v>
      </c>
      <c r="R976">
        <v>4.527500000000001E-2</v>
      </c>
    </row>
    <row r="977" spans="1:18">
      <c r="A977" s="1">
        <v>4</v>
      </c>
      <c r="B977" s="1">
        <v>1</v>
      </c>
      <c r="C977" s="1">
        <v>0</v>
      </c>
      <c r="D977" s="1">
        <v>0</v>
      </c>
      <c r="E977" s="1">
        <v>0</v>
      </c>
      <c r="F977" s="1">
        <v>1</v>
      </c>
      <c r="G977" s="1">
        <v>6</v>
      </c>
      <c r="H977" s="1">
        <v>1</v>
      </c>
      <c r="I977" s="1">
        <v>1</v>
      </c>
      <c r="J977" s="1">
        <v>1</v>
      </c>
      <c r="K977" s="1">
        <v>1</v>
      </c>
      <c r="L977" s="1">
        <v>10</v>
      </c>
      <c r="M977" s="1">
        <v>48</v>
      </c>
      <c r="N977" s="1">
        <v>51</v>
      </c>
      <c r="O977" s="1">
        <v>58</v>
      </c>
      <c r="P977">
        <v>0.14458473625140286</v>
      </c>
      <c r="Q977">
        <v>0.19845315904139424</v>
      </c>
      <c r="R977">
        <v>4.0779166666666665E-2</v>
      </c>
    </row>
    <row r="978" spans="1:18">
      <c r="A978" s="1">
        <v>5</v>
      </c>
      <c r="B978" s="1">
        <v>1</v>
      </c>
      <c r="C978" s="1">
        <v>1</v>
      </c>
      <c r="D978" s="1">
        <v>0</v>
      </c>
      <c r="E978" s="1">
        <v>0</v>
      </c>
      <c r="F978" s="1">
        <v>8</v>
      </c>
      <c r="G978" s="1">
        <v>6</v>
      </c>
      <c r="H978" s="1">
        <v>2</v>
      </c>
      <c r="I978" s="1">
        <v>1</v>
      </c>
      <c r="J978" s="1">
        <v>3</v>
      </c>
      <c r="K978" s="1">
        <v>3</v>
      </c>
      <c r="L978" s="1">
        <v>10</v>
      </c>
      <c r="M978" s="1">
        <v>48</v>
      </c>
      <c r="N978" s="1">
        <v>51</v>
      </c>
      <c r="O978" s="1">
        <v>58</v>
      </c>
      <c r="P978">
        <v>0.22315516273849609</v>
      </c>
      <c r="Q978">
        <v>0.24110566448801732</v>
      </c>
      <c r="R978">
        <v>4.4466666666666675E-2</v>
      </c>
    </row>
    <row r="979" spans="1:18">
      <c r="A979" s="1">
        <v>6</v>
      </c>
      <c r="B979" s="1">
        <v>1</v>
      </c>
      <c r="C979" s="1">
        <v>0</v>
      </c>
      <c r="D979" s="1">
        <v>0</v>
      </c>
      <c r="E979" s="1">
        <v>0</v>
      </c>
      <c r="F979" s="1">
        <v>2</v>
      </c>
      <c r="G979" s="1">
        <v>6</v>
      </c>
      <c r="H979" s="1">
        <v>1</v>
      </c>
      <c r="I979" s="1">
        <v>1</v>
      </c>
      <c r="J979" s="1">
        <v>1</v>
      </c>
      <c r="K979" s="1">
        <v>1</v>
      </c>
      <c r="L979" s="1">
        <v>10</v>
      </c>
      <c r="M979" s="1">
        <v>48</v>
      </c>
      <c r="N979" s="1">
        <v>51</v>
      </c>
      <c r="O979" s="1">
        <v>58</v>
      </c>
      <c r="P979">
        <v>0.14490740740740746</v>
      </c>
      <c r="Q979">
        <v>0.1670915032679739</v>
      </c>
      <c r="R979">
        <v>4.4037500000000007E-2</v>
      </c>
    </row>
    <row r="980" spans="1:18">
      <c r="A980" s="1">
        <v>7</v>
      </c>
      <c r="B980" s="1">
        <v>1</v>
      </c>
      <c r="C980" s="1">
        <v>1</v>
      </c>
      <c r="D980" s="1">
        <v>1</v>
      </c>
      <c r="E980" s="1">
        <v>0</v>
      </c>
      <c r="F980" s="1">
        <v>24</v>
      </c>
      <c r="G980" s="1">
        <v>18</v>
      </c>
      <c r="H980" s="1">
        <v>3</v>
      </c>
      <c r="I980" s="1">
        <v>1</v>
      </c>
      <c r="J980" s="1">
        <v>6</v>
      </c>
      <c r="K980" s="1">
        <v>7</v>
      </c>
      <c r="L980" s="1">
        <v>10</v>
      </c>
      <c r="M980" s="1">
        <v>48</v>
      </c>
      <c r="N980" s="1">
        <v>51</v>
      </c>
      <c r="O980" s="1">
        <v>58</v>
      </c>
      <c r="P980">
        <v>0.16135662177328866</v>
      </c>
      <c r="Q980">
        <v>0.1793518518518519</v>
      </c>
      <c r="R980">
        <v>3.783333333333333E-2</v>
      </c>
    </row>
    <row r="981" spans="1:18">
      <c r="A981" s="1">
        <v>8</v>
      </c>
      <c r="B981" s="1">
        <v>1</v>
      </c>
      <c r="C981" s="1">
        <v>1</v>
      </c>
      <c r="D981" s="1">
        <v>1</v>
      </c>
      <c r="E981" s="1">
        <v>0</v>
      </c>
      <c r="F981" s="1">
        <v>26</v>
      </c>
      <c r="G981" s="1">
        <v>18</v>
      </c>
      <c r="H981" s="1">
        <v>3</v>
      </c>
      <c r="I981" s="1">
        <v>1</v>
      </c>
      <c r="J981" s="1">
        <v>6</v>
      </c>
      <c r="K981" s="1">
        <v>7</v>
      </c>
      <c r="L981" s="1">
        <v>10</v>
      </c>
      <c r="M981" s="1">
        <v>48</v>
      </c>
      <c r="N981" s="1">
        <v>51</v>
      </c>
      <c r="O981" s="1">
        <v>58</v>
      </c>
      <c r="P981">
        <v>0.19901795735129069</v>
      </c>
      <c r="Q981">
        <v>0.19847494553376918</v>
      </c>
      <c r="R981">
        <v>3.607083333333333E-2</v>
      </c>
    </row>
    <row r="982" spans="1:18">
      <c r="A982" s="1">
        <v>9</v>
      </c>
      <c r="B982" s="1">
        <v>1</v>
      </c>
      <c r="C982" s="1">
        <v>1</v>
      </c>
      <c r="D982" s="1">
        <v>1</v>
      </c>
      <c r="E982" s="1">
        <v>0</v>
      </c>
      <c r="F982" s="1">
        <v>21</v>
      </c>
      <c r="G982" s="1">
        <v>18</v>
      </c>
      <c r="H982" s="1">
        <v>3</v>
      </c>
      <c r="I982" s="1">
        <v>1</v>
      </c>
      <c r="J982" s="1">
        <v>6</v>
      </c>
      <c r="K982" s="1">
        <v>7</v>
      </c>
      <c r="L982" s="1">
        <v>10</v>
      </c>
      <c r="M982" s="1">
        <v>48</v>
      </c>
      <c r="N982" s="1">
        <v>51</v>
      </c>
      <c r="O982" s="1">
        <v>58</v>
      </c>
      <c r="P982">
        <v>0.18667929292929286</v>
      </c>
      <c r="Q982">
        <v>0.23034313725490188</v>
      </c>
      <c r="R982">
        <v>4.3408333333333347E-2</v>
      </c>
    </row>
    <row r="983" spans="1:18">
      <c r="A983" s="1">
        <v>10</v>
      </c>
      <c r="B983" s="1">
        <v>1</v>
      </c>
      <c r="C983" s="1">
        <v>1</v>
      </c>
      <c r="D983" s="1">
        <v>1</v>
      </c>
      <c r="E983" s="1">
        <v>0</v>
      </c>
      <c r="F983" s="1">
        <v>25</v>
      </c>
      <c r="G983" s="1">
        <v>18</v>
      </c>
      <c r="H983" s="1">
        <v>3</v>
      </c>
      <c r="I983" s="1">
        <v>1</v>
      </c>
      <c r="J983" s="1">
        <v>6</v>
      </c>
      <c r="K983" s="1">
        <v>7</v>
      </c>
      <c r="L983" s="1">
        <v>10</v>
      </c>
      <c r="M983" s="1">
        <v>48</v>
      </c>
      <c r="N983" s="1">
        <v>51</v>
      </c>
      <c r="O983" s="1">
        <v>58</v>
      </c>
      <c r="P983">
        <v>0.32434062850729523</v>
      </c>
      <c r="Q983">
        <v>0.28181917211328983</v>
      </c>
      <c r="R983">
        <v>4.1266666666666653E-2</v>
      </c>
    </row>
    <row r="984" spans="1:18">
      <c r="A984" s="1">
        <v>11</v>
      </c>
      <c r="B984" s="1">
        <v>1</v>
      </c>
      <c r="C984" s="1">
        <v>1</v>
      </c>
      <c r="D984" s="1">
        <v>1</v>
      </c>
      <c r="E984" s="1">
        <v>0</v>
      </c>
      <c r="F984" s="1">
        <v>20</v>
      </c>
      <c r="G984" s="1">
        <v>18</v>
      </c>
      <c r="H984" s="1">
        <v>3</v>
      </c>
      <c r="I984" s="1">
        <v>1</v>
      </c>
      <c r="J984" s="1">
        <v>6</v>
      </c>
      <c r="K984" s="1">
        <v>7</v>
      </c>
      <c r="L984" s="1">
        <v>10</v>
      </c>
      <c r="M984" s="1">
        <v>48</v>
      </c>
      <c r="N984" s="1">
        <v>51</v>
      </c>
      <c r="O984" s="1">
        <v>58</v>
      </c>
      <c r="P984">
        <v>0.13775953984287323</v>
      </c>
      <c r="Q984">
        <v>0.12545206971677564</v>
      </c>
      <c r="R984">
        <v>5.0858333333333339E-2</v>
      </c>
    </row>
    <row r="985" spans="1:18">
      <c r="A985" s="1">
        <v>12</v>
      </c>
      <c r="B985" s="1">
        <v>1</v>
      </c>
      <c r="C985" s="1">
        <v>1</v>
      </c>
      <c r="D985" s="1">
        <v>1</v>
      </c>
      <c r="E985" s="1">
        <v>1</v>
      </c>
      <c r="F985" s="1">
        <v>18</v>
      </c>
      <c r="G985" s="1">
        <v>6</v>
      </c>
      <c r="H985" s="1">
        <v>3</v>
      </c>
      <c r="I985" s="1">
        <v>1</v>
      </c>
      <c r="J985" s="1">
        <v>5</v>
      </c>
      <c r="K985" s="1">
        <v>6</v>
      </c>
      <c r="L985" s="1">
        <v>10</v>
      </c>
      <c r="M985" s="1">
        <v>48</v>
      </c>
      <c r="N985" s="1">
        <v>51</v>
      </c>
      <c r="O985" s="1">
        <v>58</v>
      </c>
      <c r="P985">
        <v>0.10358585858585859</v>
      </c>
      <c r="Q985">
        <v>0.10562091503267979</v>
      </c>
      <c r="R985">
        <v>2.9249999999999998E-2</v>
      </c>
    </row>
    <row r="986" spans="1:18">
      <c r="A986" s="1">
        <v>13</v>
      </c>
      <c r="B986" s="1">
        <v>1</v>
      </c>
      <c r="C986" s="1">
        <v>1</v>
      </c>
      <c r="D986" s="1">
        <v>1</v>
      </c>
      <c r="E986" s="1">
        <v>1</v>
      </c>
      <c r="F986" s="1">
        <v>25</v>
      </c>
      <c r="G986" s="1">
        <v>18</v>
      </c>
      <c r="H986" s="1">
        <v>3</v>
      </c>
      <c r="I986" s="1">
        <v>1</v>
      </c>
      <c r="J986" s="1">
        <v>6</v>
      </c>
      <c r="K986" s="1">
        <v>7</v>
      </c>
      <c r="L986" s="1">
        <v>10</v>
      </c>
      <c r="M986" s="1">
        <v>48</v>
      </c>
      <c r="N986" s="1">
        <v>51</v>
      </c>
      <c r="O986" s="1">
        <v>58</v>
      </c>
      <c r="P986">
        <v>0.12678872053872059</v>
      </c>
      <c r="Q986">
        <v>0.14847494553376911</v>
      </c>
      <c r="R986">
        <v>3.6012499999999982E-2</v>
      </c>
    </row>
    <row r="987" spans="1:18">
      <c r="A987" s="1">
        <v>14</v>
      </c>
      <c r="B987" s="1">
        <v>1</v>
      </c>
      <c r="C987" s="1">
        <v>1</v>
      </c>
      <c r="D987" s="1">
        <v>1</v>
      </c>
      <c r="E987" s="1">
        <v>1</v>
      </c>
      <c r="F987" s="1">
        <v>14</v>
      </c>
      <c r="G987" s="1">
        <v>6</v>
      </c>
      <c r="H987" s="1">
        <v>3</v>
      </c>
      <c r="I987" s="1">
        <v>1</v>
      </c>
      <c r="J987" s="1">
        <v>5</v>
      </c>
      <c r="K987" s="1">
        <v>5</v>
      </c>
      <c r="L987" s="1">
        <v>10</v>
      </c>
      <c r="M987" s="1">
        <v>48</v>
      </c>
      <c r="N987" s="1">
        <v>51</v>
      </c>
      <c r="O987" s="1">
        <v>58</v>
      </c>
      <c r="P987">
        <v>0.13105218855218853</v>
      </c>
      <c r="Q987">
        <v>0.12662309368191726</v>
      </c>
      <c r="R987">
        <v>3.9049999999999994E-2</v>
      </c>
    </row>
    <row r="988" spans="1:18">
      <c r="A988" s="1">
        <v>15</v>
      </c>
      <c r="B988" s="1">
        <v>1</v>
      </c>
      <c r="C988" s="1">
        <v>1</v>
      </c>
      <c r="D988" s="1">
        <v>1</v>
      </c>
      <c r="E988" s="1">
        <v>0</v>
      </c>
      <c r="F988" s="1">
        <v>18</v>
      </c>
      <c r="G988" s="1">
        <v>6</v>
      </c>
      <c r="H988" s="1">
        <v>3</v>
      </c>
      <c r="I988" s="1">
        <v>1</v>
      </c>
      <c r="J988" s="1">
        <v>5</v>
      </c>
      <c r="K988" s="1">
        <v>6</v>
      </c>
      <c r="L988" s="1">
        <v>10</v>
      </c>
      <c r="M988" s="1">
        <v>48</v>
      </c>
      <c r="N988" s="1">
        <v>51</v>
      </c>
      <c r="O988" s="1">
        <v>58</v>
      </c>
      <c r="P988">
        <v>0.14598063973063974</v>
      </c>
      <c r="Q988">
        <v>0.17057189542483661</v>
      </c>
      <c r="R988">
        <v>3.9183333333333327E-2</v>
      </c>
    </row>
    <row r="989" spans="1:18">
      <c r="A989" s="1">
        <v>16</v>
      </c>
      <c r="B989" s="1">
        <v>1</v>
      </c>
      <c r="C989" s="1">
        <v>1</v>
      </c>
      <c r="D989" s="1">
        <v>1</v>
      </c>
      <c r="E989" s="1">
        <v>1</v>
      </c>
      <c r="F989" s="1">
        <v>21</v>
      </c>
      <c r="G989" s="1">
        <v>18</v>
      </c>
      <c r="H989" s="1">
        <v>3</v>
      </c>
      <c r="I989" s="1">
        <v>1</v>
      </c>
      <c r="J989" s="1">
        <v>6</v>
      </c>
      <c r="K989" s="1">
        <v>7</v>
      </c>
      <c r="L989" s="1">
        <v>10</v>
      </c>
      <c r="M989" s="1">
        <v>48</v>
      </c>
      <c r="N989" s="1">
        <v>51</v>
      </c>
      <c r="O989" s="1">
        <v>58</v>
      </c>
      <c r="P989">
        <v>0.15321548821548825</v>
      </c>
      <c r="Q989">
        <v>0.14468409586056649</v>
      </c>
      <c r="R989">
        <v>3.3450000000000001E-2</v>
      </c>
    </row>
    <row r="990" spans="1:18">
      <c r="A990" s="1">
        <v>17</v>
      </c>
      <c r="B990" s="1">
        <v>1</v>
      </c>
      <c r="C990" s="1">
        <v>0</v>
      </c>
      <c r="D990" s="1">
        <v>0</v>
      </c>
      <c r="E990" s="1">
        <v>1</v>
      </c>
      <c r="F990" s="1">
        <v>1</v>
      </c>
      <c r="G990" s="1">
        <v>6</v>
      </c>
      <c r="H990" s="1">
        <v>1</v>
      </c>
      <c r="I990" s="1">
        <v>1</v>
      </c>
      <c r="J990" s="1">
        <v>1</v>
      </c>
      <c r="K990" s="1">
        <v>1</v>
      </c>
      <c r="L990" s="1">
        <v>10</v>
      </c>
      <c r="M990" s="1">
        <v>48</v>
      </c>
      <c r="N990" s="1">
        <v>51</v>
      </c>
      <c r="O990" s="1">
        <v>58</v>
      </c>
      <c r="P990">
        <v>4.3842592592592572E-2</v>
      </c>
      <c r="Q990">
        <v>4.636165577342051E-2</v>
      </c>
      <c r="R990">
        <v>3.8620833333333347E-2</v>
      </c>
    </row>
    <row r="991" spans="1:18">
      <c r="A991" s="1">
        <v>18</v>
      </c>
      <c r="B991" s="1">
        <v>1</v>
      </c>
      <c r="C991" s="1">
        <v>1</v>
      </c>
      <c r="D991" s="1">
        <v>1</v>
      </c>
      <c r="E991" s="1">
        <v>0</v>
      </c>
      <c r="F991" s="1">
        <v>22</v>
      </c>
      <c r="G991" s="1">
        <v>18</v>
      </c>
      <c r="H991" s="1">
        <v>3</v>
      </c>
      <c r="I991" s="1">
        <v>1</v>
      </c>
      <c r="J991" s="1">
        <v>6</v>
      </c>
      <c r="K991" s="1">
        <v>7</v>
      </c>
      <c r="L991" s="1">
        <v>10</v>
      </c>
      <c r="M991" s="1">
        <v>48</v>
      </c>
      <c r="N991" s="1">
        <v>51</v>
      </c>
      <c r="O991" s="1">
        <v>58</v>
      </c>
      <c r="P991">
        <v>0.17108585858585842</v>
      </c>
      <c r="Q991">
        <v>0.20735294117647046</v>
      </c>
      <c r="R991">
        <v>4.5474999999999988E-2</v>
      </c>
    </row>
    <row r="992" spans="1:18">
      <c r="A992" s="1">
        <v>19</v>
      </c>
      <c r="B992" s="1">
        <v>1</v>
      </c>
      <c r="C992" s="1">
        <v>1</v>
      </c>
      <c r="D992" s="1">
        <v>1</v>
      </c>
      <c r="E992" s="1">
        <v>1</v>
      </c>
      <c r="F992" s="1">
        <v>26</v>
      </c>
      <c r="G992" s="1">
        <v>18</v>
      </c>
      <c r="H992" s="1">
        <v>3</v>
      </c>
      <c r="I992" s="1">
        <v>1</v>
      </c>
      <c r="J992" s="1">
        <v>6</v>
      </c>
      <c r="K992" s="1">
        <v>7</v>
      </c>
      <c r="L992" s="1">
        <v>10</v>
      </c>
      <c r="M992" s="1">
        <v>48</v>
      </c>
      <c r="N992" s="1">
        <v>51</v>
      </c>
      <c r="O992" s="1">
        <v>58</v>
      </c>
      <c r="P992">
        <v>0.13267255892255897</v>
      </c>
      <c r="Q992">
        <v>0.15952069716775605</v>
      </c>
      <c r="R992">
        <v>4.2070833333333314E-2</v>
      </c>
    </row>
    <row r="993" spans="1:18">
      <c r="A993" s="1">
        <v>20</v>
      </c>
      <c r="B993" s="1">
        <v>1</v>
      </c>
      <c r="C993" s="1">
        <v>1</v>
      </c>
      <c r="D993" s="1">
        <v>1</v>
      </c>
      <c r="E993" s="1">
        <v>0</v>
      </c>
      <c r="F993" s="1">
        <v>17</v>
      </c>
      <c r="G993" s="1">
        <v>6</v>
      </c>
      <c r="H993" s="1">
        <v>3</v>
      </c>
      <c r="I993" s="1">
        <v>1</v>
      </c>
      <c r="J993" s="1">
        <v>5</v>
      </c>
      <c r="K993" s="1">
        <v>6</v>
      </c>
      <c r="L993" s="1">
        <v>10</v>
      </c>
      <c r="M993" s="1">
        <v>48</v>
      </c>
      <c r="N993" s="1">
        <v>51</v>
      </c>
      <c r="O993" s="1">
        <v>58</v>
      </c>
      <c r="P993">
        <v>0.17671156004489333</v>
      </c>
      <c r="Q993">
        <v>0.20932461873638333</v>
      </c>
      <c r="R993">
        <v>3.8775000000000004E-2</v>
      </c>
    </row>
    <row r="994" spans="1:18">
      <c r="A994" s="1">
        <v>21</v>
      </c>
      <c r="B994" s="1">
        <v>1</v>
      </c>
      <c r="C994" s="1">
        <v>1</v>
      </c>
      <c r="D994" s="1">
        <v>1</v>
      </c>
      <c r="E994" s="1">
        <v>0</v>
      </c>
      <c r="F994" s="1">
        <v>19</v>
      </c>
      <c r="G994" s="1">
        <v>6</v>
      </c>
      <c r="H994" s="1">
        <v>3</v>
      </c>
      <c r="I994" s="1">
        <v>1</v>
      </c>
      <c r="J994" s="1">
        <v>5</v>
      </c>
      <c r="K994" s="1">
        <v>6</v>
      </c>
      <c r="L994" s="1">
        <v>10</v>
      </c>
      <c r="M994" s="1">
        <v>48</v>
      </c>
      <c r="N994" s="1">
        <v>51</v>
      </c>
      <c r="O994" s="1">
        <v>58</v>
      </c>
      <c r="P994">
        <v>0.12422138047138052</v>
      </c>
      <c r="Q994">
        <v>0.1451143790849673</v>
      </c>
      <c r="R994">
        <v>3.9341666666666664E-2</v>
      </c>
    </row>
    <row r="995" spans="1:18">
      <c r="A995" s="1">
        <v>22</v>
      </c>
      <c r="B995" s="1">
        <v>1</v>
      </c>
      <c r="C995" s="1">
        <v>0</v>
      </c>
      <c r="D995" s="1">
        <v>0</v>
      </c>
      <c r="E995" s="1">
        <v>0</v>
      </c>
      <c r="F995" s="1">
        <v>3</v>
      </c>
      <c r="G995" s="1">
        <v>6</v>
      </c>
      <c r="H995" s="1">
        <v>1</v>
      </c>
      <c r="I995" s="1">
        <v>1</v>
      </c>
      <c r="J995" s="1">
        <v>1</v>
      </c>
      <c r="K995" s="1">
        <v>1</v>
      </c>
      <c r="L995" s="1">
        <v>10</v>
      </c>
      <c r="M995" s="1">
        <v>48</v>
      </c>
      <c r="N995" s="1">
        <v>51</v>
      </c>
      <c r="O995" s="1">
        <v>58</v>
      </c>
      <c r="P995">
        <v>6.0367564534231179E-2</v>
      </c>
      <c r="Q995">
        <v>0.1054139433551199</v>
      </c>
      <c r="R995">
        <v>4.7733333333333329E-2</v>
      </c>
    </row>
    <row r="996" spans="1:18">
      <c r="A996" s="1">
        <v>23</v>
      </c>
      <c r="B996" s="1">
        <v>1</v>
      </c>
      <c r="C996" s="1">
        <v>1</v>
      </c>
      <c r="D996" s="1">
        <v>1</v>
      </c>
      <c r="E996" s="1">
        <v>1</v>
      </c>
      <c r="F996" s="1">
        <v>24</v>
      </c>
      <c r="G996" s="1">
        <v>18</v>
      </c>
      <c r="H996" s="1">
        <v>3</v>
      </c>
      <c r="I996" s="1">
        <v>1</v>
      </c>
      <c r="J996" s="1">
        <v>6</v>
      </c>
      <c r="K996" s="1">
        <v>7</v>
      </c>
      <c r="L996" s="1">
        <v>10</v>
      </c>
      <c r="M996" s="1">
        <v>48</v>
      </c>
      <c r="N996" s="1">
        <v>51</v>
      </c>
      <c r="O996" s="1">
        <v>58</v>
      </c>
      <c r="P996">
        <v>0.20502946127946126</v>
      </c>
      <c r="Q996">
        <v>0.1770152505446623</v>
      </c>
      <c r="R996">
        <v>4.0562500000000022E-2</v>
      </c>
    </row>
    <row r="997" spans="1:18">
      <c r="A997" s="1">
        <v>24</v>
      </c>
      <c r="B997" s="1">
        <v>1</v>
      </c>
      <c r="C997" s="1">
        <v>1</v>
      </c>
      <c r="D997" s="1">
        <v>1</v>
      </c>
      <c r="E997" s="1">
        <v>0</v>
      </c>
      <c r="F997" s="1">
        <v>16</v>
      </c>
      <c r="G997" s="1">
        <v>6</v>
      </c>
      <c r="H997" s="1">
        <v>3</v>
      </c>
      <c r="I997" s="1">
        <v>1</v>
      </c>
      <c r="J997" s="1">
        <v>5</v>
      </c>
      <c r="K997" s="1">
        <v>6</v>
      </c>
      <c r="L997" s="1">
        <v>10</v>
      </c>
      <c r="M997" s="1">
        <v>48</v>
      </c>
      <c r="N997" s="1">
        <v>51</v>
      </c>
      <c r="O997" s="1">
        <v>58</v>
      </c>
      <c r="P997">
        <v>0.18493265993265998</v>
      </c>
      <c r="Q997">
        <v>0.24267973856209143</v>
      </c>
      <c r="R997">
        <v>4.2754166666666669E-2</v>
      </c>
    </row>
    <row r="998" spans="1:18">
      <c r="A998" s="1">
        <v>25</v>
      </c>
      <c r="B998" s="1">
        <v>0</v>
      </c>
      <c r="C998" s="1">
        <v>1</v>
      </c>
      <c r="D998" s="1">
        <v>1</v>
      </c>
      <c r="E998" s="1">
        <v>0</v>
      </c>
      <c r="F998" s="1">
        <v>10</v>
      </c>
      <c r="G998" s="1">
        <v>6</v>
      </c>
      <c r="H998" s="1">
        <v>2</v>
      </c>
      <c r="I998" s="1">
        <v>1</v>
      </c>
      <c r="J998" s="1">
        <v>4</v>
      </c>
      <c r="K998" s="1">
        <v>4</v>
      </c>
      <c r="L998" s="1">
        <v>10</v>
      </c>
      <c r="M998" s="1">
        <v>48</v>
      </c>
      <c r="N998" s="1">
        <v>51</v>
      </c>
      <c r="O998" s="1">
        <v>58</v>
      </c>
      <c r="P998">
        <v>9.6078843995510643E-2</v>
      </c>
      <c r="Q998">
        <v>0.11376361655773422</v>
      </c>
      <c r="R998">
        <v>3.5091666666666667E-2</v>
      </c>
    </row>
    <row r="999" spans="1:18">
      <c r="A999" s="1">
        <v>26</v>
      </c>
      <c r="B999" s="1">
        <v>0</v>
      </c>
      <c r="C999" s="1">
        <v>1</v>
      </c>
      <c r="D999" s="1">
        <v>0</v>
      </c>
      <c r="E999" s="1">
        <v>0</v>
      </c>
      <c r="F999" s="1">
        <v>6</v>
      </c>
      <c r="G999" s="1">
        <v>6</v>
      </c>
      <c r="H999" s="1">
        <v>1</v>
      </c>
      <c r="I999" s="1">
        <v>1</v>
      </c>
      <c r="J999" s="1">
        <v>2</v>
      </c>
      <c r="K999" s="1">
        <v>2</v>
      </c>
      <c r="L999" s="1">
        <v>10</v>
      </c>
      <c r="M999" s="1">
        <v>48</v>
      </c>
      <c r="N999" s="1">
        <v>51</v>
      </c>
      <c r="O999" s="1">
        <v>58</v>
      </c>
      <c r="P999">
        <v>0.14131593714927043</v>
      </c>
      <c r="Q999">
        <v>0.14955337690631806</v>
      </c>
      <c r="R999">
        <v>4.7525000000000005E-2</v>
      </c>
    </row>
    <row r="1000" spans="1:18">
      <c r="A1000" s="1">
        <v>27</v>
      </c>
      <c r="B1000" s="1">
        <v>1</v>
      </c>
      <c r="C1000" s="1">
        <v>1</v>
      </c>
      <c r="D1000" s="1">
        <v>0</v>
      </c>
      <c r="E1000" s="1">
        <v>0</v>
      </c>
      <c r="F1000" s="1">
        <v>9</v>
      </c>
      <c r="G1000" s="1">
        <v>6</v>
      </c>
      <c r="H1000" s="1">
        <v>2</v>
      </c>
      <c r="I1000" s="1">
        <v>1</v>
      </c>
      <c r="J1000" s="1">
        <v>3</v>
      </c>
      <c r="K1000" s="1">
        <v>3</v>
      </c>
      <c r="L1000" s="1">
        <v>10</v>
      </c>
      <c r="M1000" s="1">
        <v>48</v>
      </c>
      <c r="N1000" s="1">
        <v>51</v>
      </c>
      <c r="O1000" s="1">
        <v>58</v>
      </c>
      <c r="P1000">
        <v>0.16306818181818181</v>
      </c>
      <c r="Q1000">
        <v>0.18632352941176472</v>
      </c>
      <c r="R1000">
        <v>3.5295833333333339E-2</v>
      </c>
    </row>
    <row r="1001" spans="1:18">
      <c r="A1001" s="1">
        <v>28</v>
      </c>
      <c r="B1001" s="1">
        <v>1</v>
      </c>
      <c r="C1001" s="1">
        <v>1</v>
      </c>
      <c r="D1001" s="1">
        <v>0</v>
      </c>
      <c r="E1001" s="1">
        <v>0</v>
      </c>
      <c r="F1001" s="1">
        <v>7</v>
      </c>
      <c r="G1001" s="1">
        <v>6</v>
      </c>
      <c r="H1001" s="1">
        <v>2</v>
      </c>
      <c r="I1001" s="1">
        <v>1</v>
      </c>
      <c r="J1001" s="1">
        <v>3</v>
      </c>
      <c r="K1001" s="1">
        <v>3</v>
      </c>
      <c r="L1001" s="1">
        <v>10</v>
      </c>
      <c r="M1001" s="1">
        <v>48</v>
      </c>
      <c r="N1001" s="1">
        <v>51</v>
      </c>
      <c r="O1001" s="1">
        <v>58</v>
      </c>
      <c r="P1001">
        <v>0.1817901234567901</v>
      </c>
      <c r="Q1001">
        <v>0.163289760348584</v>
      </c>
      <c r="R1001">
        <v>5.1170833333333332E-2</v>
      </c>
    </row>
    <row r="1002" spans="1:18">
      <c r="A1002" s="1">
        <v>29</v>
      </c>
      <c r="B1002" s="1">
        <v>1</v>
      </c>
      <c r="C1002" s="1">
        <v>1</v>
      </c>
      <c r="D1002" s="1">
        <v>1</v>
      </c>
      <c r="E1002" s="1">
        <v>0</v>
      </c>
      <c r="F1002" s="1">
        <v>23</v>
      </c>
      <c r="G1002" s="1">
        <v>18</v>
      </c>
      <c r="H1002" s="1">
        <v>3</v>
      </c>
      <c r="I1002" s="1">
        <v>1</v>
      </c>
      <c r="J1002" s="1">
        <v>6</v>
      </c>
      <c r="K1002" s="1">
        <v>7</v>
      </c>
      <c r="L1002" s="1">
        <v>10</v>
      </c>
      <c r="M1002" s="1">
        <v>48</v>
      </c>
      <c r="N1002" s="1">
        <v>51</v>
      </c>
      <c r="O1002" s="1">
        <v>58</v>
      </c>
      <c r="P1002">
        <v>0.16187570145903485</v>
      </c>
      <c r="Q1002">
        <v>0.17162854030501096</v>
      </c>
      <c r="R1002">
        <v>3.6358333333333347E-2</v>
      </c>
    </row>
    <row r="1003" spans="1:18">
      <c r="A1003" s="1">
        <v>30</v>
      </c>
      <c r="B1003" s="1">
        <v>0</v>
      </c>
      <c r="C1003" s="1">
        <v>1</v>
      </c>
      <c r="D1003" s="1">
        <v>0</v>
      </c>
      <c r="E1003" s="1">
        <v>0</v>
      </c>
      <c r="F1003" s="1">
        <v>4</v>
      </c>
      <c r="G1003" s="1">
        <v>6</v>
      </c>
      <c r="H1003" s="1">
        <v>1</v>
      </c>
      <c r="I1003" s="1">
        <v>1</v>
      </c>
      <c r="J1003" s="1">
        <v>2</v>
      </c>
      <c r="K1003" s="1">
        <v>2</v>
      </c>
      <c r="L1003" s="1">
        <v>10</v>
      </c>
      <c r="M1003" s="1">
        <v>48</v>
      </c>
      <c r="N1003" s="1">
        <v>51</v>
      </c>
      <c r="O1003" s="1">
        <v>58</v>
      </c>
      <c r="P1003">
        <v>0.10105218855218862</v>
      </c>
      <c r="Q1003">
        <v>0.10153594771241822</v>
      </c>
      <c r="R1003">
        <v>4.205833333333333E-2</v>
      </c>
    </row>
    <row r="1004" spans="1:18">
      <c r="A1004" s="1">
        <v>31</v>
      </c>
      <c r="B1004" s="1">
        <v>1</v>
      </c>
      <c r="C1004" s="1">
        <v>0</v>
      </c>
      <c r="D1004" s="1">
        <v>0</v>
      </c>
      <c r="E1004" s="1">
        <v>1</v>
      </c>
      <c r="F1004" s="1">
        <v>3</v>
      </c>
      <c r="G1004" s="1">
        <v>6</v>
      </c>
      <c r="H1004" s="1">
        <v>1</v>
      </c>
      <c r="I1004" s="1">
        <v>1</v>
      </c>
      <c r="J1004" s="1">
        <v>1</v>
      </c>
      <c r="K1004" s="1">
        <v>1</v>
      </c>
      <c r="L1004" s="1">
        <v>10</v>
      </c>
      <c r="M1004" s="1">
        <v>48</v>
      </c>
      <c r="N1004" s="1">
        <v>51</v>
      </c>
      <c r="O1004" s="1">
        <v>58</v>
      </c>
      <c r="P1004">
        <v>0.10277356902356899</v>
      </c>
      <c r="Q1004">
        <v>0.11396514161220038</v>
      </c>
      <c r="R1004">
        <v>4.5791666666666675E-2</v>
      </c>
    </row>
    <row r="1005" spans="1:18">
      <c r="A1005" s="1">
        <v>32</v>
      </c>
      <c r="B1005" s="1">
        <v>1</v>
      </c>
      <c r="C1005" s="1">
        <v>1</v>
      </c>
      <c r="D1005" s="1">
        <v>1</v>
      </c>
      <c r="E1005" s="1">
        <v>1</v>
      </c>
      <c r="F1005" s="1">
        <v>13</v>
      </c>
      <c r="G1005" s="1">
        <v>6</v>
      </c>
      <c r="H1005" s="1">
        <v>3</v>
      </c>
      <c r="I1005" s="1">
        <v>1</v>
      </c>
      <c r="J1005" s="1">
        <v>5</v>
      </c>
      <c r="K1005" s="1">
        <v>5</v>
      </c>
      <c r="L1005" s="1">
        <v>10</v>
      </c>
      <c r="M1005" s="1">
        <v>48</v>
      </c>
      <c r="N1005" s="1">
        <v>51</v>
      </c>
      <c r="O1005" s="1">
        <v>58</v>
      </c>
      <c r="P1005">
        <v>0.11840067340067333</v>
      </c>
      <c r="Q1005">
        <v>0.12740740740740739</v>
      </c>
      <c r="R1005">
        <v>4.4716666666666662E-2</v>
      </c>
    </row>
    <row r="1006" spans="1:18">
      <c r="A1006" s="1">
        <v>33</v>
      </c>
      <c r="B1006" s="1">
        <v>0</v>
      </c>
      <c r="C1006" s="1">
        <v>1</v>
      </c>
      <c r="D1006" s="1">
        <v>1</v>
      </c>
      <c r="E1006" s="1">
        <v>0</v>
      </c>
      <c r="F1006" s="1">
        <v>12</v>
      </c>
      <c r="G1006" s="1">
        <v>6</v>
      </c>
      <c r="H1006" s="1">
        <v>2</v>
      </c>
      <c r="I1006" s="1">
        <v>1</v>
      </c>
      <c r="J1006" s="1">
        <v>4</v>
      </c>
      <c r="K1006" s="1">
        <v>4</v>
      </c>
      <c r="L1006" s="1">
        <v>10</v>
      </c>
      <c r="M1006" s="1">
        <v>48</v>
      </c>
      <c r="N1006" s="1">
        <v>51</v>
      </c>
      <c r="O1006" s="1">
        <v>58</v>
      </c>
      <c r="P1006">
        <v>0.15570286195286201</v>
      </c>
      <c r="Q1006">
        <v>0.1647875816993464</v>
      </c>
      <c r="R1006">
        <v>3.5450000000000002E-2</v>
      </c>
    </row>
    <row r="1007" spans="1:18">
      <c r="A1007" s="1">
        <v>34</v>
      </c>
      <c r="B1007" s="1">
        <v>0</v>
      </c>
      <c r="C1007" s="1">
        <v>1</v>
      </c>
      <c r="D1007" s="1">
        <v>1</v>
      </c>
      <c r="E1007" s="1">
        <v>1</v>
      </c>
      <c r="F1007" s="1">
        <v>10</v>
      </c>
      <c r="G1007" s="1">
        <v>6</v>
      </c>
      <c r="H1007" s="1">
        <v>2</v>
      </c>
      <c r="I1007" s="1">
        <v>1</v>
      </c>
      <c r="J1007" s="1">
        <v>4</v>
      </c>
      <c r="K1007" s="1">
        <v>4</v>
      </c>
      <c r="L1007" s="1">
        <v>10</v>
      </c>
      <c r="M1007" s="1">
        <v>48</v>
      </c>
      <c r="N1007" s="1">
        <v>51</v>
      </c>
      <c r="O1007" s="1">
        <v>58</v>
      </c>
      <c r="P1007">
        <v>0.10647306397306396</v>
      </c>
      <c r="Q1007">
        <v>0.10331154684095867</v>
      </c>
      <c r="R1007">
        <v>4.0704166666666673E-2</v>
      </c>
    </row>
    <row r="1008" spans="1:18">
      <c r="A1008" s="1">
        <v>35</v>
      </c>
      <c r="B1008" s="1">
        <v>1</v>
      </c>
      <c r="C1008" s="1">
        <v>1</v>
      </c>
      <c r="D1008" s="1">
        <v>0</v>
      </c>
      <c r="E1008" s="1">
        <v>1</v>
      </c>
      <c r="F1008" s="1">
        <v>8</v>
      </c>
      <c r="G1008" s="1">
        <v>6</v>
      </c>
      <c r="H1008" s="1">
        <v>2</v>
      </c>
      <c r="I1008" s="1">
        <v>1</v>
      </c>
      <c r="J1008" s="1">
        <v>3</v>
      </c>
      <c r="K1008" s="1">
        <v>3</v>
      </c>
      <c r="L1008" s="1">
        <v>10</v>
      </c>
      <c r="M1008" s="1">
        <v>48</v>
      </c>
      <c r="N1008" s="1">
        <v>51</v>
      </c>
      <c r="O1008" s="1">
        <v>58</v>
      </c>
      <c r="P1008">
        <v>0.15619107744107746</v>
      </c>
      <c r="Q1008">
        <v>0.16871459694989119</v>
      </c>
      <c r="R1008">
        <v>3.7099999999999987E-2</v>
      </c>
    </row>
    <row r="1009" spans="1:18">
      <c r="A1009" s="1">
        <v>36</v>
      </c>
      <c r="B1009" s="1">
        <v>1</v>
      </c>
      <c r="C1009" s="1">
        <v>1</v>
      </c>
      <c r="D1009" s="1">
        <v>1</v>
      </c>
      <c r="E1009" s="1">
        <v>1</v>
      </c>
      <c r="F1009" s="1">
        <v>20</v>
      </c>
      <c r="G1009" s="1">
        <v>18</v>
      </c>
      <c r="H1009" s="1">
        <v>3</v>
      </c>
      <c r="I1009" s="1">
        <v>1</v>
      </c>
      <c r="J1009" s="1">
        <v>6</v>
      </c>
      <c r="K1009" s="1">
        <v>7</v>
      </c>
      <c r="L1009" s="1">
        <v>10</v>
      </c>
      <c r="M1009" s="1">
        <v>48</v>
      </c>
      <c r="N1009" s="1">
        <v>51</v>
      </c>
      <c r="O1009" s="1">
        <v>58</v>
      </c>
      <c r="P1009">
        <v>0.15136363636363626</v>
      </c>
      <c r="Q1009">
        <v>0.14098039215686273</v>
      </c>
      <c r="R1009">
        <v>3.78E-2</v>
      </c>
    </row>
    <row r="1010" spans="1:18">
      <c r="A1010" s="1">
        <v>37</v>
      </c>
      <c r="B1010" s="1">
        <v>1</v>
      </c>
      <c r="C1010" s="1">
        <v>1</v>
      </c>
      <c r="D1010" s="1">
        <v>1</v>
      </c>
      <c r="E1010" s="1">
        <v>1</v>
      </c>
      <c r="F1010" s="1">
        <v>23</v>
      </c>
      <c r="G1010" s="1">
        <v>18</v>
      </c>
      <c r="H1010" s="1">
        <v>3</v>
      </c>
      <c r="I1010" s="1">
        <v>1</v>
      </c>
      <c r="J1010" s="1">
        <v>6</v>
      </c>
      <c r="K1010" s="1">
        <v>7</v>
      </c>
      <c r="L1010" s="1">
        <v>10</v>
      </c>
      <c r="M1010" s="1">
        <v>48</v>
      </c>
      <c r="N1010" s="1">
        <v>51</v>
      </c>
      <c r="O1010" s="1">
        <v>58</v>
      </c>
      <c r="P1010">
        <v>0.17532407407407416</v>
      </c>
      <c r="Q1010">
        <v>0.18775599128540305</v>
      </c>
      <c r="R1010">
        <v>3.6125000000000018E-2</v>
      </c>
    </row>
    <row r="1011" spans="1:18">
      <c r="A1011" s="1">
        <v>38</v>
      </c>
      <c r="B1011" s="1">
        <v>0</v>
      </c>
      <c r="C1011" s="1">
        <v>1</v>
      </c>
      <c r="D1011" s="1">
        <v>0</v>
      </c>
      <c r="E1011" s="1">
        <v>1</v>
      </c>
      <c r="F1011" s="1">
        <v>4</v>
      </c>
      <c r="G1011" s="1">
        <v>6</v>
      </c>
      <c r="H1011" s="1">
        <v>1</v>
      </c>
      <c r="I1011" s="1">
        <v>1</v>
      </c>
      <c r="J1011" s="1">
        <v>2</v>
      </c>
      <c r="K1011" s="1">
        <v>2</v>
      </c>
      <c r="L1011" s="1">
        <v>10</v>
      </c>
      <c r="M1011" s="1">
        <v>48</v>
      </c>
      <c r="N1011" s="1">
        <v>51</v>
      </c>
      <c r="O1011" s="1">
        <v>58</v>
      </c>
      <c r="P1011">
        <v>0.10382996632996636</v>
      </c>
      <c r="Q1011">
        <v>6.8845315904139309E-2</v>
      </c>
      <c r="R1011">
        <v>4.8708333333333333E-2</v>
      </c>
    </row>
    <row r="1012" spans="1:18">
      <c r="A1012" s="1">
        <v>39</v>
      </c>
      <c r="B1012" s="1">
        <v>1</v>
      </c>
      <c r="C1012" s="1">
        <v>1</v>
      </c>
      <c r="D1012" s="1">
        <v>1</v>
      </c>
      <c r="E1012" s="1">
        <v>1</v>
      </c>
      <c r="F1012" s="1">
        <v>22</v>
      </c>
      <c r="G1012" s="1">
        <v>18</v>
      </c>
      <c r="H1012" s="1">
        <v>3</v>
      </c>
      <c r="I1012" s="1">
        <v>1</v>
      </c>
      <c r="J1012" s="1">
        <v>6</v>
      </c>
      <c r="K1012" s="1">
        <v>7</v>
      </c>
      <c r="L1012" s="1">
        <v>10</v>
      </c>
      <c r="M1012" s="1">
        <v>48</v>
      </c>
      <c r="N1012" s="1">
        <v>51</v>
      </c>
      <c r="O1012" s="1">
        <v>58</v>
      </c>
      <c r="P1012">
        <v>0.17400252525252521</v>
      </c>
      <c r="Q1012">
        <v>0.16562091503267989</v>
      </c>
      <c r="R1012">
        <v>3.5858333333333346E-2</v>
      </c>
    </row>
    <row r="1013" spans="1:18">
      <c r="A1013" s="1">
        <v>40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</v>
      </c>
      <c r="J1013" s="1">
        <v>0</v>
      </c>
      <c r="K1013" s="1">
        <v>0</v>
      </c>
      <c r="L1013" s="1">
        <v>10</v>
      </c>
      <c r="M1013" s="1">
        <v>48</v>
      </c>
      <c r="N1013" s="1">
        <v>51</v>
      </c>
      <c r="O1013" s="1">
        <v>58</v>
      </c>
      <c r="P1013">
        <v>0.12084736251402912</v>
      </c>
      <c r="Q1013">
        <v>0.13100217864923747</v>
      </c>
      <c r="R1013">
        <v>3.3541666666666671E-2</v>
      </c>
    </row>
    <row r="1014" spans="1:18">
      <c r="A1014" s="1">
        <v>41</v>
      </c>
      <c r="B1014" s="1">
        <v>1</v>
      </c>
      <c r="C1014" s="1">
        <v>1</v>
      </c>
      <c r="D1014" s="1">
        <v>0</v>
      </c>
      <c r="E1014" s="1">
        <v>1</v>
      </c>
      <c r="F1014" s="1">
        <v>9</v>
      </c>
      <c r="G1014" s="1">
        <v>6</v>
      </c>
      <c r="H1014" s="1">
        <v>2</v>
      </c>
      <c r="I1014" s="1">
        <v>1</v>
      </c>
      <c r="J1014" s="1">
        <v>3</v>
      </c>
      <c r="K1014" s="1">
        <v>3</v>
      </c>
      <c r="L1014" s="1">
        <v>10</v>
      </c>
      <c r="M1014" s="1">
        <v>48</v>
      </c>
      <c r="N1014" s="1">
        <v>51</v>
      </c>
      <c r="O1014" s="1">
        <v>58</v>
      </c>
      <c r="P1014">
        <v>0.14389309764309771</v>
      </c>
      <c r="Q1014">
        <v>0.15230936819172114</v>
      </c>
      <c r="R1014">
        <v>3.0462500000000003E-2</v>
      </c>
    </row>
    <row r="1015" spans="1:18">
      <c r="A1015" s="1">
        <v>42</v>
      </c>
      <c r="B1015" s="1">
        <v>0</v>
      </c>
      <c r="C1015" s="1">
        <v>0</v>
      </c>
      <c r="D1015" s="1">
        <v>0</v>
      </c>
      <c r="E1015" s="1">
        <v>1</v>
      </c>
      <c r="F1015" s="1">
        <v>0</v>
      </c>
      <c r="G1015" s="1">
        <v>0</v>
      </c>
      <c r="H1015" s="1">
        <v>0</v>
      </c>
      <c r="I1015" s="1">
        <v>1</v>
      </c>
      <c r="J1015" s="1">
        <v>0</v>
      </c>
      <c r="K1015" s="1">
        <v>0</v>
      </c>
      <c r="L1015" s="1">
        <v>10</v>
      </c>
      <c r="M1015" s="1">
        <v>48</v>
      </c>
      <c r="N1015" s="1">
        <v>51</v>
      </c>
      <c r="O1015" s="1">
        <v>58</v>
      </c>
      <c r="P1015">
        <v>0.25194444444444447</v>
      </c>
      <c r="Q1015">
        <v>0.2284967320261439</v>
      </c>
      <c r="R1015">
        <v>3.5454166666666675E-2</v>
      </c>
    </row>
    <row r="1016" spans="1:18">
      <c r="A1016" s="1">
        <v>43</v>
      </c>
      <c r="B1016" s="1">
        <v>1</v>
      </c>
      <c r="C1016" s="1">
        <v>1</v>
      </c>
      <c r="D1016" s="1">
        <v>0</v>
      </c>
      <c r="E1016" s="1">
        <v>1</v>
      </c>
      <c r="F1016" s="1">
        <v>7</v>
      </c>
      <c r="G1016" s="1">
        <v>6</v>
      </c>
      <c r="H1016" s="1">
        <v>2</v>
      </c>
      <c r="I1016" s="1">
        <v>1</v>
      </c>
      <c r="J1016" s="1">
        <v>3</v>
      </c>
      <c r="K1016" s="1">
        <v>3</v>
      </c>
      <c r="L1016" s="1">
        <v>10</v>
      </c>
      <c r="M1016" s="1">
        <v>48</v>
      </c>
      <c r="N1016" s="1">
        <v>51</v>
      </c>
      <c r="O1016" s="1">
        <v>58</v>
      </c>
      <c r="P1016">
        <v>0.15848063973063969</v>
      </c>
      <c r="Q1016">
        <v>0.14291938997821349</v>
      </c>
      <c r="R1016">
        <v>4.1041666666666678E-2</v>
      </c>
    </row>
    <row r="1017" spans="1:18">
      <c r="A1017" s="1">
        <v>44</v>
      </c>
      <c r="B1017" s="1">
        <v>0</v>
      </c>
      <c r="C1017" s="1">
        <v>1</v>
      </c>
      <c r="D1017" s="1">
        <v>0</v>
      </c>
      <c r="E1017" s="1">
        <v>0</v>
      </c>
      <c r="F1017" s="1">
        <v>5</v>
      </c>
      <c r="G1017" s="1">
        <v>6</v>
      </c>
      <c r="H1017" s="1">
        <v>1</v>
      </c>
      <c r="I1017" s="1">
        <v>1</v>
      </c>
      <c r="J1017" s="1">
        <v>2</v>
      </c>
      <c r="K1017" s="1">
        <v>2</v>
      </c>
      <c r="L1017" s="1">
        <v>10</v>
      </c>
      <c r="M1017" s="1">
        <v>48</v>
      </c>
      <c r="N1017" s="1">
        <v>51</v>
      </c>
      <c r="O1017" s="1">
        <v>58</v>
      </c>
      <c r="P1017">
        <v>7.1492704826038214E-2</v>
      </c>
      <c r="Q1017">
        <v>6.8278867102396432E-2</v>
      </c>
      <c r="R1017">
        <v>4.4220833333333341E-2</v>
      </c>
    </row>
    <row r="1018" spans="1:18">
      <c r="A1018" s="1">
        <v>45</v>
      </c>
      <c r="B1018" s="1">
        <v>0</v>
      </c>
      <c r="C1018" s="1">
        <v>1</v>
      </c>
      <c r="D1018" s="1">
        <v>0</v>
      </c>
      <c r="E1018" s="1">
        <v>1</v>
      </c>
      <c r="F1018" s="1">
        <v>5</v>
      </c>
      <c r="G1018" s="1">
        <v>6</v>
      </c>
      <c r="H1018" s="1">
        <v>1</v>
      </c>
      <c r="I1018" s="1">
        <v>1</v>
      </c>
      <c r="J1018" s="1">
        <v>2</v>
      </c>
      <c r="K1018" s="1">
        <v>2</v>
      </c>
      <c r="L1018" s="1">
        <v>10</v>
      </c>
      <c r="M1018" s="1">
        <v>48</v>
      </c>
      <c r="N1018" s="1">
        <v>51</v>
      </c>
      <c r="O1018" s="1">
        <v>58</v>
      </c>
      <c r="P1018">
        <v>6.3219696969696995E-2</v>
      </c>
      <c r="Q1018">
        <v>7.7647058823529486E-2</v>
      </c>
      <c r="R1018">
        <v>4.0058333333333342E-2</v>
      </c>
    </row>
    <row r="1019" spans="1:18">
      <c r="A1019" s="1">
        <v>46</v>
      </c>
      <c r="B1019" s="1">
        <v>0</v>
      </c>
      <c r="C1019" s="1">
        <v>1</v>
      </c>
      <c r="D1019" s="1">
        <v>0</v>
      </c>
      <c r="E1019" s="1">
        <v>1</v>
      </c>
      <c r="F1019" s="1">
        <v>6</v>
      </c>
      <c r="G1019" s="1">
        <v>6</v>
      </c>
      <c r="H1019" s="1">
        <v>1</v>
      </c>
      <c r="I1019" s="1">
        <v>1</v>
      </c>
      <c r="J1019" s="1">
        <v>2</v>
      </c>
      <c r="K1019" s="1">
        <v>2</v>
      </c>
      <c r="L1019" s="1">
        <v>10</v>
      </c>
      <c r="M1019" s="1">
        <v>48</v>
      </c>
      <c r="N1019" s="1">
        <v>51</v>
      </c>
      <c r="O1019" s="1">
        <v>58</v>
      </c>
      <c r="P1019">
        <v>0.10308922558922561</v>
      </c>
      <c r="Q1019">
        <v>0.12736383442265797</v>
      </c>
      <c r="R1019">
        <v>4.7924999999999995E-2</v>
      </c>
    </row>
    <row r="1020" spans="1:18">
      <c r="A1020" s="1">
        <v>47</v>
      </c>
      <c r="B1020" s="1">
        <v>1</v>
      </c>
      <c r="C1020" s="1">
        <v>1</v>
      </c>
      <c r="D1020" s="1">
        <v>1</v>
      </c>
      <c r="E1020" s="1">
        <v>1</v>
      </c>
      <c r="F1020" s="1">
        <v>16</v>
      </c>
      <c r="G1020" s="1">
        <v>6</v>
      </c>
      <c r="H1020" s="1">
        <v>3</v>
      </c>
      <c r="I1020" s="1">
        <v>1</v>
      </c>
      <c r="J1020" s="1">
        <v>5</v>
      </c>
      <c r="K1020" s="1">
        <v>6</v>
      </c>
      <c r="L1020" s="1">
        <v>10</v>
      </c>
      <c r="M1020" s="1">
        <v>48</v>
      </c>
      <c r="N1020" s="1">
        <v>51</v>
      </c>
      <c r="O1020" s="1">
        <v>58</v>
      </c>
      <c r="P1020">
        <v>0.14144360269360273</v>
      </c>
      <c r="Q1020">
        <v>0.13198257080610021</v>
      </c>
      <c r="R1020">
        <v>4.2549999999999998E-2</v>
      </c>
    </row>
    <row r="1021" spans="1:18">
      <c r="A1021" s="1">
        <v>48</v>
      </c>
      <c r="B1021" s="1">
        <v>0</v>
      </c>
      <c r="C1021" s="1">
        <v>1</v>
      </c>
      <c r="D1021" s="1">
        <v>1</v>
      </c>
      <c r="E1021" s="1">
        <v>1</v>
      </c>
      <c r="F1021" s="1">
        <v>12</v>
      </c>
      <c r="G1021" s="1">
        <v>6</v>
      </c>
      <c r="H1021" s="1">
        <v>2</v>
      </c>
      <c r="I1021" s="1">
        <v>1</v>
      </c>
      <c r="J1021" s="1">
        <v>4</v>
      </c>
      <c r="K1021" s="1">
        <v>4</v>
      </c>
      <c r="L1021" s="1">
        <v>10</v>
      </c>
      <c r="M1021" s="1">
        <v>48</v>
      </c>
      <c r="N1021" s="1">
        <v>51</v>
      </c>
      <c r="O1021" s="1">
        <v>58</v>
      </c>
      <c r="P1021">
        <v>0.22601010101010097</v>
      </c>
      <c r="Q1021">
        <v>0.24542483660130726</v>
      </c>
      <c r="R1021">
        <v>3.4987499999999984E-2</v>
      </c>
    </row>
    <row r="1022" spans="1:18">
      <c r="A1022" s="1">
        <v>49</v>
      </c>
      <c r="B1022" s="1">
        <v>1</v>
      </c>
      <c r="C1022" s="1">
        <v>0</v>
      </c>
      <c r="D1022" s="1">
        <v>0</v>
      </c>
      <c r="E1022" s="1">
        <v>1</v>
      </c>
      <c r="F1022" s="1">
        <v>2</v>
      </c>
      <c r="G1022" s="1">
        <v>6</v>
      </c>
      <c r="H1022" s="1">
        <v>1</v>
      </c>
      <c r="I1022" s="1">
        <v>1</v>
      </c>
      <c r="J1022" s="1">
        <v>1</v>
      </c>
      <c r="K1022" s="1">
        <v>1</v>
      </c>
      <c r="L1022" s="1">
        <v>10</v>
      </c>
      <c r="M1022" s="1">
        <v>48</v>
      </c>
      <c r="N1022" s="1">
        <v>51</v>
      </c>
      <c r="O1022" s="1">
        <v>58</v>
      </c>
      <c r="P1022">
        <v>0.12724326599326599</v>
      </c>
      <c r="Q1022">
        <v>0.13239651416122003</v>
      </c>
      <c r="R1022">
        <v>4.8516666666666673E-2</v>
      </c>
    </row>
    <row r="1023" spans="1:18">
      <c r="A1023" s="1">
        <v>50</v>
      </c>
      <c r="B1023" s="1">
        <v>1</v>
      </c>
      <c r="C1023" s="1">
        <v>1</v>
      </c>
      <c r="D1023" s="1">
        <v>1</v>
      </c>
      <c r="E1023" s="1">
        <v>1</v>
      </c>
      <c r="F1023" s="1">
        <v>17</v>
      </c>
      <c r="G1023" s="1">
        <v>6</v>
      </c>
      <c r="H1023" s="1">
        <v>3</v>
      </c>
      <c r="I1023" s="1">
        <v>1</v>
      </c>
      <c r="J1023" s="1">
        <v>5</v>
      </c>
      <c r="K1023" s="1">
        <v>6</v>
      </c>
      <c r="L1023" s="1">
        <v>10</v>
      </c>
      <c r="M1023" s="1">
        <v>48</v>
      </c>
      <c r="N1023" s="1">
        <v>51</v>
      </c>
      <c r="O1023" s="1">
        <v>58</v>
      </c>
      <c r="P1023">
        <v>0.15499158249158246</v>
      </c>
      <c r="Q1023">
        <v>0.14387799564270151</v>
      </c>
      <c r="R1023">
        <v>4.3049999999999998E-2</v>
      </c>
    </row>
    <row r="1024" spans="1:18">
      <c r="A1024" s="1">
        <v>51</v>
      </c>
      <c r="B1024" s="1">
        <v>0</v>
      </c>
      <c r="C1024" s="1">
        <v>1</v>
      </c>
      <c r="D1024" s="1">
        <v>1</v>
      </c>
      <c r="E1024" s="1">
        <v>0</v>
      </c>
      <c r="F1024" s="1">
        <v>11</v>
      </c>
      <c r="G1024" s="1">
        <v>6</v>
      </c>
      <c r="H1024" s="1">
        <v>2</v>
      </c>
      <c r="I1024" s="1">
        <v>1</v>
      </c>
      <c r="J1024" s="1">
        <v>4</v>
      </c>
      <c r="K1024" s="1">
        <v>4</v>
      </c>
      <c r="L1024" s="1">
        <v>10</v>
      </c>
      <c r="M1024" s="1">
        <v>48</v>
      </c>
      <c r="N1024" s="1">
        <v>51</v>
      </c>
      <c r="O1024" s="1">
        <v>58</v>
      </c>
      <c r="P1024">
        <v>0.13663720538720542</v>
      </c>
      <c r="Q1024">
        <v>0.14919934640522878</v>
      </c>
      <c r="R1024">
        <v>4.1345833333333325E-2</v>
      </c>
    </row>
    <row r="1025" spans="1:18">
      <c r="A1025" s="1">
        <v>52</v>
      </c>
      <c r="B1025" s="1">
        <v>0</v>
      </c>
      <c r="C1025" s="1">
        <v>1</v>
      </c>
      <c r="D1025" s="1">
        <v>1</v>
      </c>
      <c r="E1025" s="1">
        <v>1</v>
      </c>
      <c r="F1025" s="1">
        <v>11</v>
      </c>
      <c r="G1025" s="1">
        <v>6</v>
      </c>
      <c r="H1025" s="1">
        <v>2</v>
      </c>
      <c r="I1025" s="1">
        <v>1</v>
      </c>
      <c r="J1025" s="1">
        <v>4</v>
      </c>
      <c r="K1025" s="1">
        <v>4</v>
      </c>
      <c r="L1025" s="1">
        <v>10</v>
      </c>
      <c r="M1025" s="1">
        <v>48</v>
      </c>
      <c r="N1025" s="1">
        <v>51</v>
      </c>
      <c r="O1025" s="1">
        <v>58</v>
      </c>
      <c r="P1025">
        <v>8.0942760942760872E-2</v>
      </c>
      <c r="Q1025">
        <v>0.10507625272331168</v>
      </c>
      <c r="R1025">
        <v>4.2237499999999983E-2</v>
      </c>
    </row>
    <row r="1026" spans="1:18">
      <c r="A1026" s="1">
        <v>53</v>
      </c>
      <c r="B1026" s="1">
        <v>1</v>
      </c>
      <c r="C1026" s="1">
        <v>1</v>
      </c>
      <c r="D1026" s="1">
        <v>1</v>
      </c>
      <c r="E1026" s="1">
        <v>1</v>
      </c>
      <c r="F1026" s="1">
        <v>15</v>
      </c>
      <c r="G1026" s="1">
        <v>6</v>
      </c>
      <c r="H1026" s="1">
        <v>3</v>
      </c>
      <c r="I1026" s="1">
        <v>1</v>
      </c>
      <c r="J1026" s="1">
        <v>5</v>
      </c>
      <c r="K1026" s="1">
        <v>5</v>
      </c>
      <c r="L1026" s="1">
        <v>10</v>
      </c>
      <c r="M1026" s="1">
        <v>48</v>
      </c>
      <c r="N1026" s="1">
        <v>51</v>
      </c>
      <c r="O1026" s="1">
        <v>58</v>
      </c>
      <c r="P1026">
        <v>0.18596380471380466</v>
      </c>
      <c r="Q1026">
        <v>0.18028322440087144</v>
      </c>
      <c r="R1026">
        <v>2.763750000000002E-2</v>
      </c>
    </row>
    <row r="1027" spans="1:18">
      <c r="A1027" s="1">
        <v>54</v>
      </c>
      <c r="B1027" s="1">
        <v>1</v>
      </c>
      <c r="C1027" s="1">
        <v>1</v>
      </c>
      <c r="D1027" s="1">
        <v>1</v>
      </c>
      <c r="E1027" s="1">
        <v>1</v>
      </c>
      <c r="F1027" s="1">
        <v>19</v>
      </c>
      <c r="G1027" s="1">
        <v>6</v>
      </c>
      <c r="H1027" s="1">
        <v>3</v>
      </c>
      <c r="I1027" s="1">
        <v>1</v>
      </c>
      <c r="J1027" s="1">
        <v>5</v>
      </c>
      <c r="K1027" s="1">
        <v>6</v>
      </c>
      <c r="L1027" s="1">
        <v>10</v>
      </c>
      <c r="M1027" s="1">
        <v>48</v>
      </c>
      <c r="N1027" s="1">
        <v>51</v>
      </c>
      <c r="O1027" s="1">
        <v>58</v>
      </c>
      <c r="P1027">
        <v>0.15916666666666668</v>
      </c>
      <c r="Q1027">
        <v>0.16921568627450981</v>
      </c>
      <c r="R1027">
        <v>3.5845833333333334E-2</v>
      </c>
    </row>
    <row r="1028" spans="1:18">
      <c r="A1028" s="1">
        <v>55</v>
      </c>
      <c r="B1028" s="1">
        <v>0</v>
      </c>
      <c r="C1028" s="1">
        <v>1</v>
      </c>
      <c r="D1028" s="1">
        <v>1</v>
      </c>
      <c r="E1028" s="1">
        <v>0</v>
      </c>
      <c r="F1028" s="1">
        <v>11</v>
      </c>
      <c r="G1028" s="1">
        <v>6</v>
      </c>
      <c r="H1028" s="1">
        <v>2</v>
      </c>
      <c r="I1028" s="1">
        <v>2</v>
      </c>
      <c r="J1028" s="1">
        <v>4</v>
      </c>
      <c r="K1028" s="1">
        <v>4</v>
      </c>
      <c r="L1028" s="1">
        <v>10</v>
      </c>
      <c r="M1028" s="1">
        <v>48</v>
      </c>
      <c r="N1028" s="1">
        <v>51</v>
      </c>
      <c r="O1028" s="1">
        <v>58</v>
      </c>
      <c r="P1028">
        <v>0.11910072951739613</v>
      </c>
      <c r="Q1028">
        <v>0.14529956427015256</v>
      </c>
      <c r="R1028">
        <v>4.2925000000000012E-2</v>
      </c>
    </row>
    <row r="1029" spans="1:18">
      <c r="A1029" s="1">
        <v>56</v>
      </c>
      <c r="B1029" s="1">
        <v>0</v>
      </c>
      <c r="C1029" s="1">
        <v>1</v>
      </c>
      <c r="D1029" s="1">
        <v>1</v>
      </c>
      <c r="E1029" s="1">
        <v>0</v>
      </c>
      <c r="F1029" s="1">
        <v>10</v>
      </c>
      <c r="G1029" s="1">
        <v>6</v>
      </c>
      <c r="H1029" s="1">
        <v>2</v>
      </c>
      <c r="I1029" s="1">
        <v>2</v>
      </c>
      <c r="J1029" s="1">
        <v>4</v>
      </c>
      <c r="K1029" s="1">
        <v>4</v>
      </c>
      <c r="L1029" s="1">
        <v>10</v>
      </c>
      <c r="M1029" s="1">
        <v>48</v>
      </c>
      <c r="N1029" s="1">
        <v>51</v>
      </c>
      <c r="O1029" s="1">
        <v>58</v>
      </c>
      <c r="P1029">
        <v>0.10600448933782271</v>
      </c>
      <c r="Q1029">
        <v>0.13305010893246183</v>
      </c>
      <c r="R1029">
        <v>4.4025000000000002E-2</v>
      </c>
    </row>
    <row r="1030" spans="1:18">
      <c r="A1030" s="1">
        <v>57</v>
      </c>
      <c r="B1030" s="1">
        <v>1</v>
      </c>
      <c r="C1030" s="1">
        <v>1</v>
      </c>
      <c r="D1030" s="1">
        <v>1</v>
      </c>
      <c r="E1030" s="1">
        <v>0</v>
      </c>
      <c r="F1030" s="1">
        <v>20</v>
      </c>
      <c r="G1030" s="1">
        <v>18</v>
      </c>
      <c r="H1030" s="1">
        <v>3</v>
      </c>
      <c r="I1030" s="1">
        <v>2</v>
      </c>
      <c r="J1030" s="1">
        <v>6</v>
      </c>
      <c r="K1030" s="1">
        <v>7</v>
      </c>
      <c r="L1030" s="1">
        <v>10</v>
      </c>
      <c r="M1030" s="1">
        <v>48</v>
      </c>
      <c r="N1030" s="1">
        <v>51</v>
      </c>
      <c r="O1030" s="1">
        <v>58</v>
      </c>
      <c r="P1030">
        <v>0.23457491582491577</v>
      </c>
      <c r="Q1030">
        <v>0.27472222222222231</v>
      </c>
      <c r="R1030">
        <v>3.7458333333333337E-2</v>
      </c>
    </row>
    <row r="1031" spans="1:18">
      <c r="A1031" s="1">
        <v>58</v>
      </c>
      <c r="B1031" s="1">
        <v>1</v>
      </c>
      <c r="C1031" s="1">
        <v>1</v>
      </c>
      <c r="D1031" s="1">
        <v>1</v>
      </c>
      <c r="E1031" s="1">
        <v>0</v>
      </c>
      <c r="F1031" s="1">
        <v>25</v>
      </c>
      <c r="G1031" s="1">
        <v>18</v>
      </c>
      <c r="H1031" s="1">
        <v>3</v>
      </c>
      <c r="I1031" s="1">
        <v>2</v>
      </c>
      <c r="J1031" s="1">
        <v>6</v>
      </c>
      <c r="K1031" s="1">
        <v>7</v>
      </c>
      <c r="L1031" s="1">
        <v>10</v>
      </c>
      <c r="M1031" s="1">
        <v>48</v>
      </c>
      <c r="N1031" s="1">
        <v>51</v>
      </c>
      <c r="O1031" s="1">
        <v>58</v>
      </c>
      <c r="P1031">
        <v>0.13663019079685751</v>
      </c>
      <c r="Q1031">
        <v>0.1585511982570805</v>
      </c>
      <c r="R1031">
        <v>4.6062500000000006E-2</v>
      </c>
    </row>
    <row r="1032" spans="1:18">
      <c r="A1032" s="1">
        <v>59</v>
      </c>
      <c r="B1032" s="1">
        <v>1</v>
      </c>
      <c r="C1032" s="1">
        <v>1</v>
      </c>
      <c r="D1032" s="1">
        <v>1</v>
      </c>
      <c r="E1032" s="1">
        <v>0</v>
      </c>
      <c r="F1032" s="1">
        <v>17</v>
      </c>
      <c r="G1032" s="1">
        <v>6</v>
      </c>
      <c r="H1032" s="1">
        <v>3</v>
      </c>
      <c r="I1032" s="1">
        <v>2</v>
      </c>
      <c r="J1032" s="1">
        <v>5</v>
      </c>
      <c r="K1032" s="1">
        <v>6</v>
      </c>
      <c r="L1032" s="1">
        <v>10</v>
      </c>
      <c r="M1032" s="1">
        <v>48</v>
      </c>
      <c r="N1032" s="1">
        <v>51</v>
      </c>
      <c r="O1032" s="1">
        <v>58</v>
      </c>
      <c r="P1032">
        <v>0.15307940516273852</v>
      </c>
      <c r="Q1032">
        <v>0.16983115468409582</v>
      </c>
      <c r="R1032">
        <v>4.7654166666666685E-2</v>
      </c>
    </row>
    <row r="1033" spans="1:18">
      <c r="A1033" s="1">
        <v>60</v>
      </c>
      <c r="B1033" s="1">
        <v>1</v>
      </c>
      <c r="C1033" s="1">
        <v>1</v>
      </c>
      <c r="D1033" s="1">
        <v>1</v>
      </c>
      <c r="E1033" s="1">
        <v>0</v>
      </c>
      <c r="F1033" s="1">
        <v>23</v>
      </c>
      <c r="G1033" s="1">
        <v>18</v>
      </c>
      <c r="H1033" s="1">
        <v>3</v>
      </c>
      <c r="I1033" s="1">
        <v>2</v>
      </c>
      <c r="J1033" s="1">
        <v>6</v>
      </c>
      <c r="K1033" s="1">
        <v>7</v>
      </c>
      <c r="L1033" s="1">
        <v>10</v>
      </c>
      <c r="M1033" s="1">
        <v>48</v>
      </c>
      <c r="N1033" s="1">
        <v>51</v>
      </c>
      <c r="O1033" s="1">
        <v>58</v>
      </c>
      <c r="P1033">
        <v>0.17710437710437707</v>
      </c>
      <c r="Q1033">
        <v>0.17620915032679732</v>
      </c>
      <c r="R1033">
        <v>4.5550000000000014E-2</v>
      </c>
    </row>
    <row r="1034" spans="1:18">
      <c r="A1034" s="1">
        <v>61</v>
      </c>
      <c r="B1034" s="1">
        <v>0</v>
      </c>
      <c r="C1034" s="1">
        <v>1</v>
      </c>
      <c r="D1034" s="1">
        <v>0</v>
      </c>
      <c r="E1034" s="1">
        <v>0</v>
      </c>
      <c r="F1034" s="1">
        <v>6</v>
      </c>
      <c r="G1034" s="1">
        <v>6</v>
      </c>
      <c r="H1034" s="1">
        <v>1</v>
      </c>
      <c r="I1034" s="1">
        <v>2</v>
      </c>
      <c r="J1034" s="1">
        <v>2</v>
      </c>
      <c r="K1034" s="1">
        <v>2</v>
      </c>
      <c r="L1034" s="1">
        <v>10</v>
      </c>
      <c r="M1034" s="1">
        <v>48</v>
      </c>
      <c r="N1034" s="1">
        <v>51</v>
      </c>
      <c r="O1034" s="1">
        <v>58</v>
      </c>
      <c r="P1034">
        <v>8.1432379349045986E-2</v>
      </c>
      <c r="Q1034">
        <v>7.7685185185184982E-2</v>
      </c>
    </row>
    <row r="1035" spans="1:18">
      <c r="A1035" s="1">
        <v>62</v>
      </c>
      <c r="B1035" s="1">
        <v>0</v>
      </c>
      <c r="C1035" s="1">
        <v>1</v>
      </c>
      <c r="D1035" s="1">
        <v>0</v>
      </c>
      <c r="E1035" s="1">
        <v>0</v>
      </c>
      <c r="F1035" s="1">
        <v>5</v>
      </c>
      <c r="G1035" s="1">
        <v>6</v>
      </c>
      <c r="H1035" s="1">
        <v>1</v>
      </c>
      <c r="I1035" s="1">
        <v>2</v>
      </c>
      <c r="J1035" s="1">
        <v>2</v>
      </c>
      <c r="K1035" s="1">
        <v>2</v>
      </c>
      <c r="L1035" s="1">
        <v>10</v>
      </c>
      <c r="M1035" s="1">
        <v>48</v>
      </c>
      <c r="N1035" s="1">
        <v>51</v>
      </c>
      <c r="O1035" s="1">
        <v>58</v>
      </c>
      <c r="P1035">
        <v>4.1820987654320976E-2</v>
      </c>
      <c r="Q1035">
        <v>0.12916122004357294</v>
      </c>
      <c r="R1035">
        <v>5.2904166666666676E-2</v>
      </c>
    </row>
    <row r="1036" spans="1:18">
      <c r="A1036" s="1">
        <v>63</v>
      </c>
      <c r="B1036" s="1">
        <v>0</v>
      </c>
      <c r="C1036" s="1">
        <v>1</v>
      </c>
      <c r="D1036" s="1">
        <v>0</v>
      </c>
      <c r="E1036" s="1">
        <v>1</v>
      </c>
      <c r="F1036" s="1">
        <v>5</v>
      </c>
      <c r="G1036" s="1">
        <v>6</v>
      </c>
      <c r="H1036" s="1">
        <v>1</v>
      </c>
      <c r="I1036" s="1">
        <v>2</v>
      </c>
      <c r="J1036" s="1">
        <v>2</v>
      </c>
      <c r="K1036" s="1">
        <v>2</v>
      </c>
      <c r="L1036" s="1">
        <v>10</v>
      </c>
      <c r="M1036" s="1">
        <v>48</v>
      </c>
      <c r="N1036" s="1">
        <v>51</v>
      </c>
      <c r="O1036" s="1">
        <v>58</v>
      </c>
      <c r="P1036">
        <v>8.6174242424242445E-2</v>
      </c>
      <c r="Q1036">
        <v>7.7450980392156865E-2</v>
      </c>
      <c r="R1036">
        <v>3.9404166666666664E-2</v>
      </c>
    </row>
    <row r="1037" spans="1:18">
      <c r="A1037" s="1">
        <v>64</v>
      </c>
      <c r="B1037" s="1">
        <v>1</v>
      </c>
      <c r="C1037" s="1">
        <v>1</v>
      </c>
      <c r="D1037" s="1">
        <v>0</v>
      </c>
      <c r="E1037" s="1">
        <v>0</v>
      </c>
      <c r="F1037" s="1">
        <v>9</v>
      </c>
      <c r="G1037" s="1">
        <v>6</v>
      </c>
      <c r="H1037" s="1">
        <v>2</v>
      </c>
      <c r="I1037" s="1">
        <v>2</v>
      </c>
      <c r="J1037" s="1">
        <v>3</v>
      </c>
      <c r="K1037" s="1">
        <v>3</v>
      </c>
      <c r="L1037" s="1">
        <v>10</v>
      </c>
      <c r="M1037" s="1">
        <v>48</v>
      </c>
      <c r="N1037" s="1">
        <v>51</v>
      </c>
      <c r="O1037" s="1">
        <v>58</v>
      </c>
      <c r="P1037">
        <v>0.14062850729517404</v>
      </c>
      <c r="Q1037">
        <v>0.18211328976034863</v>
      </c>
      <c r="R1037">
        <v>3.72375E-2</v>
      </c>
    </row>
    <row r="1038" spans="1:18">
      <c r="A1038" s="1">
        <v>65</v>
      </c>
      <c r="B1038" s="1">
        <v>1</v>
      </c>
      <c r="C1038" s="1">
        <v>1</v>
      </c>
      <c r="D1038" s="1">
        <v>1</v>
      </c>
      <c r="E1038" s="1">
        <v>0</v>
      </c>
      <c r="F1038" s="1">
        <v>15</v>
      </c>
      <c r="G1038" s="1">
        <v>6</v>
      </c>
      <c r="H1038" s="1">
        <v>3</v>
      </c>
      <c r="I1038" s="1">
        <v>2</v>
      </c>
      <c r="J1038" s="1">
        <v>5</v>
      </c>
      <c r="K1038" s="1">
        <v>5</v>
      </c>
      <c r="L1038" s="1">
        <v>10</v>
      </c>
      <c r="M1038" s="1">
        <v>48</v>
      </c>
      <c r="N1038" s="1">
        <v>51</v>
      </c>
      <c r="O1038" s="1">
        <v>58</v>
      </c>
      <c r="P1038">
        <v>0.14268378226711556</v>
      </c>
      <c r="Q1038">
        <v>0.12770697167755984</v>
      </c>
      <c r="R1038">
        <v>3.6787500000000008E-2</v>
      </c>
    </row>
    <row r="1039" spans="1:18">
      <c r="A1039" s="1">
        <v>66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2</v>
      </c>
      <c r="J1039" s="1">
        <v>0</v>
      </c>
      <c r="K1039" s="1">
        <v>0</v>
      </c>
      <c r="L1039" s="1">
        <v>10</v>
      </c>
      <c r="M1039" s="1">
        <v>48</v>
      </c>
      <c r="N1039" s="1">
        <v>51</v>
      </c>
      <c r="O1039" s="1">
        <v>58</v>
      </c>
      <c r="P1039">
        <v>0.14019360269360268</v>
      </c>
      <c r="Q1039">
        <v>0.13800653594771234</v>
      </c>
      <c r="R1039">
        <v>4.1895833333333334E-2</v>
      </c>
    </row>
    <row r="1040" spans="1:18">
      <c r="A1040" s="1">
        <v>67</v>
      </c>
      <c r="B1040" s="1">
        <v>1</v>
      </c>
      <c r="C1040" s="1">
        <v>1</v>
      </c>
      <c r="D1040" s="1">
        <v>1</v>
      </c>
      <c r="E1040" s="1">
        <v>0</v>
      </c>
      <c r="F1040" s="1">
        <v>18</v>
      </c>
      <c r="G1040" s="1">
        <v>6</v>
      </c>
      <c r="H1040" s="1">
        <v>3</v>
      </c>
      <c r="I1040" s="1">
        <v>2</v>
      </c>
      <c r="J1040" s="1">
        <v>5</v>
      </c>
      <c r="K1040" s="1">
        <v>6</v>
      </c>
      <c r="L1040" s="1">
        <v>10</v>
      </c>
      <c r="M1040" s="1">
        <v>48</v>
      </c>
      <c r="N1040" s="1">
        <v>51</v>
      </c>
      <c r="O1040" s="1">
        <v>58</v>
      </c>
      <c r="P1040">
        <v>0.14906705948372628</v>
      </c>
      <c r="Q1040">
        <v>0.17281590413943354</v>
      </c>
      <c r="R1040">
        <v>4.8062500000000008E-2</v>
      </c>
    </row>
    <row r="1041" spans="1:18">
      <c r="A1041" s="1">
        <v>68</v>
      </c>
      <c r="B1041" s="1">
        <v>1</v>
      </c>
      <c r="C1041" s="1">
        <v>1</v>
      </c>
      <c r="D1041" s="1">
        <v>0</v>
      </c>
      <c r="E1041" s="1">
        <v>0</v>
      </c>
      <c r="F1041" s="1">
        <v>8</v>
      </c>
      <c r="G1041" s="1">
        <v>6</v>
      </c>
      <c r="H1041" s="1">
        <v>2</v>
      </c>
      <c r="I1041" s="1">
        <v>2</v>
      </c>
      <c r="J1041" s="1">
        <v>3</v>
      </c>
      <c r="K1041" s="1">
        <v>3</v>
      </c>
      <c r="L1041" s="1">
        <v>10</v>
      </c>
      <c r="M1041" s="1">
        <v>48</v>
      </c>
      <c r="N1041" s="1">
        <v>51</v>
      </c>
      <c r="O1041" s="1">
        <v>58</v>
      </c>
      <c r="P1041">
        <v>0.13142536475869818</v>
      </c>
      <c r="Q1041">
        <v>0.15174291938997816</v>
      </c>
      <c r="R1041">
        <v>4.8116666666666676E-2</v>
      </c>
    </row>
    <row r="1042" spans="1:18">
      <c r="A1042" s="1">
        <v>69</v>
      </c>
      <c r="B1042" s="1">
        <v>0</v>
      </c>
      <c r="C1042" s="1">
        <v>1</v>
      </c>
      <c r="D1042" s="1">
        <v>0</v>
      </c>
      <c r="E1042" s="1">
        <v>0</v>
      </c>
      <c r="F1042" s="1">
        <v>4</v>
      </c>
      <c r="G1042" s="1">
        <v>6</v>
      </c>
      <c r="H1042" s="1">
        <v>1</v>
      </c>
      <c r="I1042" s="1">
        <v>2</v>
      </c>
      <c r="J1042" s="1">
        <v>2</v>
      </c>
      <c r="K1042" s="1">
        <v>2</v>
      </c>
      <c r="L1042" s="1">
        <v>10</v>
      </c>
      <c r="M1042" s="1">
        <v>48</v>
      </c>
      <c r="N1042" s="1">
        <v>51</v>
      </c>
      <c r="O1042" s="1">
        <v>58</v>
      </c>
      <c r="P1042">
        <v>0.12514730639730645</v>
      </c>
      <c r="Q1042">
        <v>0.15321895424836607</v>
      </c>
      <c r="R1042">
        <v>4.7774999999999991E-2</v>
      </c>
    </row>
    <row r="1043" spans="1:18">
      <c r="A1043" s="1">
        <v>70</v>
      </c>
      <c r="B1043" s="1">
        <v>1</v>
      </c>
      <c r="C1043" s="1">
        <v>1</v>
      </c>
      <c r="D1043" s="1">
        <v>1</v>
      </c>
      <c r="E1043" s="1">
        <v>0</v>
      </c>
      <c r="F1043" s="1">
        <v>21</v>
      </c>
      <c r="G1043" s="1">
        <v>18</v>
      </c>
      <c r="H1043" s="1">
        <v>3</v>
      </c>
      <c r="I1043" s="1">
        <v>2</v>
      </c>
      <c r="J1043" s="1">
        <v>6</v>
      </c>
      <c r="K1043" s="1">
        <v>7</v>
      </c>
      <c r="L1043" s="1">
        <v>10</v>
      </c>
      <c r="M1043" s="1">
        <v>48</v>
      </c>
      <c r="N1043" s="1">
        <v>51</v>
      </c>
      <c r="O1043" s="1">
        <v>58</v>
      </c>
      <c r="P1043">
        <v>0.19462682379349044</v>
      </c>
      <c r="Q1043">
        <v>0.19685185185185189</v>
      </c>
      <c r="R1043">
        <v>4.6283333333333343E-2</v>
      </c>
    </row>
    <row r="1044" spans="1:18">
      <c r="A1044" s="1">
        <v>71</v>
      </c>
      <c r="B1044" s="1">
        <v>1</v>
      </c>
      <c r="C1044" s="1">
        <v>0</v>
      </c>
      <c r="D1044" s="1">
        <v>0</v>
      </c>
      <c r="E1044" s="1">
        <v>0</v>
      </c>
      <c r="F1044" s="1">
        <v>2</v>
      </c>
      <c r="G1044" s="1">
        <v>6</v>
      </c>
      <c r="H1044" s="1">
        <v>1</v>
      </c>
      <c r="I1044" s="1">
        <v>2</v>
      </c>
      <c r="J1044" s="1">
        <v>1</v>
      </c>
      <c r="K1044" s="1">
        <v>1</v>
      </c>
      <c r="L1044" s="1">
        <v>10</v>
      </c>
      <c r="M1044" s="1">
        <v>48</v>
      </c>
      <c r="N1044" s="1">
        <v>51</v>
      </c>
      <c r="O1044" s="1">
        <v>58</v>
      </c>
      <c r="P1044">
        <v>9.8954826038159485E-2</v>
      </c>
      <c r="Q1044">
        <v>0.1247984749455338</v>
      </c>
      <c r="R1044">
        <v>3.8887499999999998E-2</v>
      </c>
    </row>
    <row r="1045" spans="1:18">
      <c r="A1045" s="1">
        <v>72</v>
      </c>
      <c r="B1045" s="1">
        <v>1</v>
      </c>
      <c r="C1045" s="1">
        <v>1</v>
      </c>
      <c r="D1045" s="1">
        <v>1</v>
      </c>
      <c r="E1045" s="1">
        <v>0</v>
      </c>
      <c r="F1045" s="1">
        <v>24</v>
      </c>
      <c r="G1045" s="1">
        <v>18</v>
      </c>
      <c r="H1045" s="1">
        <v>3</v>
      </c>
      <c r="I1045" s="1">
        <v>2</v>
      </c>
      <c r="J1045" s="1">
        <v>6</v>
      </c>
      <c r="K1045" s="1">
        <v>7</v>
      </c>
      <c r="L1045" s="1">
        <v>10</v>
      </c>
      <c r="M1045" s="1">
        <v>48</v>
      </c>
      <c r="N1045" s="1">
        <v>51</v>
      </c>
      <c r="O1045" s="1">
        <v>58</v>
      </c>
      <c r="P1045">
        <v>0.18888888888888888</v>
      </c>
      <c r="Q1045">
        <v>0.37039215686274507</v>
      </c>
      <c r="R1045">
        <v>4.5791666666666675E-2</v>
      </c>
    </row>
    <row r="1046" spans="1:18">
      <c r="A1046" s="1">
        <v>73</v>
      </c>
      <c r="B1046" s="1">
        <v>1</v>
      </c>
      <c r="C1046" s="1">
        <v>1</v>
      </c>
      <c r="D1046" s="1">
        <v>1</v>
      </c>
      <c r="E1046" s="1">
        <v>0</v>
      </c>
      <c r="F1046" s="1">
        <v>14</v>
      </c>
      <c r="G1046" s="1">
        <v>6</v>
      </c>
      <c r="H1046" s="1">
        <v>3</v>
      </c>
      <c r="I1046" s="1">
        <v>2</v>
      </c>
      <c r="J1046" s="1">
        <v>5</v>
      </c>
      <c r="K1046" s="1">
        <v>5</v>
      </c>
      <c r="L1046" s="1">
        <v>10</v>
      </c>
      <c r="M1046" s="1">
        <v>48</v>
      </c>
      <c r="N1046" s="1">
        <v>51</v>
      </c>
      <c r="O1046" s="1">
        <v>58</v>
      </c>
      <c r="P1046">
        <v>0.16215628507295182</v>
      </c>
      <c r="Q1046">
        <v>0.16598583877995635</v>
      </c>
      <c r="R1046">
        <v>5.5316666666666681E-2</v>
      </c>
    </row>
    <row r="1047" spans="1:18">
      <c r="A1047" s="1">
        <v>74</v>
      </c>
      <c r="B1047" s="1">
        <v>1</v>
      </c>
      <c r="C1047" s="1">
        <v>1</v>
      </c>
      <c r="D1047" s="1">
        <v>1</v>
      </c>
      <c r="E1047" s="1">
        <v>0</v>
      </c>
      <c r="F1047" s="1">
        <v>13</v>
      </c>
      <c r="G1047" s="1">
        <v>6</v>
      </c>
      <c r="H1047" s="1">
        <v>3</v>
      </c>
      <c r="I1047" s="1">
        <v>2</v>
      </c>
      <c r="J1047" s="1">
        <v>5</v>
      </c>
      <c r="K1047" s="1">
        <v>5</v>
      </c>
      <c r="L1047" s="1">
        <v>10</v>
      </c>
      <c r="M1047" s="1">
        <v>48</v>
      </c>
      <c r="N1047" s="1">
        <v>51</v>
      </c>
      <c r="O1047" s="1">
        <v>58</v>
      </c>
      <c r="P1047">
        <v>0.27178731762065084</v>
      </c>
      <c r="Q1047">
        <v>0.24687363834422657</v>
      </c>
      <c r="R1047">
        <v>4.6416666666666662E-2</v>
      </c>
    </row>
    <row r="1048" spans="1:18">
      <c r="A1048" s="1">
        <v>75</v>
      </c>
      <c r="B1048" s="1">
        <v>0</v>
      </c>
      <c r="C1048" s="1">
        <v>1</v>
      </c>
      <c r="D1048" s="1">
        <v>0</v>
      </c>
      <c r="E1048" s="1">
        <v>1</v>
      </c>
      <c r="F1048" s="1">
        <v>6</v>
      </c>
      <c r="G1048" s="1">
        <v>6</v>
      </c>
      <c r="H1048" s="1">
        <v>1</v>
      </c>
      <c r="I1048" s="1">
        <v>2</v>
      </c>
      <c r="J1048" s="1">
        <v>2</v>
      </c>
      <c r="K1048" s="1">
        <v>2</v>
      </c>
      <c r="L1048" s="1">
        <v>10</v>
      </c>
      <c r="M1048" s="1">
        <v>48</v>
      </c>
      <c r="N1048" s="1">
        <v>51</v>
      </c>
      <c r="O1048" s="1">
        <v>58</v>
      </c>
      <c r="P1048">
        <v>0.11763888888888888</v>
      </c>
      <c r="Q1048">
        <v>0.13189542483660133</v>
      </c>
      <c r="R1048">
        <v>4.1841666666666666E-2</v>
      </c>
    </row>
    <row r="1049" spans="1:18">
      <c r="A1049" s="1">
        <v>76</v>
      </c>
      <c r="B1049" s="1">
        <v>1</v>
      </c>
      <c r="C1049" s="1">
        <v>0</v>
      </c>
      <c r="D1049" s="1">
        <v>0</v>
      </c>
      <c r="E1049" s="1">
        <v>0</v>
      </c>
      <c r="F1049" s="1">
        <v>1</v>
      </c>
      <c r="G1049" s="1">
        <v>6</v>
      </c>
      <c r="H1049" s="1">
        <v>1</v>
      </c>
      <c r="I1049" s="1">
        <v>2</v>
      </c>
      <c r="J1049" s="1">
        <v>1</v>
      </c>
      <c r="K1049" s="1">
        <v>1</v>
      </c>
      <c r="L1049" s="1">
        <v>10</v>
      </c>
      <c r="M1049" s="1">
        <v>48</v>
      </c>
      <c r="N1049" s="1">
        <v>51</v>
      </c>
      <c r="O1049" s="1">
        <v>58</v>
      </c>
      <c r="P1049">
        <v>0.12589786756453422</v>
      </c>
      <c r="Q1049">
        <v>0.13119825708060992</v>
      </c>
      <c r="R1049">
        <v>4.5825000000000005E-2</v>
      </c>
    </row>
    <row r="1050" spans="1:18">
      <c r="A1050" s="1">
        <v>77</v>
      </c>
      <c r="B1050" s="1">
        <v>0</v>
      </c>
      <c r="C1050" s="1">
        <v>0</v>
      </c>
      <c r="D1050" s="1">
        <v>0</v>
      </c>
      <c r="E1050" s="1">
        <v>1</v>
      </c>
      <c r="F1050" s="1">
        <v>0</v>
      </c>
      <c r="G1050" s="1">
        <v>0</v>
      </c>
      <c r="H1050" s="1">
        <v>0</v>
      </c>
      <c r="I1050" s="1">
        <v>2</v>
      </c>
      <c r="J1050" s="1">
        <v>0</v>
      </c>
      <c r="K1050" s="1">
        <v>0</v>
      </c>
      <c r="L1050" s="1">
        <v>10</v>
      </c>
      <c r="M1050" s="1">
        <v>48</v>
      </c>
      <c r="N1050" s="1">
        <v>51</v>
      </c>
      <c r="O1050" s="1">
        <v>58</v>
      </c>
      <c r="P1050">
        <v>3.7529461279461281E-2</v>
      </c>
      <c r="Q1050">
        <v>7.152505446623092E-2</v>
      </c>
      <c r="R1050">
        <v>3.8212500000000003E-2</v>
      </c>
    </row>
    <row r="1051" spans="1:18">
      <c r="A1051" s="1">
        <v>78</v>
      </c>
      <c r="B1051" s="1">
        <v>1</v>
      </c>
      <c r="C1051" s="1">
        <v>0</v>
      </c>
      <c r="D1051" s="1">
        <v>0</v>
      </c>
      <c r="E1051" s="1">
        <v>1</v>
      </c>
      <c r="F1051" s="1">
        <v>1</v>
      </c>
      <c r="G1051" s="1">
        <v>6</v>
      </c>
      <c r="H1051" s="1">
        <v>1</v>
      </c>
      <c r="I1051" s="1">
        <v>2</v>
      </c>
      <c r="J1051" s="1">
        <v>1</v>
      </c>
      <c r="K1051" s="1">
        <v>1</v>
      </c>
      <c r="L1051" s="1">
        <v>10</v>
      </c>
      <c r="M1051" s="1">
        <v>48</v>
      </c>
      <c r="N1051" s="1">
        <v>51</v>
      </c>
      <c r="O1051" s="1">
        <v>58</v>
      </c>
      <c r="P1051">
        <v>0.14406565656565656</v>
      </c>
      <c r="Q1051">
        <v>0.14281045751633992</v>
      </c>
      <c r="R1051">
        <v>4.5258333333333324E-2</v>
      </c>
    </row>
    <row r="1052" spans="1:18">
      <c r="A1052" s="1">
        <v>79</v>
      </c>
      <c r="B1052" s="1">
        <v>1</v>
      </c>
      <c r="C1052" s="1">
        <v>1</v>
      </c>
      <c r="D1052" s="1">
        <v>1</v>
      </c>
      <c r="E1052" s="1">
        <v>0</v>
      </c>
      <c r="F1052" s="1">
        <v>16</v>
      </c>
      <c r="G1052" s="1">
        <v>6</v>
      </c>
      <c r="H1052" s="1">
        <v>3</v>
      </c>
      <c r="I1052" s="1">
        <v>2</v>
      </c>
      <c r="J1052" s="1">
        <v>5</v>
      </c>
      <c r="K1052" s="1">
        <v>6</v>
      </c>
      <c r="L1052" s="1">
        <v>10</v>
      </c>
      <c r="M1052" s="1">
        <v>48</v>
      </c>
      <c r="N1052" s="1">
        <v>51</v>
      </c>
      <c r="O1052" s="1">
        <v>58</v>
      </c>
      <c r="P1052">
        <v>0.18963945005611674</v>
      </c>
      <c r="Q1052">
        <v>0.24444989106753809</v>
      </c>
      <c r="R1052">
        <v>4.5066666666666665E-2</v>
      </c>
    </row>
    <row r="1053" spans="1:18">
      <c r="A1053" s="1">
        <v>80</v>
      </c>
      <c r="B1053" s="1">
        <v>1</v>
      </c>
      <c r="C1053" s="1">
        <v>1</v>
      </c>
      <c r="D1053" s="1">
        <v>1</v>
      </c>
      <c r="E1053" s="1">
        <v>1</v>
      </c>
      <c r="F1053" s="1">
        <v>23</v>
      </c>
      <c r="G1053" s="1">
        <v>18</v>
      </c>
      <c r="H1053" s="1">
        <v>3</v>
      </c>
      <c r="I1053" s="1">
        <v>2</v>
      </c>
      <c r="J1053" s="1">
        <v>6</v>
      </c>
      <c r="K1053" s="1">
        <v>7</v>
      </c>
      <c r="L1053" s="1">
        <v>10</v>
      </c>
      <c r="M1053" s="1">
        <v>48</v>
      </c>
      <c r="N1053" s="1">
        <v>51</v>
      </c>
      <c r="O1053" s="1">
        <v>58</v>
      </c>
      <c r="P1053">
        <v>0.2116835016835017</v>
      </c>
      <c r="Q1053">
        <v>0.17949891067538115</v>
      </c>
      <c r="R1053">
        <v>3.6695833333333351E-2</v>
      </c>
    </row>
    <row r="1054" spans="1:18">
      <c r="A1054" s="1">
        <v>81</v>
      </c>
      <c r="B1054" s="1">
        <v>1</v>
      </c>
      <c r="C1054" s="1">
        <v>1</v>
      </c>
      <c r="D1054" s="1">
        <v>0</v>
      </c>
      <c r="E1054" s="1">
        <v>0</v>
      </c>
      <c r="F1054" s="1">
        <v>7</v>
      </c>
      <c r="G1054" s="1">
        <v>6</v>
      </c>
      <c r="H1054" s="1">
        <v>2</v>
      </c>
      <c r="I1054" s="1">
        <v>2</v>
      </c>
      <c r="J1054" s="1">
        <v>3</v>
      </c>
      <c r="K1054" s="1">
        <v>3</v>
      </c>
      <c r="L1054" s="1">
        <v>10</v>
      </c>
      <c r="M1054" s="1">
        <v>48</v>
      </c>
      <c r="N1054" s="1">
        <v>51</v>
      </c>
      <c r="O1054" s="1">
        <v>58</v>
      </c>
      <c r="P1054">
        <v>0.18465909090909099</v>
      </c>
      <c r="Q1054">
        <v>0.18465686274509793</v>
      </c>
      <c r="R1054">
        <v>4.5095833333333356E-2</v>
      </c>
    </row>
    <row r="1055" spans="1:18">
      <c r="A1055" s="1">
        <v>82</v>
      </c>
      <c r="B1055" s="1">
        <v>1</v>
      </c>
      <c r="C1055" s="1">
        <v>1</v>
      </c>
      <c r="D1055" s="1">
        <v>1</v>
      </c>
      <c r="E1055" s="1">
        <v>1</v>
      </c>
      <c r="F1055" s="1">
        <v>21</v>
      </c>
      <c r="G1055" s="1">
        <v>18</v>
      </c>
      <c r="H1055" s="1">
        <v>3</v>
      </c>
      <c r="I1055" s="1">
        <v>2</v>
      </c>
      <c r="J1055" s="1">
        <v>6</v>
      </c>
      <c r="K1055" s="1">
        <v>7</v>
      </c>
      <c r="L1055" s="1">
        <v>10</v>
      </c>
      <c r="M1055" s="1">
        <v>48</v>
      </c>
      <c r="N1055" s="1">
        <v>51</v>
      </c>
      <c r="O1055" s="1">
        <v>58</v>
      </c>
      <c r="P1055">
        <v>0.16566498316498315</v>
      </c>
      <c r="Q1055">
        <v>0.12893246187363838</v>
      </c>
      <c r="R1055">
        <v>3.6641666666666649E-2</v>
      </c>
    </row>
    <row r="1056" spans="1:18">
      <c r="A1056" s="1">
        <v>83</v>
      </c>
      <c r="B1056" s="1">
        <v>1</v>
      </c>
      <c r="C1056" s="1">
        <v>1</v>
      </c>
      <c r="D1056" s="1">
        <v>1</v>
      </c>
      <c r="E1056" s="1">
        <v>1</v>
      </c>
      <c r="F1056" s="1">
        <v>18</v>
      </c>
      <c r="G1056" s="1">
        <v>6</v>
      </c>
      <c r="H1056" s="1">
        <v>3</v>
      </c>
      <c r="I1056" s="1">
        <v>2</v>
      </c>
      <c r="J1056" s="1">
        <v>5</v>
      </c>
      <c r="K1056" s="1">
        <v>6</v>
      </c>
      <c r="L1056" s="1">
        <v>10</v>
      </c>
      <c r="M1056" s="1">
        <v>48</v>
      </c>
      <c r="N1056" s="1">
        <v>51</v>
      </c>
      <c r="O1056" s="1">
        <v>58</v>
      </c>
      <c r="P1056">
        <v>0.14795875420875426</v>
      </c>
      <c r="Q1056">
        <v>0.15413943355119816</v>
      </c>
      <c r="R1056">
        <v>4.0212500000000005E-2</v>
      </c>
    </row>
    <row r="1057" spans="1:18">
      <c r="A1057" s="1">
        <v>84</v>
      </c>
      <c r="B1057" s="1">
        <v>1</v>
      </c>
      <c r="C1057" s="1">
        <v>1</v>
      </c>
      <c r="D1057" s="1">
        <v>1</v>
      </c>
      <c r="E1057" s="1">
        <v>1</v>
      </c>
      <c r="F1057" s="1">
        <v>24</v>
      </c>
      <c r="G1057" s="1">
        <v>18</v>
      </c>
      <c r="H1057" s="1">
        <v>3</v>
      </c>
      <c r="I1057" s="1">
        <v>2</v>
      </c>
      <c r="J1057" s="1">
        <v>6</v>
      </c>
      <c r="K1057" s="1">
        <v>7</v>
      </c>
      <c r="L1057" s="1">
        <v>10</v>
      </c>
      <c r="M1057" s="1">
        <v>48</v>
      </c>
      <c r="N1057" s="1">
        <v>51</v>
      </c>
      <c r="O1057" s="1">
        <v>58</v>
      </c>
      <c r="P1057">
        <v>0.1749494949494948</v>
      </c>
      <c r="Q1057">
        <v>0.16954248366013069</v>
      </c>
      <c r="R1057">
        <v>4.3799999999999985E-2</v>
      </c>
    </row>
    <row r="1058" spans="1:18">
      <c r="A1058" s="1">
        <v>85</v>
      </c>
      <c r="B1058" s="1">
        <v>1</v>
      </c>
      <c r="C1058" s="1">
        <v>1</v>
      </c>
      <c r="D1058" s="1">
        <v>1</v>
      </c>
      <c r="E1058" s="1">
        <v>1</v>
      </c>
      <c r="F1058" s="1">
        <v>20</v>
      </c>
      <c r="G1058" s="1">
        <v>18</v>
      </c>
      <c r="H1058" s="1">
        <v>3</v>
      </c>
      <c r="I1058" s="1">
        <v>2</v>
      </c>
      <c r="J1058" s="1">
        <v>6</v>
      </c>
      <c r="K1058" s="1">
        <v>7</v>
      </c>
      <c r="L1058" s="1">
        <v>10</v>
      </c>
      <c r="M1058" s="1">
        <v>48</v>
      </c>
      <c r="N1058" s="1">
        <v>51</v>
      </c>
      <c r="O1058" s="1">
        <v>58</v>
      </c>
      <c r="P1058">
        <v>0.12239478114478107</v>
      </c>
      <c r="Q1058">
        <v>0.1320043572984749</v>
      </c>
      <c r="R1058">
        <v>3.8945833333333346E-2</v>
      </c>
    </row>
    <row r="1059" spans="1:18">
      <c r="A1059" s="1">
        <v>86</v>
      </c>
      <c r="B1059" s="1">
        <v>1</v>
      </c>
      <c r="C1059" s="1">
        <v>1</v>
      </c>
      <c r="D1059" s="1">
        <v>1</v>
      </c>
      <c r="E1059" s="1">
        <v>1</v>
      </c>
      <c r="F1059" s="1">
        <v>17</v>
      </c>
      <c r="G1059" s="1">
        <v>6</v>
      </c>
      <c r="H1059" s="1">
        <v>3</v>
      </c>
      <c r="I1059" s="1">
        <v>2</v>
      </c>
      <c r="J1059" s="1">
        <v>5</v>
      </c>
      <c r="K1059" s="1">
        <v>6</v>
      </c>
      <c r="L1059" s="1">
        <v>10</v>
      </c>
      <c r="M1059" s="1">
        <v>48</v>
      </c>
      <c r="N1059" s="1">
        <v>51</v>
      </c>
      <c r="O1059" s="1">
        <v>58</v>
      </c>
      <c r="P1059">
        <v>0.12665824915824916</v>
      </c>
      <c r="Q1059">
        <v>0.12583877995642714</v>
      </c>
      <c r="R1059">
        <v>4.2600000000000006E-2</v>
      </c>
    </row>
    <row r="1060" spans="1:18">
      <c r="A1060" s="1">
        <v>87</v>
      </c>
      <c r="B1060" s="1">
        <v>0</v>
      </c>
      <c r="C1060" s="1">
        <v>1</v>
      </c>
      <c r="D1060" s="1">
        <v>1</v>
      </c>
      <c r="E1060" s="1">
        <v>0</v>
      </c>
      <c r="F1060" s="1">
        <v>12</v>
      </c>
      <c r="G1060" s="1">
        <v>6</v>
      </c>
      <c r="H1060" s="1">
        <v>2</v>
      </c>
      <c r="I1060" s="1">
        <v>2</v>
      </c>
      <c r="J1060" s="1">
        <v>4</v>
      </c>
      <c r="K1060" s="1">
        <v>4</v>
      </c>
      <c r="L1060" s="1">
        <v>10</v>
      </c>
      <c r="M1060" s="1">
        <v>48</v>
      </c>
      <c r="N1060" s="1">
        <v>51</v>
      </c>
      <c r="O1060" s="1">
        <v>58</v>
      </c>
      <c r="P1060">
        <v>5.3051346801346821E-2</v>
      </c>
      <c r="Q1060">
        <v>5.0375816993464058E-2</v>
      </c>
      <c r="R1060">
        <v>4.0450000000000007E-2</v>
      </c>
    </row>
    <row r="1061" spans="1:18">
      <c r="A1061" s="1">
        <v>88</v>
      </c>
      <c r="B1061" s="1">
        <v>1</v>
      </c>
      <c r="C1061" s="1">
        <v>1</v>
      </c>
      <c r="D1061" s="1">
        <v>1</v>
      </c>
      <c r="E1061" s="1">
        <v>1</v>
      </c>
      <c r="F1061" s="1">
        <v>15</v>
      </c>
      <c r="G1061" s="1">
        <v>6</v>
      </c>
      <c r="H1061" s="1">
        <v>3</v>
      </c>
      <c r="I1061" s="1">
        <v>2</v>
      </c>
      <c r="J1061" s="1">
        <v>5</v>
      </c>
      <c r="K1061" s="1">
        <v>5</v>
      </c>
      <c r="L1061" s="1">
        <v>10</v>
      </c>
      <c r="M1061" s="1">
        <v>48</v>
      </c>
      <c r="N1061" s="1">
        <v>51</v>
      </c>
      <c r="O1061" s="1">
        <v>58</v>
      </c>
      <c r="P1061">
        <v>0.15488215488215495</v>
      </c>
      <c r="Q1061">
        <v>0.17331154684095845</v>
      </c>
      <c r="R1061">
        <v>4.9566666666666648E-2</v>
      </c>
    </row>
    <row r="1062" spans="1:18">
      <c r="A1062" s="1">
        <v>89</v>
      </c>
      <c r="B1062" s="1">
        <v>1</v>
      </c>
      <c r="C1062" s="1">
        <v>0</v>
      </c>
      <c r="D1062" s="1">
        <v>0</v>
      </c>
      <c r="E1062" s="1">
        <v>0</v>
      </c>
      <c r="F1062" s="1">
        <v>3</v>
      </c>
      <c r="G1062" s="1">
        <v>6</v>
      </c>
      <c r="H1062" s="1">
        <v>1</v>
      </c>
      <c r="I1062" s="1">
        <v>2</v>
      </c>
      <c r="J1062" s="1">
        <v>1</v>
      </c>
      <c r="K1062" s="1">
        <v>1</v>
      </c>
      <c r="L1062" s="1">
        <v>10</v>
      </c>
      <c r="M1062" s="1">
        <v>48</v>
      </c>
      <c r="N1062" s="1">
        <v>51</v>
      </c>
      <c r="O1062" s="1">
        <v>58</v>
      </c>
      <c r="P1062">
        <v>0.16852553310886639</v>
      </c>
      <c r="Q1062">
        <v>0.15430827886710227</v>
      </c>
      <c r="R1062">
        <v>5.0850000000000006E-2</v>
      </c>
    </row>
    <row r="1063" spans="1:18">
      <c r="A1063" s="1">
        <v>90</v>
      </c>
      <c r="B1063" s="1">
        <v>1</v>
      </c>
      <c r="C1063" s="1">
        <v>1</v>
      </c>
      <c r="D1063" s="1">
        <v>1</v>
      </c>
      <c r="E1063" s="1">
        <v>1</v>
      </c>
      <c r="F1063" s="1">
        <v>16</v>
      </c>
      <c r="G1063" s="1">
        <v>6</v>
      </c>
      <c r="H1063" s="1">
        <v>3</v>
      </c>
      <c r="I1063" s="1">
        <v>2</v>
      </c>
      <c r="J1063" s="1">
        <v>5</v>
      </c>
      <c r="K1063" s="1">
        <v>6</v>
      </c>
      <c r="L1063" s="1">
        <v>10</v>
      </c>
      <c r="M1063" s="1">
        <v>48</v>
      </c>
      <c r="N1063" s="1">
        <v>51</v>
      </c>
      <c r="O1063" s="1">
        <v>58</v>
      </c>
      <c r="P1063">
        <v>7.5530303030302962E-2</v>
      </c>
      <c r="Q1063">
        <v>7.5686274509803864E-2</v>
      </c>
      <c r="R1063">
        <v>5.2137499999999982E-2</v>
      </c>
    </row>
    <row r="1064" spans="1:18">
      <c r="A1064" s="1">
        <v>91</v>
      </c>
      <c r="B1064" s="1">
        <v>1</v>
      </c>
      <c r="C1064" s="1">
        <v>1</v>
      </c>
      <c r="D1064" s="1">
        <v>1</v>
      </c>
      <c r="E1064" s="1">
        <v>0</v>
      </c>
      <c r="F1064" s="1">
        <v>22</v>
      </c>
      <c r="G1064" s="1">
        <v>18</v>
      </c>
      <c r="H1064" s="1">
        <v>3</v>
      </c>
      <c r="I1064" s="1">
        <v>2</v>
      </c>
      <c r="J1064" s="1">
        <v>6</v>
      </c>
      <c r="K1064" s="1">
        <v>7</v>
      </c>
      <c r="L1064" s="1">
        <v>10</v>
      </c>
      <c r="M1064" s="1">
        <v>48</v>
      </c>
      <c r="N1064" s="1">
        <v>51</v>
      </c>
      <c r="O1064" s="1">
        <v>58</v>
      </c>
      <c r="P1064">
        <v>0.17036335578002246</v>
      </c>
      <c r="Q1064">
        <v>0.17098583877995638</v>
      </c>
      <c r="R1064">
        <v>4.9166666666666671E-2</v>
      </c>
    </row>
    <row r="1065" spans="1:18">
      <c r="A1065" s="1">
        <v>92</v>
      </c>
      <c r="B1065" s="1">
        <v>1</v>
      </c>
      <c r="C1065" s="1">
        <v>1</v>
      </c>
      <c r="D1065" s="1">
        <v>0</v>
      </c>
      <c r="E1065" s="1">
        <v>1</v>
      </c>
      <c r="F1065" s="1">
        <v>7</v>
      </c>
      <c r="G1065" s="1">
        <v>6</v>
      </c>
      <c r="H1065" s="1">
        <v>2</v>
      </c>
      <c r="I1065" s="1">
        <v>2</v>
      </c>
      <c r="J1065" s="1">
        <v>3</v>
      </c>
      <c r="K1065" s="1">
        <v>3</v>
      </c>
      <c r="L1065" s="1">
        <v>10</v>
      </c>
      <c r="M1065" s="1">
        <v>48</v>
      </c>
      <c r="N1065" s="1">
        <v>51</v>
      </c>
      <c r="O1065" s="1">
        <v>58</v>
      </c>
      <c r="P1065">
        <v>0.1363299663299663</v>
      </c>
      <c r="Q1065">
        <v>0.18100217864923746</v>
      </c>
      <c r="R1065">
        <v>4.1279166666666679E-2</v>
      </c>
    </row>
    <row r="1066" spans="1:18">
      <c r="A1066" s="1">
        <v>93</v>
      </c>
      <c r="B1066" s="1">
        <v>0</v>
      </c>
      <c r="C1066" s="1">
        <v>1</v>
      </c>
      <c r="D1066" s="1">
        <v>1</v>
      </c>
      <c r="E1066" s="1">
        <v>1</v>
      </c>
      <c r="F1066" s="1">
        <v>11</v>
      </c>
      <c r="G1066" s="1">
        <v>6</v>
      </c>
      <c r="H1066" s="1">
        <v>2</v>
      </c>
      <c r="I1066" s="1">
        <v>2</v>
      </c>
      <c r="J1066" s="1">
        <v>4</v>
      </c>
      <c r="K1066" s="1">
        <v>4</v>
      </c>
      <c r="L1066" s="1">
        <v>10</v>
      </c>
      <c r="M1066" s="1">
        <v>48</v>
      </c>
      <c r="N1066" s="1">
        <v>51</v>
      </c>
      <c r="O1066" s="1">
        <v>58</v>
      </c>
      <c r="P1066">
        <v>6.3320707070707083E-2</v>
      </c>
      <c r="Q1066">
        <v>8.366013071895409E-2</v>
      </c>
      <c r="R1066">
        <v>4.4116666666666672E-2</v>
      </c>
    </row>
    <row r="1067" spans="1:18">
      <c r="A1067" s="1">
        <v>94</v>
      </c>
      <c r="B1067" s="1">
        <v>1</v>
      </c>
      <c r="C1067" s="1">
        <v>0</v>
      </c>
      <c r="D1067" s="1">
        <v>0</v>
      </c>
      <c r="E1067" s="1">
        <v>1</v>
      </c>
      <c r="F1067" s="1">
        <v>3</v>
      </c>
      <c r="G1067" s="1">
        <v>6</v>
      </c>
      <c r="H1067" s="1">
        <v>1</v>
      </c>
      <c r="I1067" s="1">
        <v>2</v>
      </c>
      <c r="J1067" s="1">
        <v>1</v>
      </c>
      <c r="K1067" s="1">
        <v>1</v>
      </c>
      <c r="L1067" s="1">
        <v>10</v>
      </c>
      <c r="M1067" s="1">
        <v>48</v>
      </c>
      <c r="N1067" s="1">
        <v>51</v>
      </c>
      <c r="O1067" s="1">
        <v>58</v>
      </c>
      <c r="P1067">
        <v>0.14409932659932667</v>
      </c>
      <c r="Q1067">
        <v>0.23337690631808292</v>
      </c>
      <c r="R1067">
        <v>4.2408333333333346E-2</v>
      </c>
    </row>
    <row r="1068" spans="1:18">
      <c r="A1068" s="1">
        <v>95</v>
      </c>
      <c r="B1068" s="1">
        <v>1</v>
      </c>
      <c r="C1068" s="1">
        <v>1</v>
      </c>
      <c r="D1068" s="1">
        <v>0</v>
      </c>
      <c r="E1068" s="1">
        <v>1</v>
      </c>
      <c r="F1068" s="1">
        <v>8</v>
      </c>
      <c r="G1068" s="1">
        <v>6</v>
      </c>
      <c r="H1068" s="1">
        <v>2</v>
      </c>
      <c r="I1068" s="1">
        <v>2</v>
      </c>
      <c r="J1068" s="1">
        <v>3</v>
      </c>
      <c r="K1068" s="1">
        <v>3</v>
      </c>
      <c r="L1068" s="1">
        <v>10</v>
      </c>
      <c r="M1068" s="1">
        <v>48</v>
      </c>
      <c r="N1068" s="1">
        <v>51</v>
      </c>
      <c r="O1068" s="1">
        <v>58</v>
      </c>
      <c r="P1068">
        <v>0.18321127946127941</v>
      </c>
      <c r="Q1068">
        <v>0.17427015250544656</v>
      </c>
      <c r="R1068">
        <v>3.9766666666666672E-2</v>
      </c>
    </row>
    <row r="1069" spans="1:18">
      <c r="A1069" s="1">
        <v>96</v>
      </c>
      <c r="B1069" s="1">
        <v>1</v>
      </c>
      <c r="C1069" s="1">
        <v>1</v>
      </c>
      <c r="D1069" s="1">
        <v>0</v>
      </c>
      <c r="E1069" s="1">
        <v>1</v>
      </c>
      <c r="F1069" s="1">
        <v>9</v>
      </c>
      <c r="G1069" s="1">
        <v>6</v>
      </c>
      <c r="H1069" s="1">
        <v>2</v>
      </c>
      <c r="I1069" s="1">
        <v>2</v>
      </c>
      <c r="J1069" s="1">
        <v>3</v>
      </c>
      <c r="K1069" s="1">
        <v>3</v>
      </c>
      <c r="L1069" s="1">
        <v>10</v>
      </c>
      <c r="M1069" s="1">
        <v>48</v>
      </c>
      <c r="N1069" s="1">
        <v>51</v>
      </c>
      <c r="O1069" s="1">
        <v>58</v>
      </c>
      <c r="P1069">
        <v>0.17080808080808071</v>
      </c>
      <c r="Q1069">
        <v>0.16810457516339866</v>
      </c>
      <c r="R1069">
        <v>4.5704166666666657E-2</v>
      </c>
    </row>
    <row r="1070" spans="1:18">
      <c r="A1070" s="1">
        <v>97</v>
      </c>
      <c r="B1070" s="1">
        <v>1</v>
      </c>
      <c r="C1070" s="1">
        <v>1</v>
      </c>
      <c r="D1070" s="1">
        <v>1</v>
      </c>
      <c r="E1070" s="1">
        <v>1</v>
      </c>
      <c r="F1070" s="1">
        <v>19</v>
      </c>
      <c r="G1070" s="1">
        <v>6</v>
      </c>
      <c r="H1070" s="1">
        <v>3</v>
      </c>
      <c r="I1070" s="1">
        <v>2</v>
      </c>
      <c r="J1070" s="1">
        <v>5</v>
      </c>
      <c r="K1070" s="1">
        <v>6</v>
      </c>
      <c r="L1070" s="1">
        <v>10</v>
      </c>
      <c r="M1070" s="1">
        <v>48</v>
      </c>
      <c r="N1070" s="1">
        <v>51</v>
      </c>
      <c r="O1070" s="1">
        <v>58</v>
      </c>
      <c r="P1070">
        <v>0.12734427609427607</v>
      </c>
      <c r="Q1070">
        <v>0.16488017429193907</v>
      </c>
      <c r="R1070">
        <v>3.757499999999999E-2</v>
      </c>
    </row>
    <row r="1071" spans="1:18">
      <c r="A1071" s="1">
        <v>98</v>
      </c>
      <c r="B1071" s="1">
        <v>1</v>
      </c>
      <c r="C1071" s="1">
        <v>1</v>
      </c>
      <c r="D1071" s="1">
        <v>1</v>
      </c>
      <c r="E1071" s="1">
        <v>1</v>
      </c>
      <c r="F1071" s="1">
        <v>25</v>
      </c>
      <c r="G1071" s="1">
        <v>18</v>
      </c>
      <c r="H1071" s="1">
        <v>3</v>
      </c>
      <c r="I1071" s="1">
        <v>2</v>
      </c>
      <c r="J1071" s="1">
        <v>6</v>
      </c>
      <c r="K1071" s="1">
        <v>7</v>
      </c>
      <c r="L1071" s="1">
        <v>10</v>
      </c>
      <c r="M1071" s="1">
        <v>48</v>
      </c>
      <c r="N1071" s="1">
        <v>51</v>
      </c>
      <c r="O1071" s="1">
        <v>58</v>
      </c>
      <c r="P1071">
        <v>0.10736531986531997</v>
      </c>
      <c r="Q1071">
        <v>0.12636165577342057</v>
      </c>
      <c r="R1071">
        <v>3.314166666666666E-2</v>
      </c>
    </row>
    <row r="1072" spans="1:18">
      <c r="A1072" s="1">
        <v>99</v>
      </c>
      <c r="B1072" s="1">
        <v>1</v>
      </c>
      <c r="C1072" s="1">
        <v>1</v>
      </c>
      <c r="D1072" s="1">
        <v>1</v>
      </c>
      <c r="E1072" s="1">
        <v>0</v>
      </c>
      <c r="F1072" s="1">
        <v>26</v>
      </c>
      <c r="G1072" s="1">
        <v>18</v>
      </c>
      <c r="H1072" s="1">
        <v>3</v>
      </c>
      <c r="I1072" s="1">
        <v>2</v>
      </c>
      <c r="J1072" s="1">
        <v>6</v>
      </c>
      <c r="K1072" s="1">
        <v>7</v>
      </c>
      <c r="L1072" s="1">
        <v>10</v>
      </c>
      <c r="M1072" s="1">
        <v>48</v>
      </c>
      <c r="N1072" s="1">
        <v>51</v>
      </c>
      <c r="O1072" s="1">
        <v>58</v>
      </c>
      <c r="P1072">
        <v>0.20119949494949499</v>
      </c>
      <c r="Q1072">
        <v>0.19259803921568622</v>
      </c>
      <c r="R1072">
        <v>4.4158333333333334E-2</v>
      </c>
    </row>
    <row r="1073" spans="1:18">
      <c r="A1073" s="1">
        <v>100</v>
      </c>
      <c r="B1073" s="1">
        <v>1</v>
      </c>
      <c r="C1073" s="1">
        <v>1</v>
      </c>
      <c r="D1073" s="1">
        <v>1</v>
      </c>
      <c r="E1073" s="1">
        <v>1</v>
      </c>
      <c r="F1073" s="1">
        <v>22</v>
      </c>
      <c r="G1073" s="1">
        <v>18</v>
      </c>
      <c r="H1073" s="1">
        <v>3</v>
      </c>
      <c r="I1073" s="1">
        <v>2</v>
      </c>
      <c r="J1073" s="1">
        <v>6</v>
      </c>
      <c r="K1073" s="1">
        <v>7</v>
      </c>
      <c r="L1073" s="1">
        <v>10</v>
      </c>
      <c r="M1073" s="1">
        <v>48</v>
      </c>
      <c r="N1073" s="1">
        <v>51</v>
      </c>
      <c r="O1073" s="1">
        <v>58</v>
      </c>
      <c r="P1073">
        <v>0.12801346801346794</v>
      </c>
      <c r="Q1073">
        <v>0.11403050108932464</v>
      </c>
      <c r="R1073">
        <v>3.524583333333333E-2</v>
      </c>
    </row>
    <row r="1074" spans="1:18">
      <c r="A1074" s="1">
        <v>101</v>
      </c>
      <c r="B1074" s="1">
        <v>1</v>
      </c>
      <c r="C1074" s="1">
        <v>1</v>
      </c>
      <c r="D1074" s="1">
        <v>1</v>
      </c>
      <c r="E1074" s="1">
        <v>1</v>
      </c>
      <c r="F1074" s="1">
        <v>13</v>
      </c>
      <c r="G1074" s="1">
        <v>6</v>
      </c>
      <c r="H1074" s="1">
        <v>3</v>
      </c>
      <c r="I1074" s="1">
        <v>2</v>
      </c>
      <c r="J1074" s="1">
        <v>5</v>
      </c>
      <c r="K1074" s="1">
        <v>5</v>
      </c>
      <c r="L1074" s="1">
        <v>10</v>
      </c>
      <c r="M1074" s="1">
        <v>48</v>
      </c>
      <c r="N1074" s="1">
        <v>51</v>
      </c>
      <c r="O1074" s="1">
        <v>58</v>
      </c>
      <c r="P1074">
        <v>0.14591329966329963</v>
      </c>
      <c r="Q1074">
        <v>0.11570806100217869</v>
      </c>
      <c r="R1074">
        <v>4.4141666666666669E-2</v>
      </c>
    </row>
    <row r="1075" spans="1:18">
      <c r="A1075" s="1">
        <v>102</v>
      </c>
      <c r="B1075" s="1">
        <v>0</v>
      </c>
      <c r="C1075" s="1">
        <v>1</v>
      </c>
      <c r="D1075" s="1">
        <v>0</v>
      </c>
      <c r="E1075" s="1">
        <v>1</v>
      </c>
      <c r="F1075" s="1">
        <v>4</v>
      </c>
      <c r="G1075" s="1">
        <v>6</v>
      </c>
      <c r="H1075" s="1">
        <v>1</v>
      </c>
      <c r="I1075" s="1">
        <v>2</v>
      </c>
      <c r="J1075" s="1">
        <v>2</v>
      </c>
      <c r="K1075" s="1">
        <v>2</v>
      </c>
      <c r="L1075" s="1">
        <v>10</v>
      </c>
      <c r="M1075" s="1">
        <v>48</v>
      </c>
      <c r="N1075" s="1">
        <v>51</v>
      </c>
      <c r="O1075" s="1">
        <v>58</v>
      </c>
      <c r="P1075">
        <v>0.13881313131313128</v>
      </c>
      <c r="Q1075">
        <v>9.2875816993464186E-2</v>
      </c>
      <c r="R1075">
        <v>4.8550000000000003E-2</v>
      </c>
    </row>
    <row r="1076" spans="1:18">
      <c r="A1076" s="1">
        <v>103</v>
      </c>
      <c r="B1076" s="1">
        <v>0</v>
      </c>
      <c r="C1076" s="1">
        <v>1</v>
      </c>
      <c r="D1076" s="1">
        <v>1</v>
      </c>
      <c r="E1076" s="1">
        <v>1</v>
      </c>
      <c r="F1076" s="1">
        <v>10</v>
      </c>
      <c r="G1076" s="1">
        <v>6</v>
      </c>
      <c r="H1076" s="1">
        <v>2</v>
      </c>
      <c r="I1076" s="1">
        <v>2</v>
      </c>
      <c r="J1076" s="1">
        <v>4</v>
      </c>
      <c r="K1076" s="1">
        <v>4</v>
      </c>
      <c r="L1076" s="1">
        <v>10</v>
      </c>
      <c r="M1076" s="1">
        <v>48</v>
      </c>
      <c r="N1076" s="1">
        <v>51</v>
      </c>
      <c r="O1076" s="1">
        <v>58</v>
      </c>
      <c r="P1076">
        <v>0.16201599326599331</v>
      </c>
      <c r="Q1076">
        <v>0.16514161220043577</v>
      </c>
      <c r="R1076">
        <v>3.1441666666666666E-2</v>
      </c>
    </row>
    <row r="1077" spans="1:18">
      <c r="A1077" s="1">
        <v>104</v>
      </c>
      <c r="B1077" s="1">
        <v>0</v>
      </c>
      <c r="C1077" s="1">
        <v>1</v>
      </c>
      <c r="D1077" s="1">
        <v>1</v>
      </c>
      <c r="E1077" s="1">
        <v>1</v>
      </c>
      <c r="F1077" s="1">
        <v>12</v>
      </c>
      <c r="G1077" s="1">
        <v>6</v>
      </c>
      <c r="H1077" s="1">
        <v>2</v>
      </c>
      <c r="I1077" s="1">
        <v>2</v>
      </c>
      <c r="J1077" s="1">
        <v>4</v>
      </c>
      <c r="K1077" s="1">
        <v>4</v>
      </c>
      <c r="L1077" s="1">
        <v>10</v>
      </c>
      <c r="M1077" s="1">
        <v>48</v>
      </c>
      <c r="N1077" s="1">
        <v>51</v>
      </c>
      <c r="O1077" s="1">
        <v>58</v>
      </c>
      <c r="P1077">
        <v>0.26021885521885529</v>
      </c>
      <c r="Q1077">
        <v>0.21485838779956429</v>
      </c>
      <c r="R1077">
        <v>3.5641666666666662E-2</v>
      </c>
    </row>
    <row r="1078" spans="1:18">
      <c r="A1078" s="1">
        <v>105</v>
      </c>
      <c r="B1078" s="1">
        <v>1</v>
      </c>
      <c r="C1078" s="1">
        <v>1</v>
      </c>
      <c r="D1078" s="1">
        <v>1</v>
      </c>
      <c r="E1078" s="1">
        <v>1</v>
      </c>
      <c r="F1078" s="1">
        <v>14</v>
      </c>
      <c r="G1078" s="1">
        <v>6</v>
      </c>
      <c r="H1078" s="1">
        <v>3</v>
      </c>
      <c r="I1078" s="1">
        <v>2</v>
      </c>
      <c r="J1078" s="1">
        <v>5</v>
      </c>
      <c r="K1078" s="1">
        <v>5</v>
      </c>
      <c r="L1078" s="1">
        <v>10</v>
      </c>
      <c r="M1078" s="1">
        <v>48</v>
      </c>
      <c r="N1078" s="1">
        <v>51</v>
      </c>
      <c r="O1078" s="1">
        <v>58</v>
      </c>
      <c r="P1078">
        <v>0.20463383838383845</v>
      </c>
      <c r="Q1078">
        <v>0.20379084967320266</v>
      </c>
      <c r="R1078">
        <v>3.9404166666666664E-2</v>
      </c>
    </row>
    <row r="1079" spans="1:18">
      <c r="A1079" s="1">
        <v>106</v>
      </c>
      <c r="B1079" s="1">
        <v>1</v>
      </c>
      <c r="C1079" s="1">
        <v>1</v>
      </c>
      <c r="D1079" s="1">
        <v>1</v>
      </c>
      <c r="E1079" s="1">
        <v>0</v>
      </c>
      <c r="F1079" s="1">
        <v>19</v>
      </c>
      <c r="G1079" s="1">
        <v>6</v>
      </c>
      <c r="H1079" s="1">
        <v>3</v>
      </c>
      <c r="I1079" s="1">
        <v>2</v>
      </c>
      <c r="J1079" s="1">
        <v>5</v>
      </c>
      <c r="K1079" s="1">
        <v>6</v>
      </c>
      <c r="L1079" s="1">
        <v>10</v>
      </c>
      <c r="M1079" s="1">
        <v>48</v>
      </c>
      <c r="N1079" s="1">
        <v>51</v>
      </c>
      <c r="O1079" s="1">
        <v>58</v>
      </c>
      <c r="P1079">
        <v>0.17240460157126825</v>
      </c>
      <c r="Q1079">
        <v>0.17744008714596948</v>
      </c>
      <c r="R1079">
        <v>4.5587500000000003E-2</v>
      </c>
    </row>
    <row r="1080" spans="1:18">
      <c r="A1080" s="1">
        <v>107</v>
      </c>
      <c r="B1080" s="1">
        <v>1</v>
      </c>
      <c r="C1080" s="1">
        <v>1</v>
      </c>
      <c r="D1080" s="1">
        <v>1</v>
      </c>
      <c r="E1080" s="1">
        <v>1</v>
      </c>
      <c r="F1080" s="1">
        <v>26</v>
      </c>
      <c r="G1080" s="1">
        <v>18</v>
      </c>
      <c r="H1080" s="1">
        <v>3</v>
      </c>
      <c r="I1080" s="1">
        <v>2</v>
      </c>
      <c r="J1080" s="1">
        <v>6</v>
      </c>
      <c r="K1080" s="1">
        <v>7</v>
      </c>
      <c r="L1080" s="1">
        <v>10</v>
      </c>
      <c r="M1080" s="1">
        <v>48</v>
      </c>
      <c r="N1080" s="1">
        <v>51</v>
      </c>
      <c r="O1080" s="1">
        <v>58</v>
      </c>
      <c r="P1080">
        <v>0.14422138047138047</v>
      </c>
      <c r="Q1080">
        <v>0.1444008714596951</v>
      </c>
      <c r="R1080">
        <v>4.3245833333333317E-2</v>
      </c>
    </row>
    <row r="1081" spans="1:18">
      <c r="A1081" s="1">
        <v>108</v>
      </c>
      <c r="B1081" s="1">
        <v>1</v>
      </c>
      <c r="C1081" s="1">
        <v>0</v>
      </c>
      <c r="D1081" s="1">
        <v>0</v>
      </c>
      <c r="E1081" s="1">
        <v>1</v>
      </c>
      <c r="F1081" s="1">
        <v>2</v>
      </c>
      <c r="G1081" s="1">
        <v>6</v>
      </c>
      <c r="H1081" s="1">
        <v>1</v>
      </c>
      <c r="I1081" s="1">
        <v>2</v>
      </c>
      <c r="J1081" s="1">
        <v>1</v>
      </c>
      <c r="K1081" s="1">
        <v>1</v>
      </c>
      <c r="L1081" s="1">
        <v>10</v>
      </c>
      <c r="M1081" s="1">
        <v>48</v>
      </c>
      <c r="N1081" s="1">
        <v>51</v>
      </c>
      <c r="O1081" s="1">
        <v>58</v>
      </c>
      <c r="P1081">
        <v>0.13333333333333333</v>
      </c>
      <c r="Q1081">
        <v>0.1803921568627451</v>
      </c>
      <c r="R1081">
        <v>4.7195833333333347E-2</v>
      </c>
    </row>
    <row r="1082" spans="1:18">
      <c r="A1082" s="1">
        <v>1</v>
      </c>
      <c r="B1082" s="1">
        <v>1</v>
      </c>
      <c r="C1082" s="1">
        <v>1</v>
      </c>
      <c r="D1082" s="1">
        <v>1</v>
      </c>
      <c r="E1082" s="1">
        <v>0</v>
      </c>
      <c r="F1082" s="1">
        <v>14</v>
      </c>
      <c r="G1082" s="1">
        <v>6</v>
      </c>
      <c r="H1082" s="1">
        <v>3</v>
      </c>
      <c r="I1082" s="1">
        <v>1</v>
      </c>
      <c r="J1082" s="1">
        <v>5</v>
      </c>
      <c r="K1082" s="1">
        <v>5</v>
      </c>
      <c r="L1082" s="1">
        <v>11</v>
      </c>
      <c r="M1082" s="1">
        <v>54</v>
      </c>
      <c r="N1082" s="1">
        <v>58</v>
      </c>
      <c r="O1082" s="1">
        <v>65</v>
      </c>
      <c r="P1082">
        <v>0.26182887266828869</v>
      </c>
      <c r="Q1082">
        <v>0.3472029320987654</v>
      </c>
      <c r="R1082">
        <v>4.7870833333333342E-2</v>
      </c>
    </row>
    <row r="1083" spans="1:18">
      <c r="A1083" s="1">
        <v>2</v>
      </c>
      <c r="B1083" s="1">
        <v>1</v>
      </c>
      <c r="C1083" s="1">
        <v>1</v>
      </c>
      <c r="D1083" s="1">
        <v>1</v>
      </c>
      <c r="E1083" s="1">
        <v>0</v>
      </c>
      <c r="F1083" s="1">
        <v>15</v>
      </c>
      <c r="G1083" s="1">
        <v>6</v>
      </c>
      <c r="H1083" s="1">
        <v>3</v>
      </c>
      <c r="I1083" s="1">
        <v>1</v>
      </c>
      <c r="J1083" s="1">
        <v>5</v>
      </c>
      <c r="K1083" s="1">
        <v>5</v>
      </c>
      <c r="L1083" s="1">
        <v>11</v>
      </c>
      <c r="M1083" s="1">
        <v>54</v>
      </c>
      <c r="N1083" s="1">
        <v>58</v>
      </c>
      <c r="O1083" s="1">
        <v>65</v>
      </c>
      <c r="P1083">
        <v>0.34365774533657756</v>
      </c>
      <c r="Q1083">
        <v>0.51732253086419766</v>
      </c>
      <c r="R1083">
        <v>4.039166666666668E-2</v>
      </c>
    </row>
    <row r="1084" spans="1:18">
      <c r="A1084" s="1">
        <v>3</v>
      </c>
      <c r="B1084" s="1">
        <v>1</v>
      </c>
      <c r="C1084" s="1">
        <v>1</v>
      </c>
      <c r="D1084" s="1">
        <v>1</v>
      </c>
      <c r="E1084" s="1">
        <v>0</v>
      </c>
      <c r="F1084" s="1">
        <v>13</v>
      </c>
      <c r="G1084" s="1">
        <v>6</v>
      </c>
      <c r="H1084" s="1">
        <v>3</v>
      </c>
      <c r="I1084" s="1">
        <v>1</v>
      </c>
      <c r="J1084" s="1">
        <v>5</v>
      </c>
      <c r="K1084" s="1">
        <v>5</v>
      </c>
      <c r="L1084" s="1">
        <v>11</v>
      </c>
      <c r="M1084" s="1">
        <v>54</v>
      </c>
      <c r="N1084" s="1">
        <v>58</v>
      </c>
      <c r="O1084" s="1">
        <v>65</v>
      </c>
      <c r="P1084">
        <v>0.33570559610705603</v>
      </c>
      <c r="Q1084">
        <v>0.44160879629629612</v>
      </c>
      <c r="R1084">
        <v>4.0545833333333337E-2</v>
      </c>
    </row>
    <row r="1085" spans="1:18">
      <c r="A1085" s="1">
        <v>4</v>
      </c>
      <c r="B1085" s="1">
        <v>1</v>
      </c>
      <c r="C1085" s="1">
        <v>0</v>
      </c>
      <c r="D1085" s="1">
        <v>0</v>
      </c>
      <c r="E1085" s="1">
        <v>0</v>
      </c>
      <c r="F1085" s="1">
        <v>1</v>
      </c>
      <c r="G1085" s="1">
        <v>6</v>
      </c>
      <c r="H1085" s="1">
        <v>1</v>
      </c>
      <c r="I1085" s="1">
        <v>1</v>
      </c>
      <c r="J1085" s="1">
        <v>1</v>
      </c>
      <c r="K1085" s="1">
        <v>1</v>
      </c>
      <c r="L1085" s="1">
        <v>11</v>
      </c>
      <c r="M1085" s="1">
        <v>54</v>
      </c>
      <c r="N1085" s="1">
        <v>58</v>
      </c>
      <c r="O1085" s="1">
        <v>65</v>
      </c>
      <c r="P1085">
        <v>0.19782643957826446</v>
      </c>
      <c r="Q1085">
        <v>0.33881172839506168</v>
      </c>
      <c r="R1085">
        <v>3.8854166666666669E-2</v>
      </c>
    </row>
    <row r="1086" spans="1:18">
      <c r="A1086" s="1">
        <v>5</v>
      </c>
      <c r="B1086" s="1">
        <v>1</v>
      </c>
      <c r="C1086" s="1">
        <v>1</v>
      </c>
      <c r="D1086" s="1">
        <v>0</v>
      </c>
      <c r="E1086" s="1">
        <v>0</v>
      </c>
      <c r="F1086" s="1">
        <v>8</v>
      </c>
      <c r="G1086" s="1">
        <v>6</v>
      </c>
      <c r="H1086" s="1">
        <v>2</v>
      </c>
      <c r="I1086" s="1">
        <v>1</v>
      </c>
      <c r="J1086" s="1">
        <v>3</v>
      </c>
      <c r="K1086" s="1">
        <v>3</v>
      </c>
      <c r="L1086" s="1">
        <v>11</v>
      </c>
      <c r="M1086" s="1">
        <v>54</v>
      </c>
      <c r="N1086" s="1">
        <v>58</v>
      </c>
      <c r="O1086" s="1">
        <v>65</v>
      </c>
      <c r="P1086">
        <v>0.25629764801297661</v>
      </c>
      <c r="Q1086">
        <v>0.40163966049382738</v>
      </c>
      <c r="R1086">
        <v>4.0904166666666665E-2</v>
      </c>
    </row>
    <row r="1087" spans="1:18">
      <c r="A1087" s="1">
        <v>6</v>
      </c>
      <c r="B1087" s="1">
        <v>1</v>
      </c>
      <c r="C1087" s="1">
        <v>0</v>
      </c>
      <c r="D1087" s="1">
        <v>0</v>
      </c>
      <c r="E1087" s="1">
        <v>0</v>
      </c>
      <c r="F1087" s="1">
        <v>2</v>
      </c>
      <c r="G1087" s="1">
        <v>6</v>
      </c>
      <c r="H1087" s="1">
        <v>1</v>
      </c>
      <c r="I1087" s="1">
        <v>1</v>
      </c>
      <c r="J1087" s="1">
        <v>1</v>
      </c>
      <c r="K1087" s="1">
        <v>1</v>
      </c>
      <c r="L1087" s="1">
        <v>11</v>
      </c>
      <c r="M1087" s="1">
        <v>54</v>
      </c>
      <c r="N1087" s="1">
        <v>58</v>
      </c>
      <c r="O1087" s="1">
        <v>65</v>
      </c>
      <c r="P1087">
        <v>0.23812652068126522</v>
      </c>
      <c r="Q1087">
        <v>0.35821759259259262</v>
      </c>
      <c r="R1087">
        <v>4.4491666666666686E-2</v>
      </c>
    </row>
    <row r="1088" spans="1:18">
      <c r="A1088" s="1">
        <v>7</v>
      </c>
      <c r="B1088" s="1">
        <v>1</v>
      </c>
      <c r="C1088" s="1">
        <v>1</v>
      </c>
      <c r="D1088" s="1">
        <v>1</v>
      </c>
      <c r="E1088" s="1">
        <v>0</v>
      </c>
      <c r="F1088" s="1">
        <v>24</v>
      </c>
      <c r="G1088" s="1">
        <v>18</v>
      </c>
      <c r="H1088" s="1">
        <v>3</v>
      </c>
      <c r="I1088" s="1">
        <v>1</v>
      </c>
      <c r="J1088" s="1">
        <v>6</v>
      </c>
      <c r="K1088" s="1">
        <v>7</v>
      </c>
      <c r="L1088" s="1">
        <v>11</v>
      </c>
      <c r="M1088" s="1">
        <v>54</v>
      </c>
      <c r="N1088" s="1">
        <v>58</v>
      </c>
      <c r="O1088" s="1">
        <v>65</v>
      </c>
      <c r="P1088">
        <v>0.23674371451743717</v>
      </c>
      <c r="Q1088">
        <v>0.37625385802469141</v>
      </c>
      <c r="R1088">
        <v>4.0324999999999979E-2</v>
      </c>
    </row>
    <row r="1089" spans="1:18">
      <c r="A1089" s="1">
        <v>8</v>
      </c>
      <c r="B1089" s="1">
        <v>1</v>
      </c>
      <c r="C1089" s="1">
        <v>1</v>
      </c>
      <c r="D1089" s="1">
        <v>1</v>
      </c>
      <c r="E1089" s="1">
        <v>0</v>
      </c>
      <c r="F1089" s="1">
        <v>26</v>
      </c>
      <c r="G1089" s="1">
        <v>18</v>
      </c>
      <c r="H1089" s="1">
        <v>3</v>
      </c>
      <c r="I1089" s="1">
        <v>1</v>
      </c>
      <c r="J1089" s="1">
        <v>6</v>
      </c>
      <c r="K1089" s="1">
        <v>7</v>
      </c>
      <c r="L1089" s="1">
        <v>11</v>
      </c>
      <c r="M1089" s="1">
        <v>54</v>
      </c>
      <c r="N1089" s="1">
        <v>58</v>
      </c>
      <c r="O1089" s="1">
        <v>65</v>
      </c>
      <c r="P1089">
        <v>0.34703974047039748</v>
      </c>
      <c r="Q1089">
        <v>0.63074845679012359</v>
      </c>
      <c r="R1089">
        <v>3.6879166666666685E-2</v>
      </c>
    </row>
    <row r="1090" spans="1:18">
      <c r="A1090" s="1">
        <v>9</v>
      </c>
      <c r="B1090" s="1">
        <v>1</v>
      </c>
      <c r="C1090" s="1">
        <v>1</v>
      </c>
      <c r="D1090" s="1">
        <v>1</v>
      </c>
      <c r="E1090" s="1">
        <v>0</v>
      </c>
      <c r="F1090" s="1">
        <v>21</v>
      </c>
      <c r="G1090" s="1">
        <v>18</v>
      </c>
      <c r="H1090" s="1">
        <v>3</v>
      </c>
      <c r="I1090" s="1">
        <v>1</v>
      </c>
      <c r="J1090" s="1">
        <v>6</v>
      </c>
      <c r="K1090" s="1">
        <v>7</v>
      </c>
      <c r="L1090" s="1">
        <v>11</v>
      </c>
      <c r="M1090" s="1">
        <v>54</v>
      </c>
      <c r="N1090" s="1">
        <v>58</v>
      </c>
      <c r="O1090" s="1">
        <v>65</v>
      </c>
      <c r="P1090">
        <v>0.32229927007299281</v>
      </c>
      <c r="Q1090">
        <v>0.53420138888888902</v>
      </c>
      <c r="R1090">
        <v>3.9816666666666667E-2</v>
      </c>
    </row>
    <row r="1091" spans="1:18">
      <c r="A1091" s="1">
        <v>10</v>
      </c>
      <c r="B1091" s="1">
        <v>1</v>
      </c>
      <c r="C1091" s="1">
        <v>1</v>
      </c>
      <c r="D1091" s="1">
        <v>1</v>
      </c>
      <c r="E1091" s="1">
        <v>0</v>
      </c>
      <c r="F1091" s="1">
        <v>25</v>
      </c>
      <c r="G1091" s="1">
        <v>18</v>
      </c>
      <c r="H1091" s="1">
        <v>3</v>
      </c>
      <c r="I1091" s="1">
        <v>1</v>
      </c>
      <c r="J1091" s="1">
        <v>6</v>
      </c>
      <c r="K1091" s="1">
        <v>7</v>
      </c>
      <c r="L1091" s="1">
        <v>11</v>
      </c>
      <c r="M1091" s="1">
        <v>54</v>
      </c>
      <c r="N1091" s="1">
        <v>58</v>
      </c>
      <c r="O1091" s="1">
        <v>65</v>
      </c>
      <c r="P1091">
        <v>0.36836171938361706</v>
      </c>
      <c r="Q1091">
        <v>0.58869598765432118</v>
      </c>
      <c r="R1091">
        <v>4.1899999999999993E-2</v>
      </c>
    </row>
    <row r="1092" spans="1:18">
      <c r="A1092" s="1">
        <v>11</v>
      </c>
      <c r="B1092" s="1">
        <v>1</v>
      </c>
      <c r="C1092" s="1">
        <v>1</v>
      </c>
      <c r="D1092" s="1">
        <v>1</v>
      </c>
      <c r="E1092" s="1">
        <v>0</v>
      </c>
      <c r="F1092" s="1">
        <v>20</v>
      </c>
      <c r="G1092" s="1">
        <v>18</v>
      </c>
      <c r="H1092" s="1">
        <v>3</v>
      </c>
      <c r="I1092" s="1">
        <v>1</v>
      </c>
      <c r="J1092" s="1">
        <v>6</v>
      </c>
      <c r="K1092" s="1">
        <v>7</v>
      </c>
      <c r="L1092" s="1">
        <v>11</v>
      </c>
      <c r="M1092" s="1">
        <v>54</v>
      </c>
      <c r="N1092" s="1">
        <v>58</v>
      </c>
      <c r="O1092" s="1">
        <v>65</v>
      </c>
      <c r="P1092">
        <v>0.28230738037307396</v>
      </c>
      <c r="Q1092">
        <v>0.39423225308641974</v>
      </c>
      <c r="R1092">
        <v>4.006249999999998E-2</v>
      </c>
    </row>
    <row r="1093" spans="1:18">
      <c r="A1093" s="1">
        <v>12</v>
      </c>
      <c r="B1093" s="1">
        <v>1</v>
      </c>
      <c r="C1093" s="1">
        <v>1</v>
      </c>
      <c r="D1093" s="1">
        <v>1</v>
      </c>
      <c r="E1093" s="1">
        <v>1</v>
      </c>
      <c r="F1093" s="1">
        <v>18</v>
      </c>
      <c r="G1093" s="1">
        <v>6</v>
      </c>
      <c r="H1093" s="1">
        <v>3</v>
      </c>
      <c r="I1093" s="1">
        <v>1</v>
      </c>
      <c r="J1093" s="1">
        <v>5</v>
      </c>
      <c r="K1093" s="1">
        <v>6</v>
      </c>
      <c r="L1093" s="1">
        <v>11</v>
      </c>
      <c r="M1093" s="1">
        <v>54</v>
      </c>
      <c r="N1093" s="1">
        <v>58</v>
      </c>
      <c r="O1093" s="1">
        <v>65</v>
      </c>
      <c r="P1093">
        <v>0.12269261962692622</v>
      </c>
      <c r="Q1093">
        <v>0.24037037037037043</v>
      </c>
      <c r="R1093">
        <v>2.3862499999999971E-2</v>
      </c>
    </row>
    <row r="1094" spans="1:18">
      <c r="A1094" s="1">
        <v>13</v>
      </c>
      <c r="B1094" s="1">
        <v>1</v>
      </c>
      <c r="C1094" s="1">
        <v>1</v>
      </c>
      <c r="D1094" s="1">
        <v>1</v>
      </c>
      <c r="E1094" s="1">
        <v>1</v>
      </c>
      <c r="F1094" s="1">
        <v>25</v>
      </c>
      <c r="G1094" s="1">
        <v>18</v>
      </c>
      <c r="H1094" s="1">
        <v>3</v>
      </c>
      <c r="I1094" s="1">
        <v>1</v>
      </c>
      <c r="J1094" s="1">
        <v>6</v>
      </c>
      <c r="K1094" s="1">
        <v>7</v>
      </c>
      <c r="L1094" s="1">
        <v>11</v>
      </c>
      <c r="M1094" s="1">
        <v>54</v>
      </c>
      <c r="N1094" s="1">
        <v>58</v>
      </c>
      <c r="O1094" s="1">
        <v>65</v>
      </c>
      <c r="P1094">
        <v>0.22089753987564215</v>
      </c>
      <c r="Q1094">
        <v>0.31095679012345695</v>
      </c>
      <c r="R1094">
        <v>3.1312499999999986E-2</v>
      </c>
    </row>
    <row r="1095" spans="1:18">
      <c r="A1095" s="1">
        <v>14</v>
      </c>
      <c r="B1095" s="1">
        <v>1</v>
      </c>
      <c r="C1095" s="1">
        <v>1</v>
      </c>
      <c r="D1095" s="1">
        <v>1</v>
      </c>
      <c r="E1095" s="1">
        <v>1</v>
      </c>
      <c r="F1095" s="1">
        <v>14</v>
      </c>
      <c r="G1095" s="1">
        <v>6</v>
      </c>
      <c r="H1095" s="1">
        <v>3</v>
      </c>
      <c r="I1095" s="1">
        <v>1</v>
      </c>
      <c r="J1095" s="1">
        <v>5</v>
      </c>
      <c r="K1095" s="1">
        <v>5</v>
      </c>
      <c r="L1095" s="1">
        <v>11</v>
      </c>
      <c r="M1095" s="1">
        <v>54</v>
      </c>
      <c r="N1095" s="1">
        <v>58</v>
      </c>
      <c r="O1095" s="1">
        <v>65</v>
      </c>
      <c r="P1095">
        <v>0.25413895647472284</v>
      </c>
      <c r="Q1095">
        <v>0.36279320987654334</v>
      </c>
      <c r="R1095">
        <v>3.5275000000000001E-2</v>
      </c>
    </row>
    <row r="1096" spans="1:18">
      <c r="A1096" s="1">
        <v>15</v>
      </c>
      <c r="B1096" s="1">
        <v>1</v>
      </c>
      <c r="C1096" s="1">
        <v>1</v>
      </c>
      <c r="D1096" s="1">
        <v>1</v>
      </c>
      <c r="E1096" s="1">
        <v>0</v>
      </c>
      <c r="F1096" s="1">
        <v>18</v>
      </c>
      <c r="G1096" s="1">
        <v>6</v>
      </c>
      <c r="H1096" s="1">
        <v>3</v>
      </c>
      <c r="I1096" s="1">
        <v>1</v>
      </c>
      <c r="J1096" s="1">
        <v>5</v>
      </c>
      <c r="K1096" s="1">
        <v>6</v>
      </c>
      <c r="L1096" s="1">
        <v>11</v>
      </c>
      <c r="M1096" s="1">
        <v>54</v>
      </c>
      <c r="N1096" s="1">
        <v>58</v>
      </c>
      <c r="O1096" s="1">
        <v>65</v>
      </c>
      <c r="P1096">
        <v>0.2621776155717761</v>
      </c>
      <c r="Q1096">
        <v>0.38616898148148143</v>
      </c>
      <c r="R1096">
        <v>3.0300000000000011E-2</v>
      </c>
    </row>
    <row r="1097" spans="1:18">
      <c r="A1097" s="1">
        <v>16</v>
      </c>
      <c r="B1097" s="1">
        <v>1</v>
      </c>
      <c r="C1097" s="1">
        <v>1</v>
      </c>
      <c r="D1097" s="1">
        <v>1</v>
      </c>
      <c r="E1097" s="1">
        <v>1</v>
      </c>
      <c r="F1097" s="1">
        <v>21</v>
      </c>
      <c r="G1097" s="1">
        <v>18</v>
      </c>
      <c r="H1097" s="1">
        <v>3</v>
      </c>
      <c r="I1097" s="1">
        <v>1</v>
      </c>
      <c r="J1097" s="1">
        <v>6</v>
      </c>
      <c r="K1097" s="1">
        <v>7</v>
      </c>
      <c r="L1097" s="1">
        <v>11</v>
      </c>
      <c r="M1097" s="1">
        <v>54</v>
      </c>
      <c r="N1097" s="1">
        <v>58</v>
      </c>
      <c r="O1097" s="1">
        <v>65</v>
      </c>
      <c r="P1097">
        <v>0.20237361449040289</v>
      </c>
      <c r="Q1097">
        <v>0.33313271604938272</v>
      </c>
      <c r="R1097">
        <v>3.0720833333333326E-2</v>
      </c>
    </row>
    <row r="1098" spans="1:18">
      <c r="A1098" s="1">
        <v>17</v>
      </c>
      <c r="B1098" s="1">
        <v>1</v>
      </c>
      <c r="C1098" s="1">
        <v>0</v>
      </c>
      <c r="D1098" s="1">
        <v>0</v>
      </c>
      <c r="E1098" s="1">
        <v>1</v>
      </c>
      <c r="F1098" s="1">
        <v>1</v>
      </c>
      <c r="G1098" s="1">
        <v>6</v>
      </c>
      <c r="H1098" s="1">
        <v>1</v>
      </c>
      <c r="I1098" s="1">
        <v>1</v>
      </c>
      <c r="J1098" s="1">
        <v>1</v>
      </c>
      <c r="K1098" s="1">
        <v>1</v>
      </c>
      <c r="L1098" s="1">
        <v>11</v>
      </c>
      <c r="M1098" s="1">
        <v>54</v>
      </c>
      <c r="N1098" s="1">
        <v>58</v>
      </c>
      <c r="O1098" s="1">
        <v>65</v>
      </c>
      <c r="P1098">
        <v>0.1078778048121114</v>
      </c>
      <c r="Q1098">
        <v>0.1495524691358025</v>
      </c>
      <c r="R1098">
        <v>3.0158333333333343E-2</v>
      </c>
    </row>
    <row r="1099" spans="1:18">
      <c r="A1099" s="1">
        <v>18</v>
      </c>
      <c r="B1099" s="1">
        <v>1</v>
      </c>
      <c r="C1099" s="1">
        <v>1</v>
      </c>
      <c r="D1099" s="1">
        <v>1</v>
      </c>
      <c r="E1099" s="1">
        <v>0</v>
      </c>
      <c r="F1099" s="1">
        <v>22</v>
      </c>
      <c r="G1099" s="1">
        <v>18</v>
      </c>
      <c r="H1099" s="1">
        <v>3</v>
      </c>
      <c r="I1099" s="1">
        <v>1</v>
      </c>
      <c r="J1099" s="1">
        <v>6</v>
      </c>
      <c r="K1099" s="1">
        <v>7</v>
      </c>
      <c r="L1099" s="1">
        <v>11</v>
      </c>
      <c r="M1099" s="1">
        <v>54</v>
      </c>
      <c r="N1099" s="1">
        <v>58</v>
      </c>
      <c r="O1099" s="1">
        <v>65</v>
      </c>
      <c r="P1099">
        <v>0.25291970802919711</v>
      </c>
      <c r="Q1099">
        <v>0.38506944444444452</v>
      </c>
      <c r="R1099">
        <v>3.2108333333333329E-2</v>
      </c>
    </row>
    <row r="1100" spans="1:18">
      <c r="A1100" s="1">
        <v>19</v>
      </c>
      <c r="B1100" s="1">
        <v>1</v>
      </c>
      <c r="C1100" s="1">
        <v>1</v>
      </c>
      <c r="D1100" s="1">
        <v>1</v>
      </c>
      <c r="E1100" s="1">
        <v>1</v>
      </c>
      <c r="F1100" s="1">
        <v>26</v>
      </c>
      <c r="G1100" s="1">
        <v>18</v>
      </c>
      <c r="H1100" s="1">
        <v>3</v>
      </c>
      <c r="I1100" s="1">
        <v>1</v>
      </c>
      <c r="J1100" s="1">
        <v>6</v>
      </c>
      <c r="K1100" s="1">
        <v>7</v>
      </c>
      <c r="L1100" s="1">
        <v>11</v>
      </c>
      <c r="M1100" s="1">
        <v>54</v>
      </c>
      <c r="N1100" s="1">
        <v>58</v>
      </c>
      <c r="O1100" s="1">
        <v>65</v>
      </c>
      <c r="P1100">
        <v>0.33421465260881328</v>
      </c>
      <c r="Q1100">
        <v>0.43655864197530869</v>
      </c>
      <c r="R1100">
        <v>3.7975000000000002E-2</v>
      </c>
    </row>
    <row r="1101" spans="1:18">
      <c r="A1101" s="1">
        <v>20</v>
      </c>
      <c r="B1101" s="1">
        <v>1</v>
      </c>
      <c r="C1101" s="1">
        <v>1</v>
      </c>
      <c r="D1101" s="1">
        <v>1</v>
      </c>
      <c r="E1101" s="1">
        <v>0</v>
      </c>
      <c r="F1101" s="1">
        <v>17</v>
      </c>
      <c r="G1101" s="1">
        <v>6</v>
      </c>
      <c r="H1101" s="1">
        <v>3</v>
      </c>
      <c r="I1101" s="1">
        <v>1</v>
      </c>
      <c r="J1101" s="1">
        <v>5</v>
      </c>
      <c r="K1101" s="1">
        <v>6</v>
      </c>
      <c r="L1101" s="1">
        <v>11</v>
      </c>
      <c r="M1101" s="1">
        <v>54</v>
      </c>
      <c r="N1101" s="1">
        <v>58</v>
      </c>
      <c r="O1101" s="1">
        <v>65</v>
      </c>
      <c r="P1101">
        <v>0.25599351175993518</v>
      </c>
      <c r="Q1101">
        <v>0.38885030864197534</v>
      </c>
      <c r="R1101">
        <v>3.4158333333333325E-2</v>
      </c>
    </row>
    <row r="1102" spans="1:18">
      <c r="A1102" s="1">
        <v>21</v>
      </c>
      <c r="B1102" s="1">
        <v>1</v>
      </c>
      <c r="C1102" s="1">
        <v>1</v>
      </c>
      <c r="D1102" s="1">
        <v>1</v>
      </c>
      <c r="E1102" s="1">
        <v>0</v>
      </c>
      <c r="F1102" s="1">
        <v>19</v>
      </c>
      <c r="G1102" s="1">
        <v>6</v>
      </c>
      <c r="H1102" s="1">
        <v>3</v>
      </c>
      <c r="I1102" s="1">
        <v>1</v>
      </c>
      <c r="J1102" s="1">
        <v>5</v>
      </c>
      <c r="K1102" s="1">
        <v>6</v>
      </c>
      <c r="L1102" s="1">
        <v>11</v>
      </c>
      <c r="M1102" s="1">
        <v>54</v>
      </c>
      <c r="N1102" s="1">
        <v>58</v>
      </c>
      <c r="O1102" s="1">
        <v>65</v>
      </c>
      <c r="P1102">
        <v>0.24731143552311438</v>
      </c>
      <c r="Q1102">
        <v>0.36313657407407407</v>
      </c>
      <c r="R1102">
        <v>3.4462499999999986E-2</v>
      </c>
    </row>
    <row r="1103" spans="1:18">
      <c r="A1103" s="1">
        <v>22</v>
      </c>
      <c r="B1103" s="1">
        <v>1</v>
      </c>
      <c r="C1103" s="1">
        <v>0</v>
      </c>
      <c r="D1103" s="1">
        <v>0</v>
      </c>
      <c r="E1103" s="1">
        <v>0</v>
      </c>
      <c r="F1103" s="1">
        <v>3</v>
      </c>
      <c r="G1103" s="1">
        <v>6</v>
      </c>
      <c r="H1103" s="1">
        <v>1</v>
      </c>
      <c r="I1103" s="1">
        <v>1</v>
      </c>
      <c r="J1103" s="1">
        <v>1</v>
      </c>
      <c r="K1103" s="1">
        <v>1</v>
      </c>
      <c r="L1103" s="1">
        <v>11</v>
      </c>
      <c r="M1103" s="1">
        <v>54</v>
      </c>
      <c r="N1103" s="1">
        <v>58</v>
      </c>
      <c r="O1103" s="1">
        <v>65</v>
      </c>
      <c r="P1103">
        <v>0.17804541768045429</v>
      </c>
      <c r="Q1103">
        <v>0.24263117283950625</v>
      </c>
      <c r="R1103">
        <v>4.0233333333333343E-2</v>
      </c>
    </row>
    <row r="1104" spans="1:18">
      <c r="A1104" s="1">
        <v>23</v>
      </c>
      <c r="B1104" s="1">
        <v>1</v>
      </c>
      <c r="C1104" s="1">
        <v>1</v>
      </c>
      <c r="D1104" s="1">
        <v>1</v>
      </c>
      <c r="E1104" s="1">
        <v>1</v>
      </c>
      <c r="F1104" s="1">
        <v>24</v>
      </c>
      <c r="G1104" s="1">
        <v>18</v>
      </c>
      <c r="H1104" s="1">
        <v>3</v>
      </c>
      <c r="I1104" s="1">
        <v>1</v>
      </c>
      <c r="J1104" s="1">
        <v>6</v>
      </c>
      <c r="K1104" s="1">
        <v>7</v>
      </c>
      <c r="L1104" s="1">
        <v>11</v>
      </c>
      <c r="M1104" s="1">
        <v>54</v>
      </c>
      <c r="N1104" s="1">
        <v>58</v>
      </c>
      <c r="O1104" s="1">
        <v>65</v>
      </c>
      <c r="P1104">
        <v>0.24747228980805627</v>
      </c>
      <c r="Q1104">
        <v>0.33765432098765435</v>
      </c>
      <c r="R1104">
        <v>3.627916666666664E-2</v>
      </c>
    </row>
    <row r="1105" spans="1:18">
      <c r="A1105" s="1">
        <v>24</v>
      </c>
      <c r="B1105" s="1">
        <v>1</v>
      </c>
      <c r="C1105" s="1">
        <v>1</v>
      </c>
      <c r="D1105" s="1">
        <v>1</v>
      </c>
      <c r="E1105" s="1">
        <v>0</v>
      </c>
      <c r="F1105" s="1">
        <v>16</v>
      </c>
      <c r="G1105" s="1">
        <v>6</v>
      </c>
      <c r="H1105" s="1">
        <v>3</v>
      </c>
      <c r="I1105" s="1">
        <v>1</v>
      </c>
      <c r="J1105" s="1">
        <v>5</v>
      </c>
      <c r="K1105" s="1">
        <v>6</v>
      </c>
      <c r="L1105" s="1">
        <v>11</v>
      </c>
      <c r="M1105" s="1">
        <v>54</v>
      </c>
      <c r="N1105" s="1">
        <v>58</v>
      </c>
      <c r="O1105" s="1">
        <v>65</v>
      </c>
      <c r="P1105">
        <v>0.34316301703163027</v>
      </c>
      <c r="Q1105">
        <v>0.57870370370370372</v>
      </c>
      <c r="R1105">
        <v>3.6608333333333319E-2</v>
      </c>
    </row>
    <row r="1106" spans="1:18">
      <c r="A1106" s="1">
        <v>25</v>
      </c>
      <c r="B1106" s="1">
        <v>0</v>
      </c>
      <c r="C1106" s="1">
        <v>1</v>
      </c>
      <c r="D1106" s="1">
        <v>1</v>
      </c>
      <c r="E1106" s="1">
        <v>0</v>
      </c>
      <c r="F1106" s="1">
        <v>10</v>
      </c>
      <c r="G1106" s="1">
        <v>6</v>
      </c>
      <c r="H1106" s="1">
        <v>2</v>
      </c>
      <c r="I1106" s="1">
        <v>1</v>
      </c>
      <c r="J1106" s="1">
        <v>4</v>
      </c>
      <c r="K1106" s="1">
        <v>4</v>
      </c>
      <c r="L1106" s="1">
        <v>11</v>
      </c>
      <c r="M1106" s="1">
        <v>54</v>
      </c>
      <c r="N1106" s="1">
        <v>58</v>
      </c>
      <c r="O1106" s="1">
        <v>65</v>
      </c>
      <c r="P1106">
        <v>0.14907948094079487</v>
      </c>
      <c r="Q1106">
        <v>0.25715663580246906</v>
      </c>
      <c r="R1106">
        <v>2.4095833333333355E-2</v>
      </c>
    </row>
    <row r="1107" spans="1:18">
      <c r="A1107" s="1">
        <v>26</v>
      </c>
      <c r="B1107" s="1">
        <v>0</v>
      </c>
      <c r="C1107" s="1">
        <v>1</v>
      </c>
      <c r="D1107" s="1">
        <v>0</v>
      </c>
      <c r="E1107" s="1">
        <v>0</v>
      </c>
      <c r="F1107" s="1">
        <v>6</v>
      </c>
      <c r="G1107" s="1">
        <v>6</v>
      </c>
      <c r="H1107" s="1">
        <v>1</v>
      </c>
      <c r="I1107" s="1">
        <v>1</v>
      </c>
      <c r="J1107" s="1">
        <v>2</v>
      </c>
      <c r="K1107" s="1">
        <v>2</v>
      </c>
      <c r="L1107" s="1">
        <v>11</v>
      </c>
      <c r="M1107" s="1">
        <v>54</v>
      </c>
      <c r="N1107" s="1">
        <v>58</v>
      </c>
      <c r="O1107" s="1">
        <v>65</v>
      </c>
      <c r="P1107">
        <v>0.21266017842660176</v>
      </c>
      <c r="Q1107">
        <v>0.35748456790123451</v>
      </c>
      <c r="R1107">
        <v>4.3395833333333335E-2</v>
      </c>
    </row>
    <row r="1108" spans="1:18">
      <c r="A1108" s="1">
        <v>27</v>
      </c>
      <c r="B1108" s="1">
        <v>1</v>
      </c>
      <c r="C1108" s="1">
        <v>1</v>
      </c>
      <c r="D1108" s="1">
        <v>0</v>
      </c>
      <c r="E1108" s="1">
        <v>0</v>
      </c>
      <c r="F1108" s="1">
        <v>9</v>
      </c>
      <c r="G1108" s="1">
        <v>6</v>
      </c>
      <c r="H1108" s="1">
        <v>2</v>
      </c>
      <c r="I1108" s="1">
        <v>1</v>
      </c>
      <c r="J1108" s="1">
        <v>3</v>
      </c>
      <c r="K1108" s="1">
        <v>3</v>
      </c>
      <c r="L1108" s="1">
        <v>11</v>
      </c>
      <c r="M1108" s="1">
        <v>54</v>
      </c>
      <c r="N1108" s="1">
        <v>58</v>
      </c>
      <c r="O1108" s="1">
        <v>65</v>
      </c>
      <c r="P1108">
        <v>0.2638321167883213</v>
      </c>
      <c r="Q1108">
        <v>0.39739583333333328</v>
      </c>
      <c r="R1108">
        <v>3.3970833333333318E-2</v>
      </c>
    </row>
    <row r="1109" spans="1:18">
      <c r="A1109" s="1">
        <v>28</v>
      </c>
      <c r="B1109" s="1">
        <v>1</v>
      </c>
      <c r="C1109" s="1">
        <v>1</v>
      </c>
      <c r="D1109" s="1">
        <v>0</v>
      </c>
      <c r="E1109" s="1">
        <v>0</v>
      </c>
      <c r="F1109" s="1">
        <v>7</v>
      </c>
      <c r="G1109" s="1">
        <v>6</v>
      </c>
      <c r="H1109" s="1">
        <v>2</v>
      </c>
      <c r="I1109" s="1">
        <v>1</v>
      </c>
      <c r="J1109" s="1">
        <v>3</v>
      </c>
      <c r="K1109" s="1">
        <v>3</v>
      </c>
      <c r="L1109" s="1">
        <v>11</v>
      </c>
      <c r="M1109" s="1">
        <v>54</v>
      </c>
      <c r="N1109" s="1">
        <v>58</v>
      </c>
      <c r="O1109" s="1">
        <v>65</v>
      </c>
      <c r="P1109">
        <v>0.25733982157339824</v>
      </c>
      <c r="Q1109">
        <v>0.43105709876543219</v>
      </c>
      <c r="R1109">
        <v>4.470833333333335E-2</v>
      </c>
    </row>
    <row r="1110" spans="1:18">
      <c r="A1110" s="1">
        <v>29</v>
      </c>
      <c r="B1110" s="1">
        <v>1</v>
      </c>
      <c r="C1110" s="1">
        <v>1</v>
      </c>
      <c r="D1110" s="1">
        <v>1</v>
      </c>
      <c r="E1110" s="1">
        <v>0</v>
      </c>
      <c r="F1110" s="1">
        <v>23</v>
      </c>
      <c r="G1110" s="1">
        <v>18</v>
      </c>
      <c r="H1110" s="1">
        <v>3</v>
      </c>
      <c r="I1110" s="1">
        <v>1</v>
      </c>
      <c r="J1110" s="1">
        <v>6</v>
      </c>
      <c r="K1110" s="1">
        <v>7</v>
      </c>
      <c r="L1110" s="1">
        <v>11</v>
      </c>
      <c r="M1110" s="1">
        <v>54</v>
      </c>
      <c r="N1110" s="1">
        <v>58</v>
      </c>
      <c r="O1110" s="1">
        <v>65</v>
      </c>
      <c r="P1110">
        <v>0.23478913219789133</v>
      </c>
      <c r="Q1110">
        <v>0.36784336419753089</v>
      </c>
      <c r="R1110">
        <v>3.327083333333334E-2</v>
      </c>
    </row>
    <row r="1111" spans="1:18">
      <c r="A1111" s="1">
        <v>30</v>
      </c>
      <c r="B1111" s="1">
        <v>0</v>
      </c>
      <c r="C1111" s="1">
        <v>1</v>
      </c>
      <c r="D1111" s="1">
        <v>0</v>
      </c>
      <c r="E1111" s="1">
        <v>0</v>
      </c>
      <c r="F1111" s="1">
        <v>4</v>
      </c>
      <c r="G1111" s="1">
        <v>6</v>
      </c>
      <c r="H1111" s="1">
        <v>1</v>
      </c>
      <c r="I1111" s="1">
        <v>1</v>
      </c>
      <c r="J1111" s="1">
        <v>2</v>
      </c>
      <c r="K1111" s="1">
        <v>2</v>
      </c>
      <c r="L1111" s="1">
        <v>11</v>
      </c>
      <c r="M1111" s="1">
        <v>54</v>
      </c>
      <c r="N1111" s="1">
        <v>58</v>
      </c>
      <c r="O1111" s="1">
        <v>65</v>
      </c>
      <c r="P1111">
        <v>0.21077858880778585</v>
      </c>
      <c r="Q1111">
        <v>0.32858796296296289</v>
      </c>
      <c r="R1111">
        <v>4.07625E-2</v>
      </c>
    </row>
    <row r="1112" spans="1:18">
      <c r="A1112" s="1">
        <v>31</v>
      </c>
      <c r="B1112" s="1">
        <v>1</v>
      </c>
      <c r="C1112" s="1">
        <v>0</v>
      </c>
      <c r="D1112" s="1">
        <v>0</v>
      </c>
      <c r="E1112" s="1">
        <v>1</v>
      </c>
      <c r="F1112" s="1">
        <v>3</v>
      </c>
      <c r="G1112" s="1">
        <v>6</v>
      </c>
      <c r="H1112" s="1">
        <v>1</v>
      </c>
      <c r="I1112" s="1">
        <v>1</v>
      </c>
      <c r="J1112" s="1">
        <v>1</v>
      </c>
      <c r="K1112" s="1">
        <v>1</v>
      </c>
      <c r="L1112" s="1">
        <v>11</v>
      </c>
      <c r="M1112" s="1">
        <v>54</v>
      </c>
      <c r="N1112" s="1">
        <v>58</v>
      </c>
      <c r="O1112" s="1">
        <v>65</v>
      </c>
      <c r="P1112">
        <v>0.18566639632333062</v>
      </c>
      <c r="Q1112">
        <v>0.24088734567901227</v>
      </c>
      <c r="R1112">
        <v>4.0541666666666677E-2</v>
      </c>
    </row>
    <row r="1113" spans="1:18">
      <c r="A1113" s="1">
        <v>32</v>
      </c>
      <c r="B1113" s="1">
        <v>1</v>
      </c>
      <c r="C1113" s="1">
        <v>1</v>
      </c>
      <c r="D1113" s="1">
        <v>1</v>
      </c>
      <c r="E1113" s="1">
        <v>1</v>
      </c>
      <c r="F1113" s="1">
        <v>13</v>
      </c>
      <c r="G1113" s="1">
        <v>6</v>
      </c>
      <c r="H1113" s="1">
        <v>3</v>
      </c>
      <c r="I1113" s="1">
        <v>1</v>
      </c>
      <c r="J1113" s="1">
        <v>5</v>
      </c>
      <c r="K1113" s="1">
        <v>5</v>
      </c>
      <c r="L1113" s="1">
        <v>11</v>
      </c>
      <c r="M1113" s="1">
        <v>54</v>
      </c>
      <c r="N1113" s="1">
        <v>58</v>
      </c>
      <c r="O1113" s="1">
        <v>65</v>
      </c>
      <c r="P1113">
        <v>0.15905379832387137</v>
      </c>
      <c r="Q1113">
        <v>0.29064043209876544</v>
      </c>
      <c r="R1113">
        <v>4.4995833333333346E-2</v>
      </c>
    </row>
    <row r="1114" spans="1:18">
      <c r="A1114" s="1">
        <v>33</v>
      </c>
      <c r="B1114" s="1">
        <v>0</v>
      </c>
      <c r="C1114" s="1">
        <v>1</v>
      </c>
      <c r="D1114" s="1">
        <v>1</v>
      </c>
      <c r="E1114" s="1">
        <v>0</v>
      </c>
      <c r="F1114" s="1">
        <v>12</v>
      </c>
      <c r="G1114" s="1">
        <v>6</v>
      </c>
      <c r="H1114" s="1">
        <v>2</v>
      </c>
      <c r="I1114" s="1">
        <v>1</v>
      </c>
      <c r="J1114" s="1">
        <v>4</v>
      </c>
      <c r="K1114" s="1">
        <v>4</v>
      </c>
      <c r="L1114" s="1">
        <v>11</v>
      </c>
      <c r="M1114" s="1">
        <v>54</v>
      </c>
      <c r="N1114" s="1">
        <v>58</v>
      </c>
      <c r="O1114" s="1">
        <v>65</v>
      </c>
      <c r="P1114">
        <v>0.35626520681265211</v>
      </c>
      <c r="Q1114">
        <v>0.5191550925925924</v>
      </c>
      <c r="R1114">
        <v>3.4479166666666651E-2</v>
      </c>
    </row>
    <row r="1115" spans="1:18">
      <c r="A1115" s="1">
        <v>34</v>
      </c>
      <c r="B1115" s="1">
        <v>0</v>
      </c>
      <c r="C1115" s="1">
        <v>1</v>
      </c>
      <c r="D1115" s="1">
        <v>1</v>
      </c>
      <c r="E1115" s="1">
        <v>1</v>
      </c>
      <c r="F1115" s="1">
        <v>10</v>
      </c>
      <c r="G1115" s="1">
        <v>6</v>
      </c>
      <c r="H1115" s="1">
        <v>2</v>
      </c>
      <c r="I1115" s="1">
        <v>1</v>
      </c>
      <c r="J1115" s="1">
        <v>4</v>
      </c>
      <c r="K1115" s="1">
        <v>4</v>
      </c>
      <c r="L1115" s="1">
        <v>11</v>
      </c>
      <c r="M1115" s="1">
        <v>54</v>
      </c>
      <c r="N1115" s="1">
        <v>58</v>
      </c>
      <c r="O1115" s="1">
        <v>65</v>
      </c>
      <c r="P1115">
        <v>0.18977020816436879</v>
      </c>
      <c r="Q1115">
        <v>0.27452160493827149</v>
      </c>
      <c r="R1115">
        <v>4.2170833333333345E-2</v>
      </c>
    </row>
    <row r="1116" spans="1:18">
      <c r="A1116" s="1">
        <v>35</v>
      </c>
      <c r="B1116" s="1">
        <v>1</v>
      </c>
      <c r="C1116" s="1">
        <v>1</v>
      </c>
      <c r="D1116" s="1">
        <v>0</v>
      </c>
      <c r="E1116" s="1">
        <v>1</v>
      </c>
      <c r="F1116" s="1">
        <v>8</v>
      </c>
      <c r="G1116" s="1">
        <v>6</v>
      </c>
      <c r="H1116" s="1">
        <v>2</v>
      </c>
      <c r="I1116" s="1">
        <v>1</v>
      </c>
      <c r="J1116" s="1">
        <v>3</v>
      </c>
      <c r="K1116" s="1">
        <v>3</v>
      </c>
      <c r="L1116" s="1">
        <v>11</v>
      </c>
      <c r="M1116" s="1">
        <v>54</v>
      </c>
      <c r="N1116" s="1">
        <v>58</v>
      </c>
      <c r="O1116" s="1">
        <v>65</v>
      </c>
      <c r="P1116">
        <v>0.32009191673425247</v>
      </c>
      <c r="Q1116">
        <v>0.46073302469135791</v>
      </c>
      <c r="R1116">
        <v>3.7812499999999999E-2</v>
      </c>
    </row>
    <row r="1117" spans="1:18">
      <c r="A1117" s="1">
        <v>36</v>
      </c>
      <c r="B1117" s="1">
        <v>1</v>
      </c>
      <c r="C1117" s="1">
        <v>1</v>
      </c>
      <c r="D1117" s="1">
        <v>1</v>
      </c>
      <c r="E1117" s="1">
        <v>1</v>
      </c>
      <c r="F1117" s="1">
        <v>20</v>
      </c>
      <c r="G1117" s="1">
        <v>18</v>
      </c>
      <c r="H1117" s="1">
        <v>3</v>
      </c>
      <c r="I1117" s="1">
        <v>1</v>
      </c>
      <c r="J1117" s="1">
        <v>6</v>
      </c>
      <c r="K1117" s="1">
        <v>7</v>
      </c>
      <c r="L1117" s="1">
        <v>11</v>
      </c>
      <c r="M1117" s="1">
        <v>54</v>
      </c>
      <c r="N1117" s="1">
        <v>58</v>
      </c>
      <c r="O1117" s="1">
        <v>65</v>
      </c>
      <c r="P1117">
        <v>0.27523114355231137</v>
      </c>
      <c r="Q1117">
        <v>0.39798611111111104</v>
      </c>
      <c r="R1117">
        <v>3.9008333333333312E-2</v>
      </c>
    </row>
    <row r="1118" spans="1:18">
      <c r="A1118" s="1">
        <v>37</v>
      </c>
      <c r="B1118" s="1">
        <v>1</v>
      </c>
      <c r="C1118" s="1">
        <v>1</v>
      </c>
      <c r="D1118" s="1">
        <v>1</v>
      </c>
      <c r="E1118" s="1">
        <v>1</v>
      </c>
      <c r="F1118" s="1">
        <v>23</v>
      </c>
      <c r="G1118" s="1">
        <v>18</v>
      </c>
      <c r="H1118" s="1">
        <v>3</v>
      </c>
      <c r="I1118" s="1">
        <v>1</v>
      </c>
      <c r="J1118" s="1">
        <v>6</v>
      </c>
      <c r="K1118" s="1">
        <v>7</v>
      </c>
      <c r="L1118" s="1">
        <v>11</v>
      </c>
      <c r="M1118" s="1">
        <v>54</v>
      </c>
      <c r="N1118" s="1">
        <v>58</v>
      </c>
      <c r="O1118" s="1">
        <v>65</v>
      </c>
      <c r="P1118">
        <v>0.22745066234117331</v>
      </c>
      <c r="Q1118">
        <v>0.33315586419753096</v>
      </c>
      <c r="R1118">
        <v>3.1887499999999992E-2</v>
      </c>
    </row>
    <row r="1119" spans="1:18">
      <c r="A1119" s="1">
        <v>38</v>
      </c>
      <c r="B1119" s="1">
        <v>0</v>
      </c>
      <c r="C1119" s="1">
        <v>1</v>
      </c>
      <c r="D1119" s="1">
        <v>0</v>
      </c>
      <c r="E1119" s="1">
        <v>1</v>
      </c>
      <c r="F1119" s="1">
        <v>4</v>
      </c>
      <c r="G1119" s="1">
        <v>6</v>
      </c>
      <c r="H1119" s="1">
        <v>1</v>
      </c>
      <c r="I1119" s="1">
        <v>1</v>
      </c>
      <c r="J1119" s="1">
        <v>2</v>
      </c>
      <c r="K1119" s="1">
        <v>2</v>
      </c>
      <c r="L1119" s="1">
        <v>11</v>
      </c>
      <c r="M1119" s="1">
        <v>54</v>
      </c>
      <c r="N1119" s="1">
        <v>58</v>
      </c>
      <c r="O1119" s="1">
        <v>65</v>
      </c>
      <c r="P1119">
        <v>0.13733441470667748</v>
      </c>
      <c r="Q1119">
        <v>0.23290895061728398</v>
      </c>
      <c r="R1119">
        <v>4.6116666666666674E-2</v>
      </c>
    </row>
    <row r="1120" spans="1:18">
      <c r="A1120" s="1">
        <v>39</v>
      </c>
      <c r="B1120" s="1">
        <v>1</v>
      </c>
      <c r="C1120" s="1">
        <v>1</v>
      </c>
      <c r="D1120" s="1">
        <v>1</v>
      </c>
      <c r="E1120" s="1">
        <v>1</v>
      </c>
      <c r="F1120" s="1">
        <v>22</v>
      </c>
      <c r="G1120" s="1">
        <v>18</v>
      </c>
      <c r="H1120" s="1">
        <v>3</v>
      </c>
      <c r="I1120" s="1">
        <v>1</v>
      </c>
      <c r="J1120" s="1">
        <v>6</v>
      </c>
      <c r="K1120" s="1">
        <v>7</v>
      </c>
      <c r="L1120" s="1">
        <v>11</v>
      </c>
      <c r="M1120" s="1">
        <v>54</v>
      </c>
      <c r="N1120" s="1">
        <v>58</v>
      </c>
      <c r="O1120" s="1">
        <v>65</v>
      </c>
      <c r="P1120">
        <v>0.21218167072181679</v>
      </c>
      <c r="Q1120">
        <v>0.34932870370370372</v>
      </c>
      <c r="R1120">
        <v>3.3520833333333368E-2</v>
      </c>
    </row>
    <row r="1121" spans="1:18">
      <c r="A1121" s="1">
        <v>40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1</v>
      </c>
      <c r="J1121" s="1">
        <v>0</v>
      </c>
      <c r="K1121" s="1">
        <v>0</v>
      </c>
      <c r="L1121" s="1">
        <v>11</v>
      </c>
      <c r="M1121" s="1">
        <v>54</v>
      </c>
      <c r="N1121" s="1">
        <v>58</v>
      </c>
      <c r="O1121" s="1">
        <v>65</v>
      </c>
      <c r="P1121">
        <v>0.23709651257096531</v>
      </c>
      <c r="Q1121">
        <v>0.29332561728395068</v>
      </c>
      <c r="R1121">
        <v>2.9516666666666674E-2</v>
      </c>
    </row>
    <row r="1122" spans="1:18">
      <c r="A1122" s="1">
        <v>41</v>
      </c>
      <c r="B1122" s="1">
        <v>1</v>
      </c>
      <c r="C1122" s="1">
        <v>1</v>
      </c>
      <c r="D1122" s="1">
        <v>0</v>
      </c>
      <c r="E1122" s="1">
        <v>1</v>
      </c>
      <c r="F1122" s="1">
        <v>9</v>
      </c>
      <c r="G1122" s="1">
        <v>6</v>
      </c>
      <c r="H1122" s="1">
        <v>2</v>
      </c>
      <c r="I1122" s="1">
        <v>1</v>
      </c>
      <c r="J1122" s="1">
        <v>3</v>
      </c>
      <c r="K1122" s="1">
        <v>3</v>
      </c>
      <c r="L1122" s="1">
        <v>11</v>
      </c>
      <c r="M1122" s="1">
        <v>54</v>
      </c>
      <c r="N1122" s="1">
        <v>58</v>
      </c>
      <c r="O1122" s="1">
        <v>65</v>
      </c>
      <c r="P1122">
        <v>0.2465477155988105</v>
      </c>
      <c r="Q1122">
        <v>0.2686265432098765</v>
      </c>
      <c r="R1122">
        <v>2.3191666666666649E-2</v>
      </c>
    </row>
    <row r="1123" spans="1:18">
      <c r="A1123" s="1">
        <v>42</v>
      </c>
      <c r="B1123" s="1">
        <v>0</v>
      </c>
      <c r="C1123" s="1">
        <v>0</v>
      </c>
      <c r="D1123" s="1">
        <v>0</v>
      </c>
      <c r="E1123" s="1">
        <v>1</v>
      </c>
      <c r="F1123" s="1">
        <v>0</v>
      </c>
      <c r="G1123" s="1">
        <v>0</v>
      </c>
      <c r="H1123" s="1">
        <v>0</v>
      </c>
      <c r="I1123" s="1">
        <v>1</v>
      </c>
      <c r="J1123" s="1">
        <v>0</v>
      </c>
      <c r="K1123" s="1">
        <v>0</v>
      </c>
      <c r="L1123" s="1">
        <v>11</v>
      </c>
      <c r="M1123" s="1">
        <v>54</v>
      </c>
      <c r="N1123" s="1">
        <v>58</v>
      </c>
      <c r="O1123" s="1">
        <v>65</v>
      </c>
      <c r="P1123">
        <v>0.30533657745336584</v>
      </c>
      <c r="Q1123">
        <v>0.5735879629629631</v>
      </c>
      <c r="R1123">
        <v>3.6379166666666664E-2</v>
      </c>
    </row>
    <row r="1124" spans="1:18">
      <c r="A1124" s="1">
        <v>43</v>
      </c>
      <c r="B1124" s="1">
        <v>1</v>
      </c>
      <c r="C1124" s="1">
        <v>1</v>
      </c>
      <c r="D1124" s="1">
        <v>0</v>
      </c>
      <c r="E1124" s="1">
        <v>1</v>
      </c>
      <c r="F1124" s="1">
        <v>7</v>
      </c>
      <c r="G1124" s="1">
        <v>6</v>
      </c>
      <c r="H1124" s="1">
        <v>2</v>
      </c>
      <c r="I1124" s="1">
        <v>1</v>
      </c>
      <c r="J1124" s="1">
        <v>3</v>
      </c>
      <c r="K1124" s="1">
        <v>3</v>
      </c>
      <c r="L1124" s="1">
        <v>11</v>
      </c>
      <c r="M1124" s="1">
        <v>54</v>
      </c>
      <c r="N1124" s="1">
        <v>58</v>
      </c>
      <c r="O1124" s="1">
        <v>65</v>
      </c>
      <c r="P1124">
        <v>0.16485536631522033</v>
      </c>
      <c r="Q1124">
        <v>0.26292438271604945</v>
      </c>
      <c r="R1124">
        <v>4.1558333333333329E-2</v>
      </c>
    </row>
    <row r="1125" spans="1:18">
      <c r="A1125" s="1">
        <v>44</v>
      </c>
      <c r="B1125" s="1">
        <v>0</v>
      </c>
      <c r="C1125" s="1">
        <v>1</v>
      </c>
      <c r="D1125" s="1">
        <v>0</v>
      </c>
      <c r="E1125" s="1">
        <v>0</v>
      </c>
      <c r="F1125" s="1">
        <v>5</v>
      </c>
      <c r="G1125" s="1">
        <v>6</v>
      </c>
      <c r="H1125" s="1">
        <v>1</v>
      </c>
      <c r="I1125" s="1">
        <v>1</v>
      </c>
      <c r="J1125" s="1">
        <v>2</v>
      </c>
      <c r="K1125" s="1">
        <v>2</v>
      </c>
      <c r="L1125" s="1">
        <v>11</v>
      </c>
      <c r="M1125" s="1">
        <v>54</v>
      </c>
      <c r="N1125" s="1">
        <v>58</v>
      </c>
      <c r="O1125" s="1">
        <v>65</v>
      </c>
      <c r="P1125">
        <v>0.14835360908353618</v>
      </c>
      <c r="Q1125">
        <v>0.24359567901234577</v>
      </c>
      <c r="R1125">
        <v>4.4154166666666661E-2</v>
      </c>
    </row>
    <row r="1126" spans="1:18">
      <c r="A1126" s="1">
        <v>45</v>
      </c>
      <c r="B1126" s="1">
        <v>0</v>
      </c>
      <c r="C1126" s="1">
        <v>1</v>
      </c>
      <c r="D1126" s="1">
        <v>0</v>
      </c>
      <c r="E1126" s="1">
        <v>1</v>
      </c>
      <c r="F1126" s="1">
        <v>5</v>
      </c>
      <c r="G1126" s="1">
        <v>6</v>
      </c>
      <c r="H1126" s="1">
        <v>1</v>
      </c>
      <c r="I1126" s="1">
        <v>1</v>
      </c>
      <c r="J1126" s="1">
        <v>2</v>
      </c>
      <c r="K1126" s="1">
        <v>2</v>
      </c>
      <c r="L1126" s="1">
        <v>11</v>
      </c>
      <c r="M1126" s="1">
        <v>54</v>
      </c>
      <c r="N1126" s="1">
        <v>58</v>
      </c>
      <c r="O1126" s="1">
        <v>65</v>
      </c>
      <c r="P1126">
        <v>0.14739659367396585</v>
      </c>
      <c r="Q1126">
        <v>0.22076388888888893</v>
      </c>
      <c r="R1126">
        <v>3.5870833333333331E-2</v>
      </c>
    </row>
    <row r="1127" spans="1:18">
      <c r="A1127" s="1">
        <v>46</v>
      </c>
      <c r="B1127" s="1">
        <v>0</v>
      </c>
      <c r="C1127" s="1">
        <v>1</v>
      </c>
      <c r="D1127" s="1">
        <v>0</v>
      </c>
      <c r="E1127" s="1">
        <v>1</v>
      </c>
      <c r="F1127" s="1">
        <v>6</v>
      </c>
      <c r="G1127" s="1">
        <v>6</v>
      </c>
      <c r="H1127" s="1">
        <v>1</v>
      </c>
      <c r="I1127" s="1">
        <v>1</v>
      </c>
      <c r="J1127" s="1">
        <v>2</v>
      </c>
      <c r="K1127" s="1">
        <v>2</v>
      </c>
      <c r="L1127" s="1">
        <v>11</v>
      </c>
      <c r="M1127" s="1">
        <v>54</v>
      </c>
      <c r="N1127" s="1">
        <v>58</v>
      </c>
      <c r="O1127" s="1">
        <v>65</v>
      </c>
      <c r="P1127">
        <v>0.19888618545552852</v>
      </c>
      <c r="Q1127">
        <v>0.28093364197530873</v>
      </c>
      <c r="R1127">
        <v>4.3416666666666659E-2</v>
      </c>
    </row>
    <row r="1128" spans="1:18">
      <c r="A1128" s="1">
        <v>47</v>
      </c>
      <c r="B1128" s="1">
        <v>1</v>
      </c>
      <c r="C1128" s="1">
        <v>1</v>
      </c>
      <c r="D1128" s="1">
        <v>1</v>
      </c>
      <c r="E1128" s="1">
        <v>1</v>
      </c>
      <c r="F1128" s="1">
        <v>16</v>
      </c>
      <c r="G1128" s="1">
        <v>6</v>
      </c>
      <c r="H1128" s="1">
        <v>3</v>
      </c>
      <c r="I1128" s="1">
        <v>1</v>
      </c>
      <c r="J1128" s="1">
        <v>5</v>
      </c>
      <c r="K1128" s="1">
        <v>6</v>
      </c>
      <c r="L1128" s="1">
        <v>11</v>
      </c>
      <c r="M1128" s="1">
        <v>54</v>
      </c>
      <c r="N1128" s="1">
        <v>58</v>
      </c>
      <c r="O1128" s="1">
        <v>65</v>
      </c>
      <c r="P1128">
        <v>0.24599621519329545</v>
      </c>
      <c r="Q1128">
        <v>0.32860339506172836</v>
      </c>
      <c r="R1128">
        <v>3.6108333333333333E-2</v>
      </c>
    </row>
    <row r="1129" spans="1:18">
      <c r="A1129" s="1">
        <v>48</v>
      </c>
      <c r="B1129" s="1">
        <v>0</v>
      </c>
      <c r="C1129" s="1">
        <v>1</v>
      </c>
      <c r="D1129" s="1">
        <v>1</v>
      </c>
      <c r="E1129" s="1">
        <v>1</v>
      </c>
      <c r="F1129" s="1">
        <v>12</v>
      </c>
      <c r="G1129" s="1">
        <v>6</v>
      </c>
      <c r="H1129" s="1">
        <v>2</v>
      </c>
      <c r="I1129" s="1">
        <v>1</v>
      </c>
      <c r="J1129" s="1">
        <v>4</v>
      </c>
      <c r="K1129" s="1">
        <v>4</v>
      </c>
      <c r="L1129" s="1">
        <v>11</v>
      </c>
      <c r="M1129" s="1">
        <v>54</v>
      </c>
      <c r="N1129" s="1">
        <v>58</v>
      </c>
      <c r="O1129" s="1">
        <v>65</v>
      </c>
      <c r="P1129">
        <v>0.20624493106244934</v>
      </c>
      <c r="Q1129">
        <v>0.36689814814814825</v>
      </c>
      <c r="R1129">
        <v>3.5262499999999995E-2</v>
      </c>
    </row>
    <row r="1130" spans="1:18">
      <c r="A1130" s="1">
        <v>49</v>
      </c>
      <c r="B1130" s="1">
        <v>1</v>
      </c>
      <c r="C1130" s="1">
        <v>0</v>
      </c>
      <c r="D1130" s="1">
        <v>0</v>
      </c>
      <c r="E1130" s="1">
        <v>1</v>
      </c>
      <c r="F1130" s="1">
        <v>2</v>
      </c>
      <c r="G1130" s="1">
        <v>6</v>
      </c>
      <c r="H1130" s="1">
        <v>1</v>
      </c>
      <c r="I1130" s="1">
        <v>1</v>
      </c>
      <c r="J1130" s="1">
        <v>1</v>
      </c>
      <c r="K1130" s="1">
        <v>1</v>
      </c>
      <c r="L1130" s="1">
        <v>11</v>
      </c>
      <c r="M1130" s="1">
        <v>54</v>
      </c>
      <c r="N1130" s="1">
        <v>58</v>
      </c>
      <c r="O1130" s="1">
        <v>65</v>
      </c>
      <c r="P1130">
        <v>0.20371992430386587</v>
      </c>
      <c r="Q1130">
        <v>0.29685956790123452</v>
      </c>
      <c r="R1130">
        <v>4.2612499999999998E-2</v>
      </c>
    </row>
    <row r="1131" spans="1:18">
      <c r="A1131" s="1">
        <v>50</v>
      </c>
      <c r="B1131" s="1">
        <v>1</v>
      </c>
      <c r="C1131" s="1">
        <v>1</v>
      </c>
      <c r="D1131" s="1">
        <v>1</v>
      </c>
      <c r="E1131" s="1">
        <v>1</v>
      </c>
      <c r="F1131" s="1">
        <v>17</v>
      </c>
      <c r="G1131" s="1">
        <v>6</v>
      </c>
      <c r="H1131" s="1">
        <v>3</v>
      </c>
      <c r="I1131" s="1">
        <v>1</v>
      </c>
      <c r="J1131" s="1">
        <v>5</v>
      </c>
      <c r="K1131" s="1">
        <v>6</v>
      </c>
      <c r="L1131" s="1">
        <v>11</v>
      </c>
      <c r="M1131" s="1">
        <v>54</v>
      </c>
      <c r="N1131" s="1">
        <v>58</v>
      </c>
      <c r="O1131" s="1">
        <v>65</v>
      </c>
      <c r="P1131">
        <v>0.22090294674236272</v>
      </c>
      <c r="Q1131">
        <v>0.31536265432098753</v>
      </c>
      <c r="R1131">
        <v>3.830416666666666E-2</v>
      </c>
    </row>
    <row r="1132" spans="1:18">
      <c r="A1132" s="1">
        <v>51</v>
      </c>
      <c r="B1132" s="1">
        <v>0</v>
      </c>
      <c r="C1132" s="1">
        <v>1</v>
      </c>
      <c r="D1132" s="1">
        <v>1</v>
      </c>
      <c r="E1132" s="1">
        <v>0</v>
      </c>
      <c r="F1132" s="1">
        <v>11</v>
      </c>
      <c r="G1132" s="1">
        <v>6</v>
      </c>
      <c r="H1132" s="1">
        <v>2</v>
      </c>
      <c r="I1132" s="1">
        <v>1</v>
      </c>
      <c r="J1132" s="1">
        <v>4</v>
      </c>
      <c r="K1132" s="1">
        <v>4</v>
      </c>
      <c r="L1132" s="1">
        <v>11</v>
      </c>
      <c r="M1132" s="1">
        <v>54</v>
      </c>
      <c r="N1132" s="1">
        <v>58</v>
      </c>
      <c r="O1132" s="1">
        <v>65</v>
      </c>
      <c r="P1132">
        <v>0.14816301703163023</v>
      </c>
      <c r="Q1132">
        <v>0.33443287037037051</v>
      </c>
      <c r="R1132">
        <v>4.149166666666667E-2</v>
      </c>
    </row>
    <row r="1133" spans="1:18">
      <c r="A1133" s="1">
        <v>52</v>
      </c>
      <c r="B1133" s="1">
        <v>0</v>
      </c>
      <c r="C1133" s="1">
        <v>1</v>
      </c>
      <c r="D1133" s="1">
        <v>1</v>
      </c>
      <c r="E1133" s="1">
        <v>1</v>
      </c>
      <c r="F1133" s="1">
        <v>11</v>
      </c>
      <c r="G1133" s="1">
        <v>6</v>
      </c>
      <c r="H1133" s="1">
        <v>2</v>
      </c>
      <c r="I1133" s="1">
        <v>1</v>
      </c>
      <c r="J1133" s="1">
        <v>4</v>
      </c>
      <c r="K1133" s="1">
        <v>4</v>
      </c>
      <c r="L1133" s="1">
        <v>11</v>
      </c>
      <c r="M1133" s="1">
        <v>54</v>
      </c>
      <c r="N1133" s="1">
        <v>58</v>
      </c>
      <c r="O1133" s="1">
        <v>65</v>
      </c>
      <c r="P1133">
        <v>0.15380913760475795</v>
      </c>
      <c r="Q1133">
        <v>0.25028549382716037</v>
      </c>
      <c r="R1133">
        <v>4.3812499999999997E-2</v>
      </c>
    </row>
    <row r="1134" spans="1:18">
      <c r="A1134" s="1">
        <v>53</v>
      </c>
      <c r="B1134" s="1">
        <v>1</v>
      </c>
      <c r="C1134" s="1">
        <v>1</v>
      </c>
      <c r="D1134" s="1">
        <v>1</v>
      </c>
      <c r="E1134" s="1">
        <v>1</v>
      </c>
      <c r="F1134" s="1">
        <v>15</v>
      </c>
      <c r="G1134" s="1">
        <v>6</v>
      </c>
      <c r="H1134" s="1">
        <v>3</v>
      </c>
      <c r="I1134" s="1">
        <v>1</v>
      </c>
      <c r="J1134" s="1">
        <v>5</v>
      </c>
      <c r="K1134" s="1">
        <v>5</v>
      </c>
      <c r="L1134" s="1">
        <v>11</v>
      </c>
      <c r="M1134" s="1">
        <v>54</v>
      </c>
      <c r="N1134" s="1">
        <v>58</v>
      </c>
      <c r="O1134" s="1">
        <v>65</v>
      </c>
      <c r="P1134">
        <v>0.22865639361989742</v>
      </c>
      <c r="Q1134">
        <v>0.38545524691358024</v>
      </c>
      <c r="R1134">
        <v>3.0733333333333335E-2</v>
      </c>
    </row>
    <row r="1135" spans="1:18">
      <c r="A1135" s="1">
        <v>54</v>
      </c>
      <c r="B1135" s="1">
        <v>1</v>
      </c>
      <c r="C1135" s="1">
        <v>1</v>
      </c>
      <c r="D1135" s="1">
        <v>1</v>
      </c>
      <c r="E1135" s="1">
        <v>1</v>
      </c>
      <c r="F1135" s="1">
        <v>19</v>
      </c>
      <c r="G1135" s="1">
        <v>6</v>
      </c>
      <c r="H1135" s="1">
        <v>3</v>
      </c>
      <c r="I1135" s="1">
        <v>1</v>
      </c>
      <c r="J1135" s="1">
        <v>5</v>
      </c>
      <c r="K1135" s="1">
        <v>6</v>
      </c>
      <c r="L1135" s="1">
        <v>11</v>
      </c>
      <c r="M1135" s="1">
        <v>54</v>
      </c>
      <c r="N1135" s="1">
        <v>58</v>
      </c>
      <c r="O1135" s="1">
        <v>65</v>
      </c>
      <c r="P1135">
        <v>0.20496350364963517</v>
      </c>
      <c r="Q1135">
        <v>0.28312500000000002</v>
      </c>
      <c r="R1135">
        <v>3.903333333333333E-2</v>
      </c>
    </row>
    <row r="1136" spans="1:18">
      <c r="A1136" s="1">
        <v>55</v>
      </c>
      <c r="B1136" s="1">
        <v>0</v>
      </c>
      <c r="C1136" s="1">
        <v>1</v>
      </c>
      <c r="D1136" s="1">
        <v>1</v>
      </c>
      <c r="E1136" s="1">
        <v>0</v>
      </c>
      <c r="F1136" s="1">
        <v>11</v>
      </c>
      <c r="G1136" s="1">
        <v>6</v>
      </c>
      <c r="H1136" s="1">
        <v>2</v>
      </c>
      <c r="I1136" s="1">
        <v>2</v>
      </c>
      <c r="J1136" s="1">
        <v>4</v>
      </c>
      <c r="K1136" s="1">
        <v>4</v>
      </c>
      <c r="L1136" s="1">
        <v>11</v>
      </c>
      <c r="M1136" s="1">
        <v>54</v>
      </c>
      <c r="N1136" s="1">
        <v>58</v>
      </c>
      <c r="O1136" s="1">
        <v>65</v>
      </c>
      <c r="P1136">
        <v>0.1791281427412813</v>
      </c>
      <c r="Q1136">
        <v>0.32845293209876525</v>
      </c>
      <c r="R1136">
        <v>3.3104166666666657E-2</v>
      </c>
    </row>
    <row r="1137" spans="1:18">
      <c r="A1137" s="1">
        <v>56</v>
      </c>
      <c r="B1137" s="1">
        <v>0</v>
      </c>
      <c r="C1137" s="1">
        <v>1</v>
      </c>
      <c r="D1137" s="1">
        <v>1</v>
      </c>
      <c r="E1137" s="1">
        <v>0</v>
      </c>
      <c r="F1137" s="1">
        <v>10</v>
      </c>
      <c r="G1137" s="1">
        <v>6</v>
      </c>
      <c r="H1137" s="1">
        <v>2</v>
      </c>
      <c r="I1137" s="1">
        <v>2</v>
      </c>
      <c r="J1137" s="1">
        <v>4</v>
      </c>
      <c r="K1137" s="1">
        <v>4</v>
      </c>
      <c r="L1137" s="1">
        <v>11</v>
      </c>
      <c r="M1137" s="1">
        <v>54</v>
      </c>
      <c r="N1137" s="1">
        <v>58</v>
      </c>
      <c r="O1137" s="1">
        <v>65</v>
      </c>
      <c r="P1137">
        <v>0.17409570154095705</v>
      </c>
      <c r="Q1137">
        <v>0.27357253086419753</v>
      </c>
      <c r="R1137">
        <v>4.4183333333333318E-2</v>
      </c>
    </row>
    <row r="1138" spans="1:18">
      <c r="A1138" s="1">
        <v>57</v>
      </c>
      <c r="B1138" s="1">
        <v>1</v>
      </c>
      <c r="C1138" s="1">
        <v>1</v>
      </c>
      <c r="D1138" s="1">
        <v>1</v>
      </c>
      <c r="E1138" s="1">
        <v>0</v>
      </c>
      <c r="F1138" s="1">
        <v>20</v>
      </c>
      <c r="G1138" s="1">
        <v>18</v>
      </c>
      <c r="H1138" s="1">
        <v>3</v>
      </c>
      <c r="I1138" s="1">
        <v>2</v>
      </c>
      <c r="J1138" s="1">
        <v>6</v>
      </c>
      <c r="K1138" s="1">
        <v>7</v>
      </c>
      <c r="L1138" s="1">
        <v>11</v>
      </c>
      <c r="M1138" s="1">
        <v>54</v>
      </c>
      <c r="N1138" s="1">
        <v>58</v>
      </c>
      <c r="O1138" s="1">
        <v>65</v>
      </c>
      <c r="P1138">
        <v>0.28658150851581526</v>
      </c>
      <c r="Q1138">
        <v>0.41140046296296306</v>
      </c>
      <c r="R1138">
        <v>3.4850000000000013E-2</v>
      </c>
    </row>
    <row r="1139" spans="1:18">
      <c r="A1139" s="1">
        <v>58</v>
      </c>
      <c r="B1139" s="1">
        <v>1</v>
      </c>
      <c r="C1139" s="1">
        <v>1</v>
      </c>
      <c r="D1139" s="1">
        <v>1</v>
      </c>
      <c r="E1139" s="1">
        <v>0</v>
      </c>
      <c r="F1139" s="1">
        <v>25</v>
      </c>
      <c r="G1139" s="1">
        <v>18</v>
      </c>
      <c r="H1139" s="1">
        <v>3</v>
      </c>
      <c r="I1139" s="1">
        <v>2</v>
      </c>
      <c r="J1139" s="1">
        <v>6</v>
      </c>
      <c r="K1139" s="1">
        <v>7</v>
      </c>
      <c r="L1139" s="1">
        <v>11</v>
      </c>
      <c r="M1139" s="1">
        <v>54</v>
      </c>
      <c r="N1139" s="1">
        <v>58</v>
      </c>
      <c r="O1139" s="1">
        <v>65</v>
      </c>
      <c r="P1139">
        <v>0.28519870235198702</v>
      </c>
      <c r="Q1139">
        <v>0.38464506172839497</v>
      </c>
      <c r="R1139">
        <v>4.2374999999999996E-2</v>
      </c>
    </row>
    <row r="1140" spans="1:18">
      <c r="A1140" s="1">
        <v>59</v>
      </c>
      <c r="B1140" s="1">
        <v>1</v>
      </c>
      <c r="C1140" s="1">
        <v>1</v>
      </c>
      <c r="D1140" s="1">
        <v>1</v>
      </c>
      <c r="E1140" s="1">
        <v>0</v>
      </c>
      <c r="F1140" s="1">
        <v>17</v>
      </c>
      <c r="G1140" s="1">
        <v>6</v>
      </c>
      <c r="H1140" s="1">
        <v>3</v>
      </c>
      <c r="I1140" s="1">
        <v>2</v>
      </c>
      <c r="J1140" s="1">
        <v>5</v>
      </c>
      <c r="K1140" s="1">
        <v>6</v>
      </c>
      <c r="L1140" s="1">
        <v>11</v>
      </c>
      <c r="M1140" s="1">
        <v>54</v>
      </c>
      <c r="N1140" s="1">
        <v>58</v>
      </c>
      <c r="O1140" s="1">
        <v>65</v>
      </c>
      <c r="P1140">
        <v>0.24658961881589614</v>
      </c>
      <c r="Q1140">
        <v>0.35580632716049387</v>
      </c>
      <c r="R1140">
        <v>3.5266666666666668E-2</v>
      </c>
    </row>
    <row r="1141" spans="1:18">
      <c r="A1141" s="1">
        <v>60</v>
      </c>
      <c r="B1141" s="1">
        <v>1</v>
      </c>
      <c r="C1141" s="1">
        <v>1</v>
      </c>
      <c r="D1141" s="1">
        <v>1</v>
      </c>
      <c r="E1141" s="1">
        <v>0</v>
      </c>
      <c r="F1141" s="1">
        <v>23</v>
      </c>
      <c r="G1141" s="1">
        <v>18</v>
      </c>
      <c r="H1141" s="1">
        <v>3</v>
      </c>
      <c r="I1141" s="1">
        <v>2</v>
      </c>
      <c r="J1141" s="1">
        <v>6</v>
      </c>
      <c r="K1141" s="1">
        <v>7</v>
      </c>
      <c r="L1141" s="1">
        <v>11</v>
      </c>
      <c r="M1141" s="1">
        <v>54</v>
      </c>
      <c r="N1141" s="1">
        <v>58</v>
      </c>
      <c r="O1141" s="1">
        <v>65</v>
      </c>
      <c r="P1141">
        <v>0.28535279805352809</v>
      </c>
      <c r="Q1141">
        <v>0.42696759259259254</v>
      </c>
      <c r="R1141">
        <v>4.7529166666666657E-2</v>
      </c>
    </row>
    <row r="1142" spans="1:18">
      <c r="A1142" s="1">
        <v>61</v>
      </c>
      <c r="B1142" s="1">
        <v>0</v>
      </c>
      <c r="C1142" s="1">
        <v>1</v>
      </c>
      <c r="D1142" s="1">
        <v>0</v>
      </c>
      <c r="E1142" s="1">
        <v>0</v>
      </c>
      <c r="F1142" s="1">
        <v>6</v>
      </c>
      <c r="G1142" s="1">
        <v>6</v>
      </c>
      <c r="H1142" s="1">
        <v>1</v>
      </c>
      <c r="I1142" s="1">
        <v>2</v>
      </c>
      <c r="J1142" s="1">
        <v>2</v>
      </c>
      <c r="K1142" s="1">
        <v>2</v>
      </c>
      <c r="L1142" s="1">
        <v>11</v>
      </c>
      <c r="M1142" s="1">
        <v>54</v>
      </c>
      <c r="N1142" s="1">
        <v>58</v>
      </c>
      <c r="O1142" s="1">
        <v>65</v>
      </c>
      <c r="P1142">
        <v>0.1941889699918897</v>
      </c>
      <c r="Q1142">
        <v>0.30333719135802462</v>
      </c>
      <c r="R1142">
        <v>5.3108333333333313E-2</v>
      </c>
    </row>
    <row r="1143" spans="1:18">
      <c r="A1143" s="1">
        <v>62</v>
      </c>
      <c r="B1143" s="1">
        <v>0</v>
      </c>
      <c r="C1143" s="1">
        <v>1</v>
      </c>
      <c r="D1143" s="1">
        <v>0</v>
      </c>
      <c r="E1143" s="1">
        <v>0</v>
      </c>
      <c r="F1143" s="1">
        <v>5</v>
      </c>
      <c r="G1143" s="1">
        <v>6</v>
      </c>
      <c r="H1143" s="1">
        <v>1</v>
      </c>
      <c r="I1143" s="1">
        <v>2</v>
      </c>
      <c r="J1143" s="1">
        <v>2</v>
      </c>
      <c r="K1143" s="1">
        <v>2</v>
      </c>
      <c r="L1143" s="1">
        <v>11</v>
      </c>
      <c r="M1143" s="1">
        <v>54</v>
      </c>
      <c r="N1143" s="1">
        <v>58</v>
      </c>
      <c r="O1143" s="1">
        <v>65</v>
      </c>
      <c r="P1143">
        <v>8.9156528791565312E-2</v>
      </c>
      <c r="Q1143">
        <v>0.20158179012345689</v>
      </c>
      <c r="R1143">
        <v>4.2374999999999996E-2</v>
      </c>
    </row>
    <row r="1144" spans="1:18">
      <c r="A1144" s="1">
        <v>63</v>
      </c>
      <c r="B1144" s="1">
        <v>0</v>
      </c>
      <c r="C1144" s="1">
        <v>1</v>
      </c>
      <c r="D1144" s="1">
        <v>0</v>
      </c>
      <c r="E1144" s="1">
        <v>1</v>
      </c>
      <c r="F1144" s="1">
        <v>5</v>
      </c>
      <c r="G1144" s="1">
        <v>6</v>
      </c>
      <c r="H1144" s="1">
        <v>1</v>
      </c>
      <c r="I1144" s="1">
        <v>2</v>
      </c>
      <c r="J1144" s="1">
        <v>2</v>
      </c>
      <c r="K1144" s="1">
        <v>2</v>
      </c>
      <c r="L1144" s="1">
        <v>11</v>
      </c>
      <c r="M1144" s="1">
        <v>54</v>
      </c>
      <c r="N1144" s="1">
        <v>58</v>
      </c>
      <c r="O1144" s="1">
        <v>65</v>
      </c>
      <c r="P1144">
        <v>0.12603406326034064</v>
      </c>
      <c r="Q1144">
        <v>0.23298611111111128</v>
      </c>
      <c r="R1144">
        <v>3.0920833333333324E-2</v>
      </c>
    </row>
    <row r="1145" spans="1:18">
      <c r="A1145" s="1">
        <v>64</v>
      </c>
      <c r="B1145" s="1">
        <v>1</v>
      </c>
      <c r="C1145" s="1">
        <v>1</v>
      </c>
      <c r="D1145" s="1">
        <v>0</v>
      </c>
      <c r="E1145" s="1">
        <v>0</v>
      </c>
      <c r="F1145" s="1">
        <v>9</v>
      </c>
      <c r="G1145" s="1">
        <v>6</v>
      </c>
      <c r="H1145" s="1">
        <v>2</v>
      </c>
      <c r="I1145" s="1">
        <v>2</v>
      </c>
      <c r="J1145" s="1">
        <v>3</v>
      </c>
      <c r="K1145" s="1">
        <v>3</v>
      </c>
      <c r="L1145" s="1">
        <v>11</v>
      </c>
      <c r="M1145" s="1">
        <v>54</v>
      </c>
      <c r="N1145" s="1">
        <v>58</v>
      </c>
      <c r="O1145" s="1">
        <v>65</v>
      </c>
      <c r="P1145">
        <v>0.22069748580697499</v>
      </c>
      <c r="Q1145">
        <v>0.34390432098765433</v>
      </c>
      <c r="R1145">
        <v>4.2008333333333314E-2</v>
      </c>
    </row>
    <row r="1146" spans="1:18">
      <c r="A1146" s="1">
        <v>65</v>
      </c>
      <c r="B1146" s="1">
        <v>1</v>
      </c>
      <c r="C1146" s="1">
        <v>1</v>
      </c>
      <c r="D1146" s="1">
        <v>1</v>
      </c>
      <c r="E1146" s="1">
        <v>0</v>
      </c>
      <c r="F1146" s="1">
        <v>15</v>
      </c>
      <c r="G1146" s="1">
        <v>6</v>
      </c>
      <c r="H1146" s="1">
        <v>3</v>
      </c>
      <c r="I1146" s="1">
        <v>2</v>
      </c>
      <c r="J1146" s="1">
        <v>5</v>
      </c>
      <c r="K1146" s="1">
        <v>5</v>
      </c>
      <c r="L1146" s="1">
        <v>11</v>
      </c>
      <c r="M1146" s="1">
        <v>54</v>
      </c>
      <c r="N1146" s="1">
        <v>58</v>
      </c>
      <c r="O1146" s="1">
        <v>65</v>
      </c>
      <c r="P1146">
        <v>0.24924168694241708</v>
      </c>
      <c r="Q1146">
        <v>0.32652391975308637</v>
      </c>
      <c r="R1146">
        <v>4.0237500000000002E-2</v>
      </c>
    </row>
    <row r="1147" spans="1:18">
      <c r="A1147" s="1">
        <v>66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2</v>
      </c>
      <c r="J1147" s="1">
        <v>0</v>
      </c>
      <c r="K1147" s="1">
        <v>0</v>
      </c>
      <c r="L1147" s="1">
        <v>11</v>
      </c>
      <c r="M1147" s="1">
        <v>54</v>
      </c>
      <c r="N1147" s="1">
        <v>58</v>
      </c>
      <c r="O1147" s="1">
        <v>65</v>
      </c>
      <c r="P1147">
        <v>0.23982968369829691</v>
      </c>
      <c r="Q1147">
        <v>0.29039351851851858</v>
      </c>
      <c r="R1147">
        <v>3.8504166666666673E-2</v>
      </c>
    </row>
    <row r="1148" spans="1:18">
      <c r="A1148" s="1">
        <v>67</v>
      </c>
      <c r="B1148" s="1">
        <v>1</v>
      </c>
      <c r="C1148" s="1">
        <v>1</v>
      </c>
      <c r="D1148" s="1">
        <v>1</v>
      </c>
      <c r="E1148" s="1">
        <v>0</v>
      </c>
      <c r="F1148" s="1">
        <v>18</v>
      </c>
      <c r="G1148" s="1">
        <v>6</v>
      </c>
      <c r="H1148" s="1">
        <v>3</v>
      </c>
      <c r="I1148" s="1">
        <v>2</v>
      </c>
      <c r="J1148" s="1">
        <v>5</v>
      </c>
      <c r="K1148" s="1">
        <v>6</v>
      </c>
      <c r="L1148" s="1">
        <v>11</v>
      </c>
      <c r="M1148" s="1">
        <v>54</v>
      </c>
      <c r="N1148" s="1">
        <v>58</v>
      </c>
      <c r="O1148" s="1">
        <v>65</v>
      </c>
      <c r="P1148">
        <v>0.30851987023519867</v>
      </c>
      <c r="Q1148">
        <v>0.40738811728395052</v>
      </c>
      <c r="R1148">
        <v>3.3258333333333355E-2</v>
      </c>
    </row>
    <row r="1149" spans="1:18">
      <c r="A1149" s="1">
        <v>68</v>
      </c>
      <c r="B1149" s="1">
        <v>1</v>
      </c>
      <c r="C1149" s="1">
        <v>1</v>
      </c>
      <c r="D1149" s="1">
        <v>0</v>
      </c>
      <c r="E1149" s="1">
        <v>0</v>
      </c>
      <c r="F1149" s="1">
        <v>8</v>
      </c>
      <c r="G1149" s="1">
        <v>6</v>
      </c>
      <c r="H1149" s="1">
        <v>2</v>
      </c>
      <c r="I1149" s="1">
        <v>2</v>
      </c>
      <c r="J1149" s="1">
        <v>3</v>
      </c>
      <c r="K1149" s="1">
        <v>3</v>
      </c>
      <c r="L1149" s="1">
        <v>11</v>
      </c>
      <c r="M1149" s="1">
        <v>54</v>
      </c>
      <c r="N1149" s="1">
        <v>58</v>
      </c>
      <c r="O1149" s="1">
        <v>65</v>
      </c>
      <c r="P1149">
        <v>0.2173560421735605</v>
      </c>
      <c r="Q1149">
        <v>0.32959104938271599</v>
      </c>
      <c r="R1149">
        <v>4.2179166666666677E-2</v>
      </c>
    </row>
    <row r="1150" spans="1:18">
      <c r="A1150" s="1">
        <v>69</v>
      </c>
      <c r="B1150" s="1">
        <v>0</v>
      </c>
      <c r="C1150" s="1">
        <v>1</v>
      </c>
      <c r="D1150" s="1">
        <v>0</v>
      </c>
      <c r="E1150" s="1">
        <v>0</v>
      </c>
      <c r="F1150" s="1">
        <v>4</v>
      </c>
      <c r="G1150" s="1">
        <v>6</v>
      </c>
      <c r="H1150" s="1">
        <v>1</v>
      </c>
      <c r="I1150" s="1">
        <v>2</v>
      </c>
      <c r="J1150" s="1">
        <v>2</v>
      </c>
      <c r="K1150" s="1">
        <v>2</v>
      </c>
      <c r="L1150" s="1">
        <v>11</v>
      </c>
      <c r="M1150" s="1">
        <v>54</v>
      </c>
      <c r="N1150" s="1">
        <v>58</v>
      </c>
      <c r="O1150" s="1">
        <v>65</v>
      </c>
      <c r="P1150">
        <v>0.20210462287104636</v>
      </c>
      <c r="Q1150">
        <v>0.30908564814814821</v>
      </c>
      <c r="R1150">
        <v>2.9341666666666655E-2</v>
      </c>
    </row>
    <row r="1151" spans="1:18">
      <c r="A1151" s="1">
        <v>70</v>
      </c>
      <c r="B1151" s="1">
        <v>1</v>
      </c>
      <c r="C1151" s="1">
        <v>1</v>
      </c>
      <c r="D1151" s="1">
        <v>1</v>
      </c>
      <c r="E1151" s="1">
        <v>0</v>
      </c>
      <c r="F1151" s="1">
        <v>21</v>
      </c>
      <c r="G1151" s="1">
        <v>18</v>
      </c>
      <c r="H1151" s="1">
        <v>3</v>
      </c>
      <c r="I1151" s="1">
        <v>2</v>
      </c>
      <c r="J1151" s="1">
        <v>6</v>
      </c>
      <c r="K1151" s="1">
        <v>7</v>
      </c>
      <c r="L1151" s="1">
        <v>11</v>
      </c>
      <c r="M1151" s="1">
        <v>54</v>
      </c>
      <c r="N1151" s="1">
        <v>58</v>
      </c>
      <c r="O1151" s="1">
        <v>65</v>
      </c>
      <c r="P1151">
        <v>0.2905028386050284</v>
      </c>
      <c r="Q1151">
        <v>0.53545524691358026</v>
      </c>
      <c r="R1151">
        <v>4.0287499999999997E-2</v>
      </c>
    </row>
    <row r="1152" spans="1:18">
      <c r="A1152" s="1">
        <v>71</v>
      </c>
      <c r="B1152" s="1">
        <v>1</v>
      </c>
      <c r="C1152" s="1">
        <v>0</v>
      </c>
      <c r="D1152" s="1">
        <v>0</v>
      </c>
      <c r="E1152" s="1">
        <v>0</v>
      </c>
      <c r="F1152" s="1">
        <v>2</v>
      </c>
      <c r="G1152" s="1">
        <v>6</v>
      </c>
      <c r="H1152" s="1">
        <v>1</v>
      </c>
      <c r="I1152" s="1">
        <v>2</v>
      </c>
      <c r="J1152" s="1">
        <v>1</v>
      </c>
      <c r="K1152" s="1">
        <v>1</v>
      </c>
      <c r="L1152" s="1">
        <v>11</v>
      </c>
      <c r="M1152" s="1">
        <v>54</v>
      </c>
      <c r="N1152" s="1">
        <v>58</v>
      </c>
      <c r="O1152" s="1">
        <v>65</v>
      </c>
      <c r="P1152">
        <v>0.24167477696674783</v>
      </c>
      <c r="Q1152">
        <v>0.40765817901234569</v>
      </c>
      <c r="R1152">
        <v>3.1720833333333344E-2</v>
      </c>
    </row>
    <row r="1153" spans="1:18">
      <c r="A1153" s="1">
        <v>72</v>
      </c>
      <c r="B1153" s="1">
        <v>1</v>
      </c>
      <c r="C1153" s="1">
        <v>1</v>
      </c>
      <c r="D1153" s="1">
        <v>1</v>
      </c>
      <c r="E1153" s="1">
        <v>0</v>
      </c>
      <c r="F1153" s="1">
        <v>24</v>
      </c>
      <c r="G1153" s="1">
        <v>18</v>
      </c>
      <c r="H1153" s="1">
        <v>3</v>
      </c>
      <c r="I1153" s="1">
        <v>2</v>
      </c>
      <c r="J1153" s="1">
        <v>6</v>
      </c>
      <c r="K1153" s="1">
        <v>7</v>
      </c>
      <c r="L1153" s="1">
        <v>11</v>
      </c>
      <c r="M1153" s="1">
        <v>54</v>
      </c>
      <c r="N1153" s="1">
        <v>58</v>
      </c>
      <c r="O1153" s="1">
        <v>65</v>
      </c>
      <c r="P1153">
        <v>0.26656934306569341</v>
      </c>
      <c r="Q1153">
        <v>0.65798611111111116</v>
      </c>
      <c r="R1153">
        <v>3.3345833333333331E-2</v>
      </c>
    </row>
    <row r="1154" spans="1:18">
      <c r="A1154" s="1">
        <v>73</v>
      </c>
      <c r="B1154" s="1">
        <v>1</v>
      </c>
      <c r="C1154" s="1">
        <v>1</v>
      </c>
      <c r="D1154" s="1">
        <v>1</v>
      </c>
      <c r="E1154" s="1">
        <v>0</v>
      </c>
      <c r="F1154" s="1">
        <v>14</v>
      </c>
      <c r="G1154" s="1">
        <v>6</v>
      </c>
      <c r="H1154" s="1">
        <v>3</v>
      </c>
      <c r="I1154" s="1">
        <v>2</v>
      </c>
      <c r="J1154" s="1">
        <v>5</v>
      </c>
      <c r="K1154" s="1">
        <v>5</v>
      </c>
      <c r="L1154" s="1">
        <v>11</v>
      </c>
      <c r="M1154" s="1">
        <v>54</v>
      </c>
      <c r="N1154" s="1">
        <v>58</v>
      </c>
      <c r="O1154" s="1">
        <v>65</v>
      </c>
      <c r="P1154">
        <v>0.39219383617193831</v>
      </c>
      <c r="Q1154">
        <v>0.57914737654321002</v>
      </c>
      <c r="R1154">
        <v>4.9637500000000022E-2</v>
      </c>
    </row>
    <row r="1155" spans="1:18">
      <c r="A1155" s="1">
        <v>74</v>
      </c>
      <c r="B1155" s="1">
        <v>1</v>
      </c>
      <c r="C1155" s="1">
        <v>1</v>
      </c>
      <c r="D1155" s="1">
        <v>1</v>
      </c>
      <c r="E1155" s="1">
        <v>0</v>
      </c>
      <c r="F1155" s="1">
        <v>13</v>
      </c>
      <c r="G1155" s="1">
        <v>6</v>
      </c>
      <c r="H1155" s="1">
        <v>3</v>
      </c>
      <c r="I1155" s="1">
        <v>2</v>
      </c>
      <c r="J1155" s="1">
        <v>5</v>
      </c>
      <c r="K1155" s="1">
        <v>5</v>
      </c>
      <c r="L1155" s="1">
        <v>11</v>
      </c>
      <c r="M1155" s="1">
        <v>54</v>
      </c>
      <c r="N1155" s="1">
        <v>58</v>
      </c>
      <c r="O1155" s="1">
        <v>65</v>
      </c>
      <c r="P1155">
        <v>0.25066504460665057</v>
      </c>
      <c r="Q1155">
        <v>0.39405864197530877</v>
      </c>
      <c r="R1155">
        <v>3.9604166666666663E-2</v>
      </c>
    </row>
    <row r="1156" spans="1:18">
      <c r="A1156" s="1">
        <v>75</v>
      </c>
      <c r="B1156" s="1">
        <v>0</v>
      </c>
      <c r="C1156" s="1">
        <v>1</v>
      </c>
      <c r="D1156" s="1">
        <v>0</v>
      </c>
      <c r="E1156" s="1">
        <v>1</v>
      </c>
      <c r="F1156" s="1">
        <v>6</v>
      </c>
      <c r="G1156" s="1">
        <v>6</v>
      </c>
      <c r="H1156" s="1">
        <v>1</v>
      </c>
      <c r="I1156" s="1">
        <v>2</v>
      </c>
      <c r="J1156" s="1">
        <v>2</v>
      </c>
      <c r="K1156" s="1">
        <v>2</v>
      </c>
      <c r="L1156" s="1">
        <v>11</v>
      </c>
      <c r="M1156" s="1">
        <v>54</v>
      </c>
      <c r="N1156" s="1">
        <v>58</v>
      </c>
      <c r="O1156" s="1">
        <v>65</v>
      </c>
      <c r="P1156">
        <v>0.12639091646390918</v>
      </c>
      <c r="Q1156">
        <v>0.21752314814814822</v>
      </c>
      <c r="R1156">
        <v>3.1854166666666663E-2</v>
      </c>
    </row>
    <row r="1157" spans="1:18">
      <c r="A1157" s="1">
        <v>76</v>
      </c>
      <c r="B1157" s="1">
        <v>1</v>
      </c>
      <c r="C1157" s="1">
        <v>0</v>
      </c>
      <c r="D1157" s="1">
        <v>0</v>
      </c>
      <c r="E1157" s="1">
        <v>0</v>
      </c>
      <c r="F1157" s="1">
        <v>1</v>
      </c>
      <c r="G1157" s="1">
        <v>6</v>
      </c>
      <c r="H1157" s="1">
        <v>1</v>
      </c>
      <c r="I1157" s="1">
        <v>2</v>
      </c>
      <c r="J1157" s="1">
        <v>1</v>
      </c>
      <c r="K1157" s="1">
        <v>1</v>
      </c>
      <c r="L1157" s="1">
        <v>11</v>
      </c>
      <c r="M1157" s="1">
        <v>54</v>
      </c>
      <c r="N1157" s="1">
        <v>58</v>
      </c>
      <c r="O1157" s="1">
        <v>65</v>
      </c>
      <c r="P1157">
        <v>0.26395782643957821</v>
      </c>
      <c r="Q1157">
        <v>0.40408950617283967</v>
      </c>
      <c r="R1157">
        <v>3.5987500000000006E-2</v>
      </c>
    </row>
    <row r="1158" spans="1:18">
      <c r="A1158" s="1">
        <v>77</v>
      </c>
      <c r="B1158" s="1">
        <v>0</v>
      </c>
      <c r="C1158" s="1">
        <v>0</v>
      </c>
      <c r="D1158" s="1">
        <v>0</v>
      </c>
      <c r="E1158" s="1">
        <v>1</v>
      </c>
      <c r="F1158" s="1">
        <v>0</v>
      </c>
      <c r="G1158" s="1">
        <v>0</v>
      </c>
      <c r="H1158" s="1">
        <v>0</v>
      </c>
      <c r="I1158" s="1">
        <v>2</v>
      </c>
      <c r="J1158" s="1">
        <v>0</v>
      </c>
      <c r="K1158" s="1">
        <v>0</v>
      </c>
      <c r="L1158" s="1">
        <v>11</v>
      </c>
      <c r="M1158" s="1">
        <v>54</v>
      </c>
      <c r="N1158" s="1">
        <v>58</v>
      </c>
      <c r="O1158" s="1">
        <v>65</v>
      </c>
      <c r="P1158">
        <v>5.5647472289808042E-2</v>
      </c>
      <c r="Q1158">
        <v>0.10973765432098762</v>
      </c>
      <c r="R1158">
        <v>2.4199999999999982E-2</v>
      </c>
    </row>
    <row r="1159" spans="1:18">
      <c r="A1159" s="1">
        <v>78</v>
      </c>
      <c r="B1159" s="1">
        <v>1</v>
      </c>
      <c r="C1159" s="1">
        <v>0</v>
      </c>
      <c r="D1159" s="1">
        <v>0</v>
      </c>
      <c r="E1159" s="1">
        <v>1</v>
      </c>
      <c r="F1159" s="1">
        <v>1</v>
      </c>
      <c r="G1159" s="1">
        <v>6</v>
      </c>
      <c r="H1159" s="1">
        <v>1</v>
      </c>
      <c r="I1159" s="1">
        <v>2</v>
      </c>
      <c r="J1159" s="1">
        <v>1</v>
      </c>
      <c r="K1159" s="1">
        <v>1</v>
      </c>
      <c r="L1159" s="1">
        <v>11</v>
      </c>
      <c r="M1159" s="1">
        <v>54</v>
      </c>
      <c r="N1159" s="1">
        <v>58</v>
      </c>
      <c r="O1159" s="1">
        <v>65</v>
      </c>
      <c r="P1159">
        <v>0.1961881589618816</v>
      </c>
      <c r="Q1159">
        <v>0.28032407407407417</v>
      </c>
      <c r="R1159">
        <v>2.2300000000000025E-2</v>
      </c>
    </row>
    <row r="1160" spans="1:18">
      <c r="A1160" s="1">
        <v>79</v>
      </c>
      <c r="B1160" s="1">
        <v>1</v>
      </c>
      <c r="C1160" s="1">
        <v>1</v>
      </c>
      <c r="D1160" s="1">
        <v>1</v>
      </c>
      <c r="E1160" s="1">
        <v>0</v>
      </c>
      <c r="F1160" s="1">
        <v>16</v>
      </c>
      <c r="G1160" s="1">
        <v>6</v>
      </c>
      <c r="H1160" s="1">
        <v>3</v>
      </c>
      <c r="I1160" s="1">
        <v>2</v>
      </c>
      <c r="J1160" s="1">
        <v>5</v>
      </c>
      <c r="K1160" s="1">
        <v>6</v>
      </c>
      <c r="L1160" s="1">
        <v>11</v>
      </c>
      <c r="M1160" s="1">
        <v>54</v>
      </c>
      <c r="N1160" s="1">
        <v>58</v>
      </c>
      <c r="O1160" s="1">
        <v>65</v>
      </c>
      <c r="P1160">
        <v>0.29995539334955396</v>
      </c>
      <c r="Q1160">
        <v>0.5175733024691358</v>
      </c>
      <c r="R1160">
        <v>3.2437500000000008E-2</v>
      </c>
    </row>
    <row r="1161" spans="1:18">
      <c r="A1161" s="1">
        <v>80</v>
      </c>
      <c r="B1161" s="1">
        <v>1</v>
      </c>
      <c r="C1161" s="1">
        <v>1</v>
      </c>
      <c r="D1161" s="1">
        <v>1</v>
      </c>
      <c r="E1161" s="1">
        <v>1</v>
      </c>
      <c r="F1161" s="1">
        <v>23</v>
      </c>
      <c r="G1161" s="1">
        <v>18</v>
      </c>
      <c r="H1161" s="1">
        <v>3</v>
      </c>
      <c r="I1161" s="1">
        <v>2</v>
      </c>
      <c r="J1161" s="1">
        <v>6</v>
      </c>
      <c r="K1161" s="1">
        <v>7</v>
      </c>
      <c r="L1161" s="1">
        <v>11</v>
      </c>
      <c r="M1161" s="1">
        <v>54</v>
      </c>
      <c r="N1161" s="1">
        <v>58</v>
      </c>
      <c r="O1161" s="1">
        <v>65</v>
      </c>
      <c r="P1161">
        <v>0.28675858340091914</v>
      </c>
      <c r="Q1161">
        <v>0.42983024691358029</v>
      </c>
      <c r="R1161">
        <v>2.3166666666666669E-2</v>
      </c>
    </row>
    <row r="1162" spans="1:18">
      <c r="A1162" s="1">
        <v>81</v>
      </c>
      <c r="B1162" s="1">
        <v>1</v>
      </c>
      <c r="C1162" s="1">
        <v>1</v>
      </c>
      <c r="D1162" s="1">
        <v>0</v>
      </c>
      <c r="E1162" s="1">
        <v>0</v>
      </c>
      <c r="F1162" s="1">
        <v>7</v>
      </c>
      <c r="G1162" s="1">
        <v>6</v>
      </c>
      <c r="H1162" s="1">
        <v>2</v>
      </c>
      <c r="I1162" s="1">
        <v>2</v>
      </c>
      <c r="J1162" s="1">
        <v>3</v>
      </c>
      <c r="K1162" s="1">
        <v>3</v>
      </c>
      <c r="L1162" s="1">
        <v>11</v>
      </c>
      <c r="M1162" s="1">
        <v>54</v>
      </c>
      <c r="N1162" s="1">
        <v>58</v>
      </c>
      <c r="O1162" s="1">
        <v>65</v>
      </c>
      <c r="P1162">
        <v>0.30229927007299279</v>
      </c>
      <c r="Q1162">
        <v>0.44427083333333323</v>
      </c>
      <c r="R1162">
        <v>4.5066666666666665E-2</v>
      </c>
    </row>
    <row r="1163" spans="1:18">
      <c r="A1163" s="1">
        <v>82</v>
      </c>
      <c r="B1163" s="1">
        <v>1</v>
      </c>
      <c r="C1163" s="1">
        <v>1</v>
      </c>
      <c r="D1163" s="1">
        <v>1</v>
      </c>
      <c r="E1163" s="1">
        <v>1</v>
      </c>
      <c r="F1163" s="1">
        <v>21</v>
      </c>
      <c r="G1163" s="1">
        <v>18</v>
      </c>
      <c r="H1163" s="1">
        <v>3</v>
      </c>
      <c r="I1163" s="1">
        <v>2</v>
      </c>
      <c r="J1163" s="1">
        <v>6</v>
      </c>
      <c r="K1163" s="1">
        <v>7</v>
      </c>
      <c r="L1163" s="1">
        <v>11</v>
      </c>
      <c r="M1163" s="1">
        <v>54</v>
      </c>
      <c r="N1163" s="1">
        <v>58</v>
      </c>
      <c r="O1163" s="1">
        <v>65</v>
      </c>
      <c r="P1163">
        <v>0.21893484725601511</v>
      </c>
      <c r="Q1163">
        <v>0.30954475308641982</v>
      </c>
      <c r="R1163">
        <v>2.4879166666666674E-2</v>
      </c>
    </row>
    <row r="1164" spans="1:18">
      <c r="A1164" s="1">
        <v>83</v>
      </c>
      <c r="B1164" s="1">
        <v>1</v>
      </c>
      <c r="C1164" s="1">
        <v>1</v>
      </c>
      <c r="D1164" s="1">
        <v>1</v>
      </c>
      <c r="E1164" s="1">
        <v>1</v>
      </c>
      <c r="F1164" s="1">
        <v>18</v>
      </c>
      <c r="G1164" s="1">
        <v>6</v>
      </c>
      <c r="H1164" s="1">
        <v>3</v>
      </c>
      <c r="I1164" s="1">
        <v>2</v>
      </c>
      <c r="J1164" s="1">
        <v>5</v>
      </c>
      <c r="K1164" s="1">
        <v>6</v>
      </c>
      <c r="L1164" s="1">
        <v>11</v>
      </c>
      <c r="M1164" s="1">
        <v>54</v>
      </c>
      <c r="N1164" s="1">
        <v>58</v>
      </c>
      <c r="O1164" s="1">
        <v>65</v>
      </c>
      <c r="P1164">
        <v>0.17918356312516903</v>
      </c>
      <c r="Q1164">
        <v>0.27596450617283963</v>
      </c>
      <c r="R1164">
        <v>2.8833333333333339E-2</v>
      </c>
    </row>
    <row r="1165" spans="1:18">
      <c r="A1165" s="1">
        <v>84</v>
      </c>
      <c r="B1165" s="1">
        <v>1</v>
      </c>
      <c r="C1165" s="1">
        <v>1</v>
      </c>
      <c r="D1165" s="1">
        <v>1</v>
      </c>
      <c r="E1165" s="1">
        <v>1</v>
      </c>
      <c r="F1165" s="1">
        <v>24</v>
      </c>
      <c r="G1165" s="1">
        <v>18</v>
      </c>
      <c r="H1165" s="1">
        <v>3</v>
      </c>
      <c r="I1165" s="1">
        <v>2</v>
      </c>
      <c r="J1165" s="1">
        <v>6</v>
      </c>
      <c r="K1165" s="1">
        <v>7</v>
      </c>
      <c r="L1165" s="1">
        <v>11</v>
      </c>
      <c r="M1165" s="1">
        <v>54</v>
      </c>
      <c r="N1165" s="1">
        <v>58</v>
      </c>
      <c r="O1165" s="1">
        <v>65</v>
      </c>
      <c r="P1165">
        <v>0.20001622060016233</v>
      </c>
      <c r="Q1165">
        <v>0.29550925925925936</v>
      </c>
      <c r="R1165">
        <v>3.3870833333333329E-2</v>
      </c>
    </row>
    <row r="1166" spans="1:18">
      <c r="A1166" s="1">
        <v>85</v>
      </c>
      <c r="B1166" s="1">
        <v>1</v>
      </c>
      <c r="C1166" s="1">
        <v>1</v>
      </c>
      <c r="D1166" s="1">
        <v>1</v>
      </c>
      <c r="E1166" s="1">
        <v>1</v>
      </c>
      <c r="F1166" s="1">
        <v>20</v>
      </c>
      <c r="G1166" s="1">
        <v>18</v>
      </c>
      <c r="H1166" s="1">
        <v>3</v>
      </c>
      <c r="I1166" s="1">
        <v>2</v>
      </c>
      <c r="J1166" s="1">
        <v>6</v>
      </c>
      <c r="K1166" s="1">
        <v>7</v>
      </c>
      <c r="L1166" s="1">
        <v>11</v>
      </c>
      <c r="M1166" s="1">
        <v>54</v>
      </c>
      <c r="N1166" s="1">
        <v>58</v>
      </c>
      <c r="O1166" s="1">
        <v>65</v>
      </c>
      <c r="P1166">
        <v>0.23763719924303864</v>
      </c>
      <c r="Q1166">
        <v>0.34838734567901231</v>
      </c>
      <c r="R1166">
        <v>3.4379166666666662E-2</v>
      </c>
    </row>
    <row r="1167" spans="1:18">
      <c r="A1167" s="1">
        <v>86</v>
      </c>
      <c r="B1167" s="1">
        <v>1</v>
      </c>
      <c r="C1167" s="1">
        <v>1</v>
      </c>
      <c r="D1167" s="1">
        <v>1</v>
      </c>
      <c r="E1167" s="1">
        <v>1</v>
      </c>
      <c r="F1167" s="1">
        <v>17</v>
      </c>
      <c r="G1167" s="1">
        <v>6</v>
      </c>
      <c r="H1167" s="1">
        <v>3</v>
      </c>
      <c r="I1167" s="1">
        <v>2</v>
      </c>
      <c r="J1167" s="1">
        <v>5</v>
      </c>
      <c r="K1167" s="1">
        <v>6</v>
      </c>
      <c r="L1167" s="1">
        <v>11</v>
      </c>
      <c r="M1167" s="1">
        <v>54</v>
      </c>
      <c r="N1167" s="1">
        <v>58</v>
      </c>
      <c r="O1167" s="1">
        <v>65</v>
      </c>
      <c r="P1167">
        <v>0.13511219248445527</v>
      </c>
      <c r="Q1167">
        <v>0.21584876543209888</v>
      </c>
      <c r="R1167">
        <v>3.9324999999999999E-2</v>
      </c>
    </row>
    <row r="1168" spans="1:18">
      <c r="A1168" s="1">
        <v>87</v>
      </c>
      <c r="B1168" s="1">
        <v>0</v>
      </c>
      <c r="C1168" s="1">
        <v>1</v>
      </c>
      <c r="D1168" s="1">
        <v>1</v>
      </c>
      <c r="E1168" s="1">
        <v>0</v>
      </c>
      <c r="F1168" s="1">
        <v>12</v>
      </c>
      <c r="G1168" s="1">
        <v>6</v>
      </c>
      <c r="H1168" s="1">
        <v>2</v>
      </c>
      <c r="I1168" s="1">
        <v>2</v>
      </c>
      <c r="J1168" s="1">
        <v>4</v>
      </c>
      <c r="K1168" s="1">
        <v>4</v>
      </c>
      <c r="L1168" s="1">
        <v>11</v>
      </c>
      <c r="M1168" s="1">
        <v>54</v>
      </c>
      <c r="N1168" s="1">
        <v>58</v>
      </c>
      <c r="O1168" s="1">
        <v>65</v>
      </c>
      <c r="P1168">
        <v>0.11590024330900249</v>
      </c>
      <c r="Q1168">
        <v>0.16811342592592604</v>
      </c>
      <c r="R1168">
        <v>4.6341666666666649E-2</v>
      </c>
    </row>
    <row r="1169" spans="1:18">
      <c r="A1169" s="1">
        <v>88</v>
      </c>
      <c r="B1169" s="1">
        <v>1</v>
      </c>
      <c r="C1169" s="1">
        <v>1</v>
      </c>
      <c r="D1169" s="1">
        <v>1</v>
      </c>
      <c r="E1169" s="1">
        <v>1</v>
      </c>
      <c r="F1169" s="1">
        <v>15</v>
      </c>
      <c r="G1169" s="1">
        <v>6</v>
      </c>
      <c r="H1169" s="1">
        <v>3</v>
      </c>
      <c r="I1169" s="1">
        <v>2</v>
      </c>
      <c r="J1169" s="1">
        <v>5</v>
      </c>
      <c r="K1169" s="1">
        <v>5</v>
      </c>
      <c r="L1169" s="1">
        <v>11</v>
      </c>
      <c r="M1169" s="1">
        <v>54</v>
      </c>
      <c r="N1169" s="1">
        <v>58</v>
      </c>
      <c r="O1169" s="1">
        <v>65</v>
      </c>
      <c r="P1169">
        <v>0.2096242227629089</v>
      </c>
      <c r="Q1169">
        <v>0.31639660493827154</v>
      </c>
      <c r="R1169">
        <v>3.6816666666666685E-2</v>
      </c>
    </row>
    <row r="1170" spans="1:18">
      <c r="A1170" s="1">
        <v>89</v>
      </c>
      <c r="B1170" s="1">
        <v>1</v>
      </c>
      <c r="C1170" s="1">
        <v>0</v>
      </c>
      <c r="D1170" s="1">
        <v>0</v>
      </c>
      <c r="E1170" s="1">
        <v>0</v>
      </c>
      <c r="F1170" s="1">
        <v>3</v>
      </c>
      <c r="G1170" s="1">
        <v>6</v>
      </c>
      <c r="H1170" s="1">
        <v>1</v>
      </c>
      <c r="I1170" s="1">
        <v>2</v>
      </c>
      <c r="J1170" s="1">
        <v>1</v>
      </c>
      <c r="K1170" s="1">
        <v>1</v>
      </c>
      <c r="L1170" s="1">
        <v>11</v>
      </c>
      <c r="M1170" s="1">
        <v>54</v>
      </c>
      <c r="N1170" s="1">
        <v>58</v>
      </c>
      <c r="O1170" s="1">
        <v>65</v>
      </c>
      <c r="P1170">
        <v>0.2766382806163829</v>
      </c>
      <c r="Q1170">
        <v>0.41564429012345677</v>
      </c>
      <c r="R1170">
        <v>4.7649999999999991E-2</v>
      </c>
    </row>
    <row r="1171" spans="1:18">
      <c r="A1171" s="1">
        <v>90</v>
      </c>
      <c r="B1171" s="1">
        <v>1</v>
      </c>
      <c r="C1171" s="1">
        <v>1</v>
      </c>
      <c r="D1171" s="1">
        <v>1</v>
      </c>
      <c r="E1171" s="1">
        <v>1</v>
      </c>
      <c r="F1171" s="1">
        <v>16</v>
      </c>
      <c r="G1171" s="1">
        <v>6</v>
      </c>
      <c r="H1171" s="1">
        <v>3</v>
      </c>
      <c r="I1171" s="1">
        <v>2</v>
      </c>
      <c r="J1171" s="1">
        <v>5</v>
      </c>
      <c r="K1171" s="1">
        <v>6</v>
      </c>
      <c r="L1171" s="1">
        <v>11</v>
      </c>
      <c r="M1171" s="1">
        <v>54</v>
      </c>
      <c r="N1171" s="1">
        <v>58</v>
      </c>
      <c r="O1171" s="1">
        <v>65</v>
      </c>
      <c r="P1171">
        <v>0.15785888077858892</v>
      </c>
      <c r="Q1171">
        <v>0.26902777777777798</v>
      </c>
      <c r="R1171">
        <v>3.8208333333333344E-2</v>
      </c>
    </row>
    <row r="1172" spans="1:18">
      <c r="A1172" s="1">
        <v>91</v>
      </c>
      <c r="B1172" s="1">
        <v>1</v>
      </c>
      <c r="C1172" s="1">
        <v>1</v>
      </c>
      <c r="D1172" s="1">
        <v>1</v>
      </c>
      <c r="E1172" s="1">
        <v>0</v>
      </c>
      <c r="F1172" s="1">
        <v>22</v>
      </c>
      <c r="G1172" s="1">
        <v>18</v>
      </c>
      <c r="H1172" s="1">
        <v>3</v>
      </c>
      <c r="I1172" s="1">
        <v>2</v>
      </c>
      <c r="J1172" s="1">
        <v>6</v>
      </c>
      <c r="K1172" s="1">
        <v>7</v>
      </c>
      <c r="L1172" s="1">
        <v>11</v>
      </c>
      <c r="M1172" s="1">
        <v>54</v>
      </c>
      <c r="N1172" s="1">
        <v>58</v>
      </c>
      <c r="O1172" s="1">
        <v>65</v>
      </c>
      <c r="P1172">
        <v>0.24540551500405514</v>
      </c>
      <c r="Q1172">
        <v>0.4027584876543211</v>
      </c>
      <c r="R1172">
        <v>3.7991666666666681E-2</v>
      </c>
    </row>
    <row r="1173" spans="1:18">
      <c r="A1173" s="1">
        <v>92</v>
      </c>
      <c r="B1173" s="1">
        <v>1</v>
      </c>
      <c r="C1173" s="1">
        <v>1</v>
      </c>
      <c r="D1173" s="1">
        <v>0</v>
      </c>
      <c r="E1173" s="1">
        <v>1</v>
      </c>
      <c r="F1173" s="1">
        <v>7</v>
      </c>
      <c r="G1173" s="1">
        <v>6</v>
      </c>
      <c r="H1173" s="1">
        <v>2</v>
      </c>
      <c r="I1173" s="1">
        <v>2</v>
      </c>
      <c r="J1173" s="1">
        <v>3</v>
      </c>
      <c r="K1173" s="1">
        <v>3</v>
      </c>
      <c r="L1173" s="1">
        <v>11</v>
      </c>
      <c r="M1173" s="1">
        <v>54</v>
      </c>
      <c r="N1173" s="1">
        <v>58</v>
      </c>
      <c r="O1173" s="1">
        <v>65</v>
      </c>
      <c r="P1173">
        <v>0.23164098404974315</v>
      </c>
      <c r="Q1173">
        <v>0.306033950617284</v>
      </c>
      <c r="R1173">
        <v>4.092500000000001E-2</v>
      </c>
    </row>
    <row r="1174" spans="1:18">
      <c r="A1174" s="1">
        <v>93</v>
      </c>
      <c r="B1174" s="1">
        <v>0</v>
      </c>
      <c r="C1174" s="1">
        <v>1</v>
      </c>
      <c r="D1174" s="1">
        <v>1</v>
      </c>
      <c r="E1174" s="1">
        <v>1</v>
      </c>
      <c r="F1174" s="1">
        <v>11</v>
      </c>
      <c r="G1174" s="1">
        <v>6</v>
      </c>
      <c r="H1174" s="1">
        <v>2</v>
      </c>
      <c r="I1174" s="1">
        <v>2</v>
      </c>
      <c r="J1174" s="1">
        <v>4</v>
      </c>
      <c r="K1174" s="1">
        <v>4</v>
      </c>
      <c r="L1174" s="1">
        <v>11</v>
      </c>
      <c r="M1174" s="1">
        <v>54</v>
      </c>
      <c r="N1174" s="1">
        <v>58</v>
      </c>
      <c r="O1174" s="1">
        <v>65</v>
      </c>
      <c r="P1174">
        <v>9.991889699918903E-2</v>
      </c>
      <c r="Q1174">
        <v>0.13287037037037042</v>
      </c>
      <c r="R1174">
        <v>3.606666666666667E-2</v>
      </c>
    </row>
    <row r="1175" spans="1:18">
      <c r="A1175" s="1">
        <v>94</v>
      </c>
      <c r="B1175" s="1">
        <v>1</v>
      </c>
      <c r="C1175" s="1">
        <v>0</v>
      </c>
      <c r="D1175" s="1">
        <v>0</v>
      </c>
      <c r="E1175" s="1">
        <v>1</v>
      </c>
      <c r="F1175" s="1">
        <v>3</v>
      </c>
      <c r="G1175" s="1">
        <v>6</v>
      </c>
      <c r="H1175" s="1">
        <v>1</v>
      </c>
      <c r="I1175" s="1">
        <v>2</v>
      </c>
      <c r="J1175" s="1">
        <v>1</v>
      </c>
      <c r="K1175" s="1">
        <v>1</v>
      </c>
      <c r="L1175" s="1">
        <v>11</v>
      </c>
      <c r="M1175" s="1">
        <v>54</v>
      </c>
      <c r="N1175" s="1">
        <v>58</v>
      </c>
      <c r="O1175" s="1">
        <v>65</v>
      </c>
      <c r="P1175">
        <v>0.13097053257637203</v>
      </c>
      <c r="Q1175">
        <v>0.26179012345679026</v>
      </c>
      <c r="R1175">
        <v>3.7966666666666683E-2</v>
      </c>
    </row>
    <row r="1176" spans="1:18">
      <c r="A1176" s="1">
        <v>95</v>
      </c>
      <c r="B1176" s="1">
        <v>1</v>
      </c>
      <c r="C1176" s="1">
        <v>1</v>
      </c>
      <c r="D1176" s="1">
        <v>0</v>
      </c>
      <c r="E1176" s="1">
        <v>1</v>
      </c>
      <c r="F1176" s="1">
        <v>8</v>
      </c>
      <c r="G1176" s="1">
        <v>6</v>
      </c>
      <c r="H1176" s="1">
        <v>2</v>
      </c>
      <c r="I1176" s="1">
        <v>2</v>
      </c>
      <c r="J1176" s="1">
        <v>3</v>
      </c>
      <c r="K1176" s="1">
        <v>3</v>
      </c>
      <c r="L1176" s="1">
        <v>11</v>
      </c>
      <c r="M1176" s="1">
        <v>54</v>
      </c>
      <c r="N1176" s="1">
        <v>58</v>
      </c>
      <c r="O1176" s="1">
        <v>65</v>
      </c>
      <c r="P1176">
        <v>0.22114625574479585</v>
      </c>
      <c r="Q1176">
        <v>0.36987654320987662</v>
      </c>
      <c r="R1176">
        <v>3.6554166666666686E-2</v>
      </c>
    </row>
    <row r="1177" spans="1:18">
      <c r="A1177" s="1">
        <v>96</v>
      </c>
      <c r="B1177" s="1">
        <v>1</v>
      </c>
      <c r="C1177" s="1">
        <v>1</v>
      </c>
      <c r="D1177" s="1">
        <v>0</v>
      </c>
      <c r="E1177" s="1">
        <v>1</v>
      </c>
      <c r="F1177" s="1">
        <v>9</v>
      </c>
      <c r="G1177" s="1">
        <v>6</v>
      </c>
      <c r="H1177" s="1">
        <v>2</v>
      </c>
      <c r="I1177" s="1">
        <v>2</v>
      </c>
      <c r="J1177" s="1">
        <v>3</v>
      </c>
      <c r="K1177" s="1">
        <v>3</v>
      </c>
      <c r="L1177" s="1">
        <v>11</v>
      </c>
      <c r="M1177" s="1">
        <v>54</v>
      </c>
      <c r="N1177" s="1">
        <v>58</v>
      </c>
      <c r="O1177" s="1">
        <v>65</v>
      </c>
      <c r="P1177">
        <v>0.28212489862124895</v>
      </c>
      <c r="Q1177">
        <v>0.43733796296296296</v>
      </c>
      <c r="R1177">
        <v>3.4312499999999989E-2</v>
      </c>
    </row>
    <row r="1178" spans="1:18">
      <c r="A1178" s="1">
        <v>97</v>
      </c>
      <c r="B1178" s="1">
        <v>1</v>
      </c>
      <c r="C1178" s="1">
        <v>1</v>
      </c>
      <c r="D1178" s="1">
        <v>1</v>
      </c>
      <c r="E1178" s="1">
        <v>1</v>
      </c>
      <c r="F1178" s="1">
        <v>19</v>
      </c>
      <c r="G1178" s="1">
        <v>6</v>
      </c>
      <c r="H1178" s="1">
        <v>3</v>
      </c>
      <c r="I1178" s="1">
        <v>2</v>
      </c>
      <c r="J1178" s="1">
        <v>5</v>
      </c>
      <c r="K1178" s="1">
        <v>6</v>
      </c>
      <c r="L1178" s="1">
        <v>11</v>
      </c>
      <c r="M1178" s="1">
        <v>54</v>
      </c>
      <c r="N1178" s="1">
        <v>58</v>
      </c>
      <c r="O1178" s="1">
        <v>65</v>
      </c>
      <c r="P1178">
        <v>0.20441741011084083</v>
      </c>
      <c r="Q1178">
        <v>0.33917438271604949</v>
      </c>
      <c r="R1178">
        <v>3.4091666666666687E-2</v>
      </c>
    </row>
    <row r="1179" spans="1:18">
      <c r="A1179" s="1">
        <v>98</v>
      </c>
      <c r="B1179" s="1">
        <v>1</v>
      </c>
      <c r="C1179" s="1">
        <v>1</v>
      </c>
      <c r="D1179" s="1">
        <v>1</v>
      </c>
      <c r="E1179" s="1">
        <v>1</v>
      </c>
      <c r="F1179" s="1">
        <v>25</v>
      </c>
      <c r="G1179" s="1">
        <v>18</v>
      </c>
      <c r="H1179" s="1">
        <v>3</v>
      </c>
      <c r="I1179" s="1">
        <v>2</v>
      </c>
      <c r="J1179" s="1">
        <v>6</v>
      </c>
      <c r="K1179" s="1">
        <v>7</v>
      </c>
      <c r="L1179" s="1">
        <v>11</v>
      </c>
      <c r="M1179" s="1">
        <v>54</v>
      </c>
      <c r="N1179" s="1">
        <v>58</v>
      </c>
      <c r="O1179" s="1">
        <v>65</v>
      </c>
      <c r="P1179">
        <v>0.19313327926466622</v>
      </c>
      <c r="Q1179">
        <v>0.23476080246913583</v>
      </c>
      <c r="R1179">
        <v>3.4158333333333325E-2</v>
      </c>
    </row>
    <row r="1180" spans="1:18">
      <c r="A1180" s="1">
        <v>99</v>
      </c>
      <c r="B1180" s="1">
        <v>1</v>
      </c>
      <c r="C1180" s="1">
        <v>1</v>
      </c>
      <c r="D1180" s="1">
        <v>1</v>
      </c>
      <c r="E1180" s="1">
        <v>0</v>
      </c>
      <c r="F1180" s="1">
        <v>26</v>
      </c>
      <c r="G1180" s="1">
        <v>18</v>
      </c>
      <c r="H1180" s="1">
        <v>3</v>
      </c>
      <c r="I1180" s="1">
        <v>2</v>
      </c>
      <c r="J1180" s="1">
        <v>6</v>
      </c>
      <c r="K1180" s="1">
        <v>7</v>
      </c>
      <c r="L1180" s="1">
        <v>11</v>
      </c>
      <c r="M1180" s="1">
        <v>54</v>
      </c>
      <c r="N1180" s="1">
        <v>58</v>
      </c>
      <c r="O1180" s="1">
        <v>65</v>
      </c>
      <c r="P1180">
        <v>0.26791970802919712</v>
      </c>
      <c r="Q1180">
        <v>0.43975694444444435</v>
      </c>
      <c r="R1180">
        <v>4.2729166666666631E-2</v>
      </c>
    </row>
    <row r="1181" spans="1:18">
      <c r="A1181" s="1">
        <v>100</v>
      </c>
      <c r="B1181" s="1">
        <v>1</v>
      </c>
      <c r="C1181" s="1">
        <v>1</v>
      </c>
      <c r="D1181" s="1">
        <v>1</v>
      </c>
      <c r="E1181" s="1">
        <v>1</v>
      </c>
      <c r="F1181" s="1">
        <v>22</v>
      </c>
      <c r="G1181" s="1">
        <v>18</v>
      </c>
      <c r="H1181" s="1">
        <v>3</v>
      </c>
      <c r="I1181" s="1">
        <v>2</v>
      </c>
      <c r="J1181" s="1">
        <v>6</v>
      </c>
      <c r="K1181" s="1">
        <v>7</v>
      </c>
      <c r="L1181" s="1">
        <v>11</v>
      </c>
      <c r="M1181" s="1">
        <v>54</v>
      </c>
      <c r="N1181" s="1">
        <v>58</v>
      </c>
      <c r="O1181" s="1">
        <v>65</v>
      </c>
      <c r="P1181">
        <v>0.23114895917815639</v>
      </c>
      <c r="Q1181">
        <v>0.29780864197530882</v>
      </c>
      <c r="R1181">
        <v>3.8208333333333344E-2</v>
      </c>
    </row>
    <row r="1182" spans="1:18">
      <c r="A1182" s="1">
        <v>101</v>
      </c>
      <c r="B1182" s="1">
        <v>1</v>
      </c>
      <c r="C1182" s="1">
        <v>1</v>
      </c>
      <c r="D1182" s="1">
        <v>1</v>
      </c>
      <c r="E1182" s="1">
        <v>1</v>
      </c>
      <c r="F1182" s="1">
        <v>13</v>
      </c>
      <c r="G1182" s="1">
        <v>6</v>
      </c>
      <c r="H1182" s="1">
        <v>3</v>
      </c>
      <c r="I1182" s="1">
        <v>2</v>
      </c>
      <c r="J1182" s="1">
        <v>5</v>
      </c>
      <c r="K1182" s="1">
        <v>5</v>
      </c>
      <c r="L1182" s="1">
        <v>11</v>
      </c>
      <c r="M1182" s="1">
        <v>54</v>
      </c>
      <c r="N1182" s="1">
        <v>58</v>
      </c>
      <c r="O1182" s="1">
        <v>65</v>
      </c>
      <c r="P1182">
        <v>0.16439037577723714</v>
      </c>
      <c r="Q1182">
        <v>0.24652006172839497</v>
      </c>
      <c r="R1182">
        <v>3.7312500000000005E-2</v>
      </c>
    </row>
    <row r="1183" spans="1:18">
      <c r="A1183" s="1">
        <v>102</v>
      </c>
      <c r="B1183" s="1">
        <v>0</v>
      </c>
      <c r="C1183" s="1">
        <v>1</v>
      </c>
      <c r="D1183" s="1">
        <v>0</v>
      </c>
      <c r="E1183" s="1">
        <v>1</v>
      </c>
      <c r="F1183" s="1">
        <v>4</v>
      </c>
      <c r="G1183" s="1">
        <v>6</v>
      </c>
      <c r="H1183" s="1">
        <v>1</v>
      </c>
      <c r="I1183" s="1">
        <v>2</v>
      </c>
      <c r="J1183" s="1">
        <v>2</v>
      </c>
      <c r="K1183" s="1">
        <v>2</v>
      </c>
      <c r="L1183" s="1">
        <v>11</v>
      </c>
      <c r="M1183" s="1">
        <v>54</v>
      </c>
      <c r="N1183" s="1">
        <v>58</v>
      </c>
      <c r="O1183" s="1">
        <v>65</v>
      </c>
      <c r="P1183">
        <v>0.22317923763179229</v>
      </c>
      <c r="Q1183">
        <v>0.31502314814814802</v>
      </c>
      <c r="R1183">
        <v>4.980416666666667E-2</v>
      </c>
    </row>
    <row r="1184" spans="1:18">
      <c r="A1184" s="1">
        <v>103</v>
      </c>
      <c r="B1184" s="1">
        <v>0</v>
      </c>
      <c r="C1184" s="1">
        <v>1</v>
      </c>
      <c r="D1184" s="1">
        <v>1</v>
      </c>
      <c r="E1184" s="1">
        <v>1</v>
      </c>
      <c r="F1184" s="1">
        <v>10</v>
      </c>
      <c r="G1184" s="1">
        <v>6</v>
      </c>
      <c r="H1184" s="1">
        <v>2</v>
      </c>
      <c r="I1184" s="1">
        <v>2</v>
      </c>
      <c r="J1184" s="1">
        <v>4</v>
      </c>
      <c r="K1184" s="1">
        <v>4</v>
      </c>
      <c r="L1184" s="1">
        <v>11</v>
      </c>
      <c r="M1184" s="1">
        <v>54</v>
      </c>
      <c r="N1184" s="1">
        <v>58</v>
      </c>
      <c r="O1184" s="1">
        <v>65</v>
      </c>
      <c r="P1184">
        <v>0.16371992430386592</v>
      </c>
      <c r="Q1184">
        <v>0.25331790123456788</v>
      </c>
      <c r="R1184">
        <v>2.6087500000000003E-2</v>
      </c>
    </row>
    <row r="1185" spans="1:18">
      <c r="A1185" s="1">
        <v>104</v>
      </c>
      <c r="B1185" s="1">
        <v>0</v>
      </c>
      <c r="C1185" s="1">
        <v>1</v>
      </c>
      <c r="D1185" s="1">
        <v>1</v>
      </c>
      <c r="E1185" s="1">
        <v>1</v>
      </c>
      <c r="F1185" s="1">
        <v>12</v>
      </c>
      <c r="G1185" s="1">
        <v>6</v>
      </c>
      <c r="H1185" s="1">
        <v>2</v>
      </c>
      <c r="I1185" s="1">
        <v>2</v>
      </c>
      <c r="J1185" s="1">
        <v>4</v>
      </c>
      <c r="K1185" s="1">
        <v>4</v>
      </c>
      <c r="L1185" s="1">
        <v>11</v>
      </c>
      <c r="M1185" s="1">
        <v>54</v>
      </c>
      <c r="N1185" s="1">
        <v>58</v>
      </c>
      <c r="O1185" s="1">
        <v>65</v>
      </c>
      <c r="P1185">
        <v>0.29696134090294662</v>
      </c>
      <c r="Q1185">
        <v>0.46765432098765419</v>
      </c>
      <c r="R1185">
        <v>3.0437499999999989E-2</v>
      </c>
    </row>
    <row r="1186" spans="1:18">
      <c r="A1186" s="1">
        <v>105</v>
      </c>
      <c r="B1186" s="1">
        <v>1</v>
      </c>
      <c r="C1186" s="1">
        <v>1</v>
      </c>
      <c r="D1186" s="1">
        <v>1</v>
      </c>
      <c r="E1186" s="1">
        <v>1</v>
      </c>
      <c r="F1186" s="1">
        <v>14</v>
      </c>
      <c r="G1186" s="1">
        <v>6</v>
      </c>
      <c r="H1186" s="1">
        <v>3</v>
      </c>
      <c r="I1186" s="1">
        <v>2</v>
      </c>
      <c r="J1186" s="1">
        <v>5</v>
      </c>
      <c r="K1186" s="1">
        <v>5</v>
      </c>
      <c r="L1186" s="1">
        <v>11</v>
      </c>
      <c r="M1186" s="1">
        <v>54</v>
      </c>
      <c r="N1186" s="1">
        <v>58</v>
      </c>
      <c r="O1186" s="1">
        <v>65</v>
      </c>
      <c r="P1186">
        <v>0.23677210056772116</v>
      </c>
      <c r="Q1186">
        <v>0.37053240740740756</v>
      </c>
      <c r="R1186">
        <v>4.3733333333333346E-2</v>
      </c>
    </row>
    <row r="1187" spans="1:18">
      <c r="A1187" s="1">
        <v>106</v>
      </c>
      <c r="B1187" s="1">
        <v>1</v>
      </c>
      <c r="C1187" s="1">
        <v>1</v>
      </c>
      <c r="D1187" s="1">
        <v>1</v>
      </c>
      <c r="E1187" s="1">
        <v>0</v>
      </c>
      <c r="F1187" s="1">
        <v>19</v>
      </c>
      <c r="G1187" s="1">
        <v>6</v>
      </c>
      <c r="H1187" s="1">
        <v>3</v>
      </c>
      <c r="I1187" s="1">
        <v>2</v>
      </c>
      <c r="J1187" s="1">
        <v>5</v>
      </c>
      <c r="K1187" s="1">
        <v>6</v>
      </c>
      <c r="L1187" s="1">
        <v>11</v>
      </c>
      <c r="M1187" s="1">
        <v>54</v>
      </c>
      <c r="N1187" s="1">
        <v>58</v>
      </c>
      <c r="O1187" s="1">
        <v>65</v>
      </c>
      <c r="P1187">
        <v>0.29546634225466351</v>
      </c>
      <c r="Q1187">
        <v>0.3993441358024693</v>
      </c>
      <c r="R1187">
        <v>4.4579166666666649E-2</v>
      </c>
    </row>
    <row r="1188" spans="1:18">
      <c r="A1188" s="1">
        <v>107</v>
      </c>
      <c r="B1188" s="1">
        <v>1</v>
      </c>
      <c r="C1188" s="1">
        <v>1</v>
      </c>
      <c r="D1188" s="1">
        <v>1</v>
      </c>
      <c r="E1188" s="1">
        <v>1</v>
      </c>
      <c r="F1188" s="1">
        <v>26</v>
      </c>
      <c r="G1188" s="1">
        <v>18</v>
      </c>
      <c r="H1188" s="1">
        <v>3</v>
      </c>
      <c r="I1188" s="1">
        <v>2</v>
      </c>
      <c r="J1188" s="1">
        <v>6</v>
      </c>
      <c r="K1188" s="1">
        <v>7</v>
      </c>
      <c r="L1188" s="1">
        <v>11</v>
      </c>
      <c r="M1188" s="1">
        <v>54</v>
      </c>
      <c r="N1188" s="1">
        <v>58</v>
      </c>
      <c r="O1188" s="1">
        <v>65</v>
      </c>
      <c r="P1188">
        <v>0.20033522573668547</v>
      </c>
      <c r="Q1188">
        <v>0.32941358024691336</v>
      </c>
      <c r="R1188">
        <v>3.4783333333333333E-2</v>
      </c>
    </row>
    <row r="1189" spans="1:18">
      <c r="A1189" s="1">
        <v>108</v>
      </c>
      <c r="B1189" s="1">
        <v>1</v>
      </c>
      <c r="C1189" s="1">
        <v>0</v>
      </c>
      <c r="D1189" s="1">
        <v>0</v>
      </c>
      <c r="E1189" s="1">
        <v>1</v>
      </c>
      <c r="F1189" s="1">
        <v>2</v>
      </c>
      <c r="G1189" s="1">
        <v>6</v>
      </c>
      <c r="H1189" s="1">
        <v>1</v>
      </c>
      <c r="I1189" s="1">
        <v>2</v>
      </c>
      <c r="J1189" s="1">
        <v>1</v>
      </c>
      <c r="K1189" s="1">
        <v>1</v>
      </c>
      <c r="L1189" s="1">
        <v>11</v>
      </c>
      <c r="M1189" s="1">
        <v>54</v>
      </c>
      <c r="N1189" s="1">
        <v>58</v>
      </c>
      <c r="O1189" s="1">
        <v>65</v>
      </c>
      <c r="P1189">
        <v>0.22919708029197086</v>
      </c>
      <c r="Q1189">
        <v>0.3166666666666666</v>
      </c>
      <c r="R1189">
        <v>3.9829166666666659E-2</v>
      </c>
    </row>
    <row r="1190" spans="1:18">
      <c r="A1190" s="1">
        <v>1</v>
      </c>
      <c r="B1190" s="1">
        <v>1</v>
      </c>
      <c r="C1190" s="1">
        <v>1</v>
      </c>
      <c r="D1190" s="1">
        <v>1</v>
      </c>
      <c r="E1190" s="1">
        <v>0</v>
      </c>
      <c r="F1190" s="1">
        <v>14</v>
      </c>
      <c r="G1190" s="1">
        <v>6</v>
      </c>
      <c r="H1190" s="1">
        <v>3</v>
      </c>
      <c r="I1190" s="1">
        <v>1</v>
      </c>
      <c r="J1190" s="1">
        <v>5</v>
      </c>
      <c r="K1190" s="1">
        <v>5</v>
      </c>
      <c r="L1190" s="1">
        <v>12</v>
      </c>
      <c r="M1190" s="1">
        <v>62</v>
      </c>
      <c r="N1190" s="1">
        <v>72</v>
      </c>
      <c r="O1190" s="1">
        <v>79</v>
      </c>
      <c r="P1190">
        <v>0.20018653690186533</v>
      </c>
      <c r="Q1190">
        <v>0.27076774691358019</v>
      </c>
      <c r="R1190">
        <v>6.2561904761904763E-2</v>
      </c>
    </row>
    <row r="1191" spans="1:18">
      <c r="A1191" s="1">
        <v>2</v>
      </c>
      <c r="B1191" s="1">
        <v>1</v>
      </c>
      <c r="C1191" s="1">
        <v>1</v>
      </c>
      <c r="D1191" s="1">
        <v>1</v>
      </c>
      <c r="E1191" s="1">
        <v>0</v>
      </c>
      <c r="F1191" s="1">
        <v>15</v>
      </c>
      <c r="G1191" s="1">
        <v>6</v>
      </c>
      <c r="H1191" s="1">
        <v>3</v>
      </c>
      <c r="I1191" s="1">
        <v>1</v>
      </c>
      <c r="J1191" s="1">
        <v>5</v>
      </c>
      <c r="K1191" s="1">
        <v>5</v>
      </c>
      <c r="L1191" s="1">
        <v>12</v>
      </c>
      <c r="M1191" s="1">
        <v>62</v>
      </c>
      <c r="N1191" s="1">
        <v>72</v>
      </c>
      <c r="O1191" s="1">
        <v>79</v>
      </c>
      <c r="P1191">
        <v>0.30781832927818342</v>
      </c>
      <c r="Q1191">
        <v>0.37945216049382746</v>
      </c>
      <c r="R1191">
        <v>6.1657142857142876E-2</v>
      </c>
    </row>
    <row r="1192" spans="1:18">
      <c r="A1192" s="1">
        <v>3</v>
      </c>
      <c r="B1192" s="1">
        <v>1</v>
      </c>
      <c r="C1192" s="1">
        <v>1</v>
      </c>
      <c r="D1192" s="1">
        <v>1</v>
      </c>
      <c r="E1192" s="1">
        <v>0</v>
      </c>
      <c r="F1192" s="1">
        <v>13</v>
      </c>
      <c r="G1192" s="1">
        <v>6</v>
      </c>
      <c r="H1192" s="1">
        <v>3</v>
      </c>
      <c r="I1192" s="1">
        <v>1</v>
      </c>
      <c r="J1192" s="1">
        <v>5</v>
      </c>
      <c r="K1192" s="1">
        <v>5</v>
      </c>
      <c r="L1192" s="1">
        <v>12</v>
      </c>
      <c r="M1192" s="1">
        <v>62</v>
      </c>
      <c r="N1192" s="1">
        <v>72</v>
      </c>
      <c r="O1192" s="1">
        <v>79</v>
      </c>
      <c r="P1192">
        <v>0.25705596107055956</v>
      </c>
      <c r="Q1192">
        <v>0.38813657407407398</v>
      </c>
      <c r="R1192">
        <v>5.06761904761905E-2</v>
      </c>
    </row>
    <row r="1193" spans="1:18">
      <c r="A1193" s="1">
        <v>4</v>
      </c>
      <c r="B1193" s="1">
        <v>1</v>
      </c>
      <c r="C1193" s="1">
        <v>0</v>
      </c>
      <c r="D1193" s="1">
        <v>0</v>
      </c>
      <c r="E1193" s="1">
        <v>0</v>
      </c>
      <c r="F1193" s="1">
        <v>1</v>
      </c>
      <c r="G1193" s="1">
        <v>6</v>
      </c>
      <c r="H1193" s="1">
        <v>1</v>
      </c>
      <c r="I1193" s="1">
        <v>1</v>
      </c>
      <c r="J1193" s="1">
        <v>1</v>
      </c>
      <c r="K1193" s="1">
        <v>1</v>
      </c>
      <c r="L1193" s="1">
        <v>12</v>
      </c>
      <c r="M1193" s="1">
        <v>62</v>
      </c>
      <c r="N1193" s="1">
        <v>72</v>
      </c>
      <c r="O1193" s="1">
        <v>79</v>
      </c>
      <c r="P1193">
        <v>0.21359286293592863</v>
      </c>
      <c r="Q1193">
        <v>0.19890432098765437</v>
      </c>
      <c r="R1193">
        <v>4.802380952380951E-2</v>
      </c>
    </row>
    <row r="1194" spans="1:18">
      <c r="A1194" s="1">
        <v>5</v>
      </c>
      <c r="B1194" s="1">
        <v>1</v>
      </c>
      <c r="C1194" s="1">
        <v>1</v>
      </c>
      <c r="D1194" s="1">
        <v>0</v>
      </c>
      <c r="E1194" s="1">
        <v>0</v>
      </c>
      <c r="F1194" s="1">
        <v>8</v>
      </c>
      <c r="G1194" s="1">
        <v>6</v>
      </c>
      <c r="H1194" s="1">
        <v>2</v>
      </c>
      <c r="I1194" s="1">
        <v>1</v>
      </c>
      <c r="J1194" s="1">
        <v>3</v>
      </c>
      <c r="K1194" s="1">
        <v>3</v>
      </c>
      <c r="L1194" s="1">
        <v>12</v>
      </c>
      <c r="M1194" s="1">
        <v>62</v>
      </c>
      <c r="N1194" s="1">
        <v>72</v>
      </c>
      <c r="O1194" s="1">
        <v>79</v>
      </c>
      <c r="P1194">
        <v>0.24531224655312256</v>
      </c>
      <c r="Q1194">
        <v>0.33779706790123454</v>
      </c>
      <c r="R1194">
        <v>5.4761904761904776E-2</v>
      </c>
    </row>
    <row r="1195" spans="1:18">
      <c r="A1195" s="1">
        <v>6</v>
      </c>
      <c r="B1195" s="1">
        <v>1</v>
      </c>
      <c r="C1195" s="1">
        <v>0</v>
      </c>
      <c r="D1195" s="1">
        <v>0</v>
      </c>
      <c r="E1195" s="1">
        <v>0</v>
      </c>
      <c r="F1195" s="1">
        <v>2</v>
      </c>
      <c r="G1195" s="1">
        <v>6</v>
      </c>
      <c r="H1195" s="1">
        <v>1</v>
      </c>
      <c r="I1195" s="1">
        <v>1</v>
      </c>
      <c r="J1195" s="1">
        <v>1</v>
      </c>
      <c r="K1195" s="1">
        <v>1</v>
      </c>
      <c r="L1195" s="1">
        <v>12</v>
      </c>
      <c r="M1195" s="1">
        <v>62</v>
      </c>
      <c r="N1195" s="1">
        <v>72</v>
      </c>
      <c r="O1195" s="1">
        <v>79</v>
      </c>
      <c r="P1195">
        <v>0.2565936739659368</v>
      </c>
      <c r="Q1195">
        <v>0.30377314814814815</v>
      </c>
      <c r="R1195">
        <v>5.1033333333333347E-2</v>
      </c>
    </row>
    <row r="1196" spans="1:18">
      <c r="A1196" s="1">
        <v>7</v>
      </c>
      <c r="B1196" s="1">
        <v>1</v>
      </c>
      <c r="C1196" s="1">
        <v>1</v>
      </c>
      <c r="D1196" s="1">
        <v>1</v>
      </c>
      <c r="E1196" s="1">
        <v>0</v>
      </c>
      <c r="F1196" s="1">
        <v>24</v>
      </c>
      <c r="G1196" s="1">
        <v>18</v>
      </c>
      <c r="H1196" s="1">
        <v>3</v>
      </c>
      <c r="I1196" s="1">
        <v>1</v>
      </c>
      <c r="J1196" s="1">
        <v>6</v>
      </c>
      <c r="K1196" s="1">
        <v>7</v>
      </c>
      <c r="L1196" s="1">
        <v>12</v>
      </c>
      <c r="M1196" s="1">
        <v>62</v>
      </c>
      <c r="N1196" s="1">
        <v>72</v>
      </c>
      <c r="O1196" s="1">
        <v>79</v>
      </c>
      <c r="P1196">
        <v>0.21313057583130585</v>
      </c>
      <c r="Q1196">
        <v>0.21766589506172829</v>
      </c>
      <c r="R1196">
        <v>4.4723809523809506E-2</v>
      </c>
    </row>
    <row r="1197" spans="1:18">
      <c r="A1197" s="1">
        <v>8</v>
      </c>
      <c r="B1197" s="1">
        <v>1</v>
      </c>
      <c r="C1197" s="1">
        <v>1</v>
      </c>
      <c r="D1197" s="1">
        <v>1</v>
      </c>
      <c r="E1197" s="1">
        <v>0</v>
      </c>
      <c r="F1197" s="1">
        <v>26</v>
      </c>
      <c r="G1197" s="1">
        <v>18</v>
      </c>
      <c r="H1197" s="1">
        <v>3</v>
      </c>
      <c r="I1197" s="1">
        <v>1</v>
      </c>
      <c r="J1197" s="1">
        <v>6</v>
      </c>
      <c r="K1197" s="1">
        <v>7</v>
      </c>
      <c r="L1197" s="1">
        <v>12</v>
      </c>
      <c r="M1197" s="1">
        <v>62</v>
      </c>
      <c r="N1197" s="1">
        <v>72</v>
      </c>
      <c r="O1197" s="1">
        <v>79</v>
      </c>
      <c r="P1197">
        <v>0.27185725871857269</v>
      </c>
      <c r="Q1197">
        <v>0.32530864197530873</v>
      </c>
      <c r="R1197">
        <v>5.0585714285714269E-2</v>
      </c>
    </row>
    <row r="1198" spans="1:18">
      <c r="A1198" s="1">
        <v>9</v>
      </c>
      <c r="B1198" s="1">
        <v>1</v>
      </c>
      <c r="C1198" s="1">
        <v>1</v>
      </c>
      <c r="D1198" s="1">
        <v>1</v>
      </c>
      <c r="E1198" s="1">
        <v>0</v>
      </c>
      <c r="F1198" s="1">
        <v>21</v>
      </c>
      <c r="G1198" s="1">
        <v>18</v>
      </c>
      <c r="H1198" s="1">
        <v>3</v>
      </c>
      <c r="I1198" s="1">
        <v>1</v>
      </c>
      <c r="J1198" s="1">
        <v>6</v>
      </c>
      <c r="K1198" s="1">
        <v>7</v>
      </c>
      <c r="L1198" s="1">
        <v>12</v>
      </c>
      <c r="M1198" s="1">
        <v>62</v>
      </c>
      <c r="N1198" s="1">
        <v>72</v>
      </c>
      <c r="O1198" s="1">
        <v>79</v>
      </c>
      <c r="P1198">
        <v>0.26927007299270084</v>
      </c>
      <c r="Q1198">
        <v>0.28503472222222226</v>
      </c>
      <c r="R1198">
        <v>4.6814285714285732E-2</v>
      </c>
    </row>
    <row r="1199" spans="1:18">
      <c r="A1199" s="1">
        <v>10</v>
      </c>
      <c r="B1199" s="1">
        <v>1</v>
      </c>
      <c r="C1199" s="1">
        <v>1</v>
      </c>
      <c r="D1199" s="1">
        <v>1</v>
      </c>
      <c r="E1199" s="1">
        <v>0</v>
      </c>
      <c r="F1199" s="1">
        <v>25</v>
      </c>
      <c r="G1199" s="1">
        <v>18</v>
      </c>
      <c r="H1199" s="1">
        <v>3</v>
      </c>
      <c r="I1199" s="1">
        <v>1</v>
      </c>
      <c r="J1199" s="1">
        <v>6</v>
      </c>
      <c r="K1199" s="1">
        <v>7</v>
      </c>
      <c r="L1199" s="1">
        <v>12</v>
      </c>
      <c r="M1199" s="1">
        <v>62</v>
      </c>
      <c r="N1199" s="1">
        <v>72</v>
      </c>
      <c r="O1199" s="1">
        <v>79</v>
      </c>
      <c r="P1199">
        <v>0.32653690186536904</v>
      </c>
      <c r="Q1199">
        <v>0.35517746913580256</v>
      </c>
      <c r="R1199">
        <v>5.8776190476190482E-2</v>
      </c>
    </row>
    <row r="1200" spans="1:18">
      <c r="A1200" s="1">
        <v>11</v>
      </c>
      <c r="B1200" s="1">
        <v>1</v>
      </c>
      <c r="C1200" s="1">
        <v>1</v>
      </c>
      <c r="D1200" s="1">
        <v>1</v>
      </c>
      <c r="E1200" s="1">
        <v>0</v>
      </c>
      <c r="F1200" s="1">
        <v>20</v>
      </c>
      <c r="G1200" s="1">
        <v>18</v>
      </c>
      <c r="H1200" s="1">
        <v>3</v>
      </c>
      <c r="I1200" s="1">
        <v>1</v>
      </c>
      <c r="J1200" s="1">
        <v>6</v>
      </c>
      <c r="K1200" s="1">
        <v>7</v>
      </c>
      <c r="L1200" s="1">
        <v>12</v>
      </c>
      <c r="M1200" s="1">
        <v>62</v>
      </c>
      <c r="N1200" s="1">
        <v>72</v>
      </c>
      <c r="O1200" s="1">
        <v>79</v>
      </c>
      <c r="P1200">
        <v>0.24146796431467971</v>
      </c>
      <c r="Q1200">
        <v>0.26802854938271614</v>
      </c>
      <c r="R1200">
        <v>5.9028571428571396E-2</v>
      </c>
    </row>
    <row r="1201" spans="1:18">
      <c r="A1201" s="1">
        <v>12</v>
      </c>
      <c r="B1201" s="1">
        <v>1</v>
      </c>
      <c r="C1201" s="1">
        <v>1</v>
      </c>
      <c r="D1201" s="1">
        <v>1</v>
      </c>
      <c r="E1201" s="1">
        <v>1</v>
      </c>
      <c r="F1201" s="1">
        <v>18</v>
      </c>
      <c r="G1201" s="1">
        <v>6</v>
      </c>
      <c r="H1201" s="1">
        <v>3</v>
      </c>
      <c r="I1201" s="1">
        <v>1</v>
      </c>
      <c r="J1201" s="1">
        <v>5</v>
      </c>
      <c r="K1201" s="1">
        <v>6</v>
      </c>
      <c r="L1201" s="1">
        <v>12</v>
      </c>
      <c r="M1201" s="1">
        <v>62</v>
      </c>
      <c r="N1201" s="1">
        <v>72</v>
      </c>
      <c r="O1201" s="1">
        <v>79</v>
      </c>
      <c r="P1201">
        <v>0.12666666666666673</v>
      </c>
      <c r="Q1201">
        <v>0.10951388888888895</v>
      </c>
      <c r="R1201">
        <v>3.8580952380952382E-2</v>
      </c>
    </row>
    <row r="1202" spans="1:18">
      <c r="A1202" s="1">
        <v>13</v>
      </c>
      <c r="B1202" s="1">
        <v>1</v>
      </c>
      <c r="C1202" s="1">
        <v>1</v>
      </c>
      <c r="D1202" s="1">
        <v>1</v>
      </c>
      <c r="E1202" s="1">
        <v>1</v>
      </c>
      <c r="F1202" s="1">
        <v>25</v>
      </c>
      <c r="G1202" s="1">
        <v>18</v>
      </c>
      <c r="H1202" s="1">
        <v>3</v>
      </c>
      <c r="I1202" s="1">
        <v>1</v>
      </c>
      <c r="J1202" s="1">
        <v>6</v>
      </c>
      <c r="K1202" s="1">
        <v>7</v>
      </c>
      <c r="L1202" s="1">
        <v>12</v>
      </c>
      <c r="M1202" s="1">
        <v>62</v>
      </c>
      <c r="N1202" s="1">
        <v>72</v>
      </c>
      <c r="O1202" s="1">
        <v>79</v>
      </c>
      <c r="P1202">
        <v>0.22575020275750199</v>
      </c>
      <c r="Q1202">
        <v>0.27068865740740738</v>
      </c>
      <c r="R1202">
        <v>4.3038095238095216E-2</v>
      </c>
    </row>
    <row r="1203" spans="1:18">
      <c r="A1203" s="1">
        <v>14</v>
      </c>
      <c r="B1203" s="1">
        <v>1</v>
      </c>
      <c r="C1203" s="1">
        <v>1</v>
      </c>
      <c r="D1203" s="1">
        <v>1</v>
      </c>
      <c r="E1203" s="1">
        <v>1</v>
      </c>
      <c r="F1203" s="1">
        <v>14</v>
      </c>
      <c r="G1203" s="1">
        <v>6</v>
      </c>
      <c r="H1203" s="1">
        <v>3</v>
      </c>
      <c r="I1203" s="1">
        <v>1</v>
      </c>
      <c r="J1203" s="1">
        <v>5</v>
      </c>
      <c r="K1203" s="1">
        <v>5</v>
      </c>
      <c r="L1203" s="1">
        <v>12</v>
      </c>
      <c r="M1203" s="1">
        <v>62</v>
      </c>
      <c r="N1203" s="1">
        <v>72</v>
      </c>
      <c r="O1203" s="1">
        <v>79</v>
      </c>
      <c r="P1203">
        <v>0.16789943227899429</v>
      </c>
      <c r="Q1203">
        <v>0.24853009259259262</v>
      </c>
      <c r="R1203">
        <v>4.8690476190476187E-2</v>
      </c>
    </row>
    <row r="1204" spans="1:18">
      <c r="A1204" s="1">
        <v>15</v>
      </c>
      <c r="B1204" s="1">
        <v>1</v>
      </c>
      <c r="C1204" s="1">
        <v>1</v>
      </c>
      <c r="D1204" s="1">
        <v>1</v>
      </c>
      <c r="E1204" s="1">
        <v>0</v>
      </c>
      <c r="F1204" s="1">
        <v>18</v>
      </c>
      <c r="G1204" s="1">
        <v>6</v>
      </c>
      <c r="H1204" s="1">
        <v>3</v>
      </c>
      <c r="I1204" s="1">
        <v>1</v>
      </c>
      <c r="J1204" s="1">
        <v>5</v>
      </c>
      <c r="K1204" s="1">
        <v>6</v>
      </c>
      <c r="L1204" s="1">
        <v>12</v>
      </c>
      <c r="M1204" s="1">
        <v>62</v>
      </c>
      <c r="N1204" s="1">
        <v>72</v>
      </c>
      <c r="O1204" s="1">
        <v>79</v>
      </c>
      <c r="P1204">
        <v>0.23768856447688572</v>
      </c>
      <c r="Q1204">
        <v>0.28818287037037038</v>
      </c>
      <c r="R1204">
        <v>4.5147619047619034E-2</v>
      </c>
    </row>
    <row r="1205" spans="1:18">
      <c r="A1205" s="1">
        <v>16</v>
      </c>
      <c r="B1205" s="1">
        <v>1</v>
      </c>
      <c r="C1205" s="1">
        <v>1</v>
      </c>
      <c r="D1205" s="1">
        <v>1</v>
      </c>
      <c r="E1205" s="1">
        <v>1</v>
      </c>
      <c r="F1205" s="1">
        <v>21</v>
      </c>
      <c r="G1205" s="1">
        <v>18</v>
      </c>
      <c r="H1205" s="1">
        <v>3</v>
      </c>
      <c r="I1205" s="1">
        <v>1</v>
      </c>
      <c r="J1205" s="1">
        <v>6</v>
      </c>
      <c r="K1205" s="1">
        <v>7</v>
      </c>
      <c r="L1205" s="1">
        <v>12</v>
      </c>
      <c r="M1205" s="1">
        <v>62</v>
      </c>
      <c r="N1205" s="1">
        <v>72</v>
      </c>
      <c r="O1205" s="1">
        <v>79</v>
      </c>
      <c r="P1205">
        <v>0.17117599351175986</v>
      </c>
      <c r="Q1205">
        <v>0.23858796296296308</v>
      </c>
      <c r="R1205">
        <v>4.5590476190476202E-2</v>
      </c>
    </row>
    <row r="1206" spans="1:18">
      <c r="A1206" s="1">
        <v>17</v>
      </c>
      <c r="B1206" s="1">
        <v>1</v>
      </c>
      <c r="C1206" s="1">
        <v>0</v>
      </c>
      <c r="D1206" s="1">
        <v>0</v>
      </c>
      <c r="E1206" s="1">
        <v>1</v>
      </c>
      <c r="F1206" s="1">
        <v>1</v>
      </c>
      <c r="G1206" s="1">
        <v>6</v>
      </c>
      <c r="H1206" s="1">
        <v>1</v>
      </c>
      <c r="I1206" s="1">
        <v>1</v>
      </c>
      <c r="J1206" s="1">
        <v>1</v>
      </c>
      <c r="K1206" s="1">
        <v>1</v>
      </c>
      <c r="L1206" s="1">
        <v>12</v>
      </c>
      <c r="M1206" s="1">
        <v>62</v>
      </c>
      <c r="N1206" s="1">
        <v>72</v>
      </c>
      <c r="O1206" s="1">
        <v>79</v>
      </c>
      <c r="P1206">
        <v>0.22062449310624493</v>
      </c>
      <c r="Q1206">
        <v>0.24872106481481485</v>
      </c>
      <c r="R1206">
        <v>3.0847619047619054E-2</v>
      </c>
    </row>
    <row r="1207" spans="1:18">
      <c r="A1207" s="1">
        <v>18</v>
      </c>
      <c r="B1207" s="1">
        <v>1</v>
      </c>
      <c r="C1207" s="1">
        <v>1</v>
      </c>
      <c r="D1207" s="1">
        <v>1</v>
      </c>
      <c r="E1207" s="1">
        <v>0</v>
      </c>
      <c r="F1207" s="1">
        <v>22</v>
      </c>
      <c r="G1207" s="1">
        <v>18</v>
      </c>
      <c r="H1207" s="1">
        <v>3</v>
      </c>
      <c r="I1207" s="1">
        <v>1</v>
      </c>
      <c r="J1207" s="1">
        <v>6</v>
      </c>
      <c r="K1207" s="1">
        <v>7</v>
      </c>
      <c r="L1207" s="1">
        <v>12</v>
      </c>
      <c r="M1207" s="1">
        <v>62</v>
      </c>
      <c r="N1207" s="1">
        <v>72</v>
      </c>
      <c r="O1207" s="1">
        <v>79</v>
      </c>
      <c r="P1207">
        <v>0.2021897810218978</v>
      </c>
      <c r="Q1207">
        <v>0.27569444444444446</v>
      </c>
      <c r="R1207">
        <v>4.1685714285714284E-2</v>
      </c>
    </row>
    <row r="1208" spans="1:18">
      <c r="A1208" s="1">
        <v>19</v>
      </c>
      <c r="B1208" s="1">
        <v>1</v>
      </c>
      <c r="C1208" s="1">
        <v>1</v>
      </c>
      <c r="D1208" s="1">
        <v>1</v>
      </c>
      <c r="E1208" s="1">
        <v>1</v>
      </c>
      <c r="F1208" s="1">
        <v>26</v>
      </c>
      <c r="G1208" s="1">
        <v>18</v>
      </c>
      <c r="H1208" s="1">
        <v>3</v>
      </c>
      <c r="I1208" s="1">
        <v>1</v>
      </c>
      <c r="J1208" s="1">
        <v>6</v>
      </c>
      <c r="K1208" s="1">
        <v>7</v>
      </c>
      <c r="L1208" s="1">
        <v>12</v>
      </c>
      <c r="M1208" s="1">
        <v>62</v>
      </c>
      <c r="N1208" s="1">
        <v>72</v>
      </c>
      <c r="O1208" s="1">
        <v>79</v>
      </c>
      <c r="P1208">
        <v>0.29908353609083554</v>
      </c>
      <c r="Q1208">
        <v>0.33148726851851867</v>
      </c>
      <c r="R1208">
        <v>4.1799999999999983E-2</v>
      </c>
    </row>
    <row r="1209" spans="1:18">
      <c r="A1209" s="1">
        <v>20</v>
      </c>
      <c r="B1209" s="1">
        <v>1</v>
      </c>
      <c r="C1209" s="1">
        <v>1</v>
      </c>
      <c r="D1209" s="1">
        <v>1</v>
      </c>
      <c r="E1209" s="1">
        <v>0</v>
      </c>
      <c r="F1209" s="1">
        <v>17</v>
      </c>
      <c r="G1209" s="1">
        <v>6</v>
      </c>
      <c r="H1209" s="1">
        <v>3</v>
      </c>
      <c r="I1209" s="1">
        <v>1</v>
      </c>
      <c r="J1209" s="1">
        <v>5</v>
      </c>
      <c r="K1209" s="1">
        <v>6</v>
      </c>
      <c r="L1209" s="1">
        <v>12</v>
      </c>
      <c r="M1209" s="1">
        <v>62</v>
      </c>
      <c r="N1209" s="1">
        <v>72</v>
      </c>
      <c r="O1209" s="1">
        <v>79</v>
      </c>
      <c r="P1209">
        <v>0.2240227088402271</v>
      </c>
      <c r="Q1209">
        <v>0.30556327160493818</v>
      </c>
      <c r="R1209">
        <v>3.9938095238095252E-2</v>
      </c>
    </row>
    <row r="1210" spans="1:18">
      <c r="A1210" s="1">
        <v>21</v>
      </c>
      <c r="B1210" s="1">
        <v>1</v>
      </c>
      <c r="C1210" s="1">
        <v>1</v>
      </c>
      <c r="D1210" s="1">
        <v>1</v>
      </c>
      <c r="E1210" s="1">
        <v>0</v>
      </c>
      <c r="F1210" s="1">
        <v>19</v>
      </c>
      <c r="G1210" s="1">
        <v>6</v>
      </c>
      <c r="H1210" s="1">
        <v>3</v>
      </c>
      <c r="I1210" s="1">
        <v>1</v>
      </c>
      <c r="J1210" s="1">
        <v>5</v>
      </c>
      <c r="K1210" s="1">
        <v>6</v>
      </c>
      <c r="L1210" s="1">
        <v>12</v>
      </c>
      <c r="M1210" s="1">
        <v>62</v>
      </c>
      <c r="N1210" s="1">
        <v>72</v>
      </c>
      <c r="O1210" s="1">
        <v>79</v>
      </c>
      <c r="P1210">
        <v>0.24333333333333335</v>
      </c>
      <c r="Q1210">
        <v>0.29966435185185186</v>
      </c>
      <c r="R1210">
        <v>3.2380952380952385E-2</v>
      </c>
    </row>
    <row r="1211" spans="1:18">
      <c r="A1211" s="1">
        <v>22</v>
      </c>
      <c r="B1211" s="1">
        <v>1</v>
      </c>
      <c r="C1211" s="1">
        <v>0</v>
      </c>
      <c r="D1211" s="1">
        <v>0</v>
      </c>
      <c r="E1211" s="1">
        <v>0</v>
      </c>
      <c r="F1211" s="1">
        <v>3</v>
      </c>
      <c r="G1211" s="1">
        <v>6</v>
      </c>
      <c r="H1211" s="1">
        <v>1</v>
      </c>
      <c r="I1211" s="1">
        <v>1</v>
      </c>
      <c r="J1211" s="1">
        <v>1</v>
      </c>
      <c r="K1211" s="1">
        <v>1</v>
      </c>
      <c r="L1211" s="1">
        <v>12</v>
      </c>
      <c r="M1211" s="1">
        <v>62</v>
      </c>
      <c r="N1211" s="1">
        <v>72</v>
      </c>
      <c r="O1211" s="1">
        <v>79</v>
      </c>
      <c r="P1211">
        <v>0.14439578264395786</v>
      </c>
      <c r="Q1211">
        <v>0.1968904320987655</v>
      </c>
      <c r="R1211">
        <v>4.1771428571428557E-2</v>
      </c>
    </row>
    <row r="1212" spans="1:18">
      <c r="A1212" s="1">
        <v>23</v>
      </c>
      <c r="B1212" s="1">
        <v>1</v>
      </c>
      <c r="C1212" s="1">
        <v>1</v>
      </c>
      <c r="D1212" s="1">
        <v>1</v>
      </c>
      <c r="E1212" s="1">
        <v>1</v>
      </c>
      <c r="F1212" s="1">
        <v>24</v>
      </c>
      <c r="G1212" s="1">
        <v>18</v>
      </c>
      <c r="H1212" s="1">
        <v>3</v>
      </c>
      <c r="I1212" s="1">
        <v>1</v>
      </c>
      <c r="J1212" s="1">
        <v>6</v>
      </c>
      <c r="K1212" s="1">
        <v>7</v>
      </c>
      <c r="L1212" s="1">
        <v>12</v>
      </c>
      <c r="M1212" s="1">
        <v>62</v>
      </c>
      <c r="N1212" s="1">
        <v>72</v>
      </c>
      <c r="O1212" s="1">
        <v>79</v>
      </c>
      <c r="P1212">
        <v>0.21220600162206013</v>
      </c>
      <c r="Q1212">
        <v>0.28347800925925926</v>
      </c>
      <c r="R1212">
        <v>3.9452380952380954E-2</v>
      </c>
    </row>
    <row r="1213" spans="1:18">
      <c r="A1213" s="1">
        <v>24</v>
      </c>
      <c r="B1213" s="1">
        <v>1</v>
      </c>
      <c r="C1213" s="1">
        <v>1</v>
      </c>
      <c r="D1213" s="1">
        <v>1</v>
      </c>
      <c r="E1213" s="1">
        <v>0</v>
      </c>
      <c r="F1213" s="1">
        <v>16</v>
      </c>
      <c r="G1213" s="1">
        <v>6</v>
      </c>
      <c r="H1213" s="1">
        <v>3</v>
      </c>
      <c r="I1213" s="1">
        <v>1</v>
      </c>
      <c r="J1213" s="1">
        <v>5</v>
      </c>
      <c r="K1213" s="1">
        <v>6</v>
      </c>
      <c r="L1213" s="1">
        <v>12</v>
      </c>
      <c r="M1213" s="1">
        <v>62</v>
      </c>
      <c r="N1213" s="1">
        <v>72</v>
      </c>
      <c r="O1213" s="1">
        <v>79</v>
      </c>
      <c r="P1213">
        <v>0.30783454987834552</v>
      </c>
      <c r="Q1213">
        <v>0.42259259259259246</v>
      </c>
      <c r="R1213">
        <v>3.6028571428571438E-2</v>
      </c>
    </row>
    <row r="1214" spans="1:18">
      <c r="A1214" s="1">
        <v>25</v>
      </c>
      <c r="B1214" s="1">
        <v>0</v>
      </c>
      <c r="C1214" s="1">
        <v>1</v>
      </c>
      <c r="D1214" s="1">
        <v>1</v>
      </c>
      <c r="E1214" s="1">
        <v>0</v>
      </c>
      <c r="F1214" s="1">
        <v>10</v>
      </c>
      <c r="G1214" s="1">
        <v>6</v>
      </c>
      <c r="H1214" s="1">
        <v>2</v>
      </c>
      <c r="I1214" s="1">
        <v>1</v>
      </c>
      <c r="J1214" s="1">
        <v>4</v>
      </c>
      <c r="K1214" s="1">
        <v>4</v>
      </c>
      <c r="L1214" s="1">
        <v>12</v>
      </c>
      <c r="M1214" s="1">
        <v>62</v>
      </c>
      <c r="N1214" s="1">
        <v>72</v>
      </c>
      <c r="O1214" s="1">
        <v>79</v>
      </c>
      <c r="P1214">
        <v>9.7218167072181699E-2</v>
      </c>
      <c r="Q1214">
        <v>0.14481867283950617</v>
      </c>
      <c r="R1214">
        <v>2.7614285714285709E-2</v>
      </c>
    </row>
    <row r="1215" spans="1:18">
      <c r="A1215" s="1">
        <v>26</v>
      </c>
      <c r="B1215" s="1">
        <v>0</v>
      </c>
      <c r="C1215" s="1">
        <v>1</v>
      </c>
      <c r="D1215" s="1">
        <v>0</v>
      </c>
      <c r="E1215" s="1">
        <v>0</v>
      </c>
      <c r="F1215" s="1">
        <v>6</v>
      </c>
      <c r="G1215" s="1">
        <v>6</v>
      </c>
      <c r="H1215" s="1">
        <v>1</v>
      </c>
      <c r="I1215" s="1">
        <v>1</v>
      </c>
      <c r="J1215" s="1">
        <v>2</v>
      </c>
      <c r="K1215" s="1">
        <v>2</v>
      </c>
      <c r="L1215" s="1">
        <v>12</v>
      </c>
      <c r="M1215" s="1">
        <v>62</v>
      </c>
      <c r="N1215" s="1">
        <v>72</v>
      </c>
      <c r="O1215" s="1">
        <v>79</v>
      </c>
      <c r="P1215">
        <v>0.12382806163828068</v>
      </c>
      <c r="Q1215">
        <v>0.19829475308641969</v>
      </c>
      <c r="R1215">
        <v>4.1009523809523815E-2</v>
      </c>
    </row>
    <row r="1216" spans="1:18">
      <c r="A1216" s="1">
        <v>27</v>
      </c>
      <c r="B1216" s="1">
        <v>1</v>
      </c>
      <c r="C1216" s="1">
        <v>1</v>
      </c>
      <c r="D1216" s="1">
        <v>0</v>
      </c>
      <c r="E1216" s="1">
        <v>0</v>
      </c>
      <c r="F1216" s="1">
        <v>9</v>
      </c>
      <c r="G1216" s="1">
        <v>6</v>
      </c>
      <c r="H1216" s="1">
        <v>2</v>
      </c>
      <c r="I1216" s="1">
        <v>1</v>
      </c>
      <c r="J1216" s="1">
        <v>3</v>
      </c>
      <c r="K1216" s="1">
        <v>3</v>
      </c>
      <c r="L1216" s="1">
        <v>12</v>
      </c>
      <c r="M1216" s="1">
        <v>62</v>
      </c>
      <c r="N1216" s="1">
        <v>72</v>
      </c>
      <c r="O1216" s="1">
        <v>79</v>
      </c>
      <c r="P1216">
        <v>0.21832116788321165</v>
      </c>
      <c r="Q1216">
        <v>0.29031249999999997</v>
      </c>
      <c r="R1216">
        <v>2.3052380952380963E-2</v>
      </c>
    </row>
    <row r="1217" spans="1:18">
      <c r="A1217" s="1">
        <v>28</v>
      </c>
      <c r="B1217" s="1">
        <v>1</v>
      </c>
      <c r="C1217" s="1">
        <v>1</v>
      </c>
      <c r="D1217" s="1">
        <v>0</v>
      </c>
      <c r="E1217" s="1">
        <v>0</v>
      </c>
      <c r="F1217" s="1">
        <v>7</v>
      </c>
      <c r="G1217" s="1">
        <v>6</v>
      </c>
      <c r="H1217" s="1">
        <v>2</v>
      </c>
      <c r="I1217" s="1">
        <v>1</v>
      </c>
      <c r="J1217" s="1">
        <v>3</v>
      </c>
      <c r="K1217" s="1">
        <v>3</v>
      </c>
      <c r="L1217" s="1">
        <v>12</v>
      </c>
      <c r="M1217" s="1">
        <v>62</v>
      </c>
      <c r="N1217" s="1">
        <v>72</v>
      </c>
      <c r="O1217" s="1">
        <v>79</v>
      </c>
      <c r="P1217">
        <v>0.26974858069748581</v>
      </c>
      <c r="Q1217">
        <v>0.27191358024691353</v>
      </c>
      <c r="R1217">
        <v>5.1961904761904772E-2</v>
      </c>
    </row>
    <row r="1218" spans="1:18">
      <c r="A1218" s="1">
        <v>29</v>
      </c>
      <c r="B1218" s="1">
        <v>1</v>
      </c>
      <c r="C1218" s="1">
        <v>1</v>
      </c>
      <c r="D1218" s="1">
        <v>1</v>
      </c>
      <c r="E1218" s="1">
        <v>0</v>
      </c>
      <c r="F1218" s="1">
        <v>23</v>
      </c>
      <c r="G1218" s="1">
        <v>18</v>
      </c>
      <c r="H1218" s="1">
        <v>3</v>
      </c>
      <c r="I1218" s="1">
        <v>1</v>
      </c>
      <c r="J1218" s="1">
        <v>6</v>
      </c>
      <c r="K1218" s="1">
        <v>7</v>
      </c>
      <c r="L1218" s="1">
        <v>12</v>
      </c>
      <c r="M1218" s="1">
        <v>62</v>
      </c>
      <c r="N1218" s="1">
        <v>72</v>
      </c>
      <c r="O1218" s="1">
        <v>79</v>
      </c>
      <c r="P1218">
        <v>0.2562124898621248</v>
      </c>
      <c r="Q1218">
        <v>0.32330632716049379</v>
      </c>
      <c r="R1218">
        <v>4.821904761904762E-2</v>
      </c>
    </row>
    <row r="1219" spans="1:18">
      <c r="A1219" s="1">
        <v>30</v>
      </c>
      <c r="B1219" s="1">
        <v>0</v>
      </c>
      <c r="C1219" s="1">
        <v>1</v>
      </c>
      <c r="D1219" s="1">
        <v>0</v>
      </c>
      <c r="E1219" s="1">
        <v>0</v>
      </c>
      <c r="F1219" s="1">
        <v>4</v>
      </c>
      <c r="G1219" s="1">
        <v>6</v>
      </c>
      <c r="H1219" s="1">
        <v>1</v>
      </c>
      <c r="I1219" s="1">
        <v>1</v>
      </c>
      <c r="J1219" s="1">
        <v>2</v>
      </c>
      <c r="K1219" s="1">
        <v>2</v>
      </c>
      <c r="L1219" s="1">
        <v>12</v>
      </c>
      <c r="M1219" s="1">
        <v>62</v>
      </c>
      <c r="N1219" s="1">
        <v>72</v>
      </c>
      <c r="O1219" s="1">
        <v>79</v>
      </c>
      <c r="P1219">
        <v>0.15289537712895374</v>
      </c>
      <c r="Q1219">
        <v>0.23824074074074064</v>
      </c>
      <c r="R1219">
        <v>4.9357142857142863E-2</v>
      </c>
    </row>
    <row r="1220" spans="1:18">
      <c r="A1220" s="1">
        <v>31</v>
      </c>
      <c r="B1220" s="1">
        <v>1</v>
      </c>
      <c r="C1220" s="1">
        <v>0</v>
      </c>
      <c r="D1220" s="1">
        <v>0</v>
      </c>
      <c r="E1220" s="1">
        <v>1</v>
      </c>
      <c r="F1220" s="1">
        <v>3</v>
      </c>
      <c r="G1220" s="1">
        <v>6</v>
      </c>
      <c r="H1220" s="1">
        <v>1</v>
      </c>
      <c r="I1220" s="1">
        <v>1</v>
      </c>
      <c r="J1220" s="1">
        <v>1</v>
      </c>
      <c r="K1220" s="1">
        <v>1</v>
      </c>
      <c r="L1220" s="1">
        <v>12</v>
      </c>
      <c r="M1220" s="1">
        <v>62</v>
      </c>
      <c r="N1220" s="1">
        <v>72</v>
      </c>
      <c r="O1220" s="1">
        <v>79</v>
      </c>
      <c r="P1220">
        <v>0.15669910786699107</v>
      </c>
      <c r="Q1220">
        <v>0.19683449074074072</v>
      </c>
      <c r="R1220">
        <v>5.1357142857142837E-2</v>
      </c>
    </row>
    <row r="1221" spans="1:18">
      <c r="A1221" s="1">
        <v>32</v>
      </c>
      <c r="B1221" s="1">
        <v>1</v>
      </c>
      <c r="C1221" s="1">
        <v>1</v>
      </c>
      <c r="D1221" s="1">
        <v>1</v>
      </c>
      <c r="E1221" s="1">
        <v>1</v>
      </c>
      <c r="F1221" s="1">
        <v>13</v>
      </c>
      <c r="G1221" s="1">
        <v>6</v>
      </c>
      <c r="H1221" s="1">
        <v>3</v>
      </c>
      <c r="I1221" s="1">
        <v>1</v>
      </c>
      <c r="J1221" s="1">
        <v>5</v>
      </c>
      <c r="K1221" s="1">
        <v>5</v>
      </c>
      <c r="L1221" s="1">
        <v>12</v>
      </c>
      <c r="M1221" s="1">
        <v>62</v>
      </c>
      <c r="N1221" s="1">
        <v>72</v>
      </c>
      <c r="O1221" s="1">
        <v>79</v>
      </c>
      <c r="P1221">
        <v>0.14483373884833736</v>
      </c>
      <c r="Q1221">
        <v>0.14134259259259263</v>
      </c>
      <c r="R1221">
        <v>5.2719047619047617E-2</v>
      </c>
    </row>
    <row r="1222" spans="1:18">
      <c r="A1222" s="1">
        <v>33</v>
      </c>
      <c r="B1222" s="1">
        <v>0</v>
      </c>
      <c r="C1222" s="1">
        <v>1</v>
      </c>
      <c r="D1222" s="1">
        <v>1</v>
      </c>
      <c r="E1222" s="1">
        <v>0</v>
      </c>
      <c r="F1222" s="1">
        <v>12</v>
      </c>
      <c r="G1222" s="1">
        <v>6</v>
      </c>
      <c r="H1222" s="1">
        <v>2</v>
      </c>
      <c r="I1222" s="1">
        <v>1</v>
      </c>
      <c r="J1222" s="1">
        <v>4</v>
      </c>
      <c r="K1222" s="1">
        <v>4</v>
      </c>
      <c r="L1222" s="1">
        <v>12</v>
      </c>
      <c r="M1222" s="1">
        <v>62</v>
      </c>
      <c r="N1222" s="1">
        <v>72</v>
      </c>
      <c r="O1222" s="1">
        <v>79</v>
      </c>
      <c r="P1222">
        <v>0.26703163017031639</v>
      </c>
      <c r="Q1222">
        <v>0.32991898148148152</v>
      </c>
      <c r="R1222">
        <v>5.0028571428571415E-2</v>
      </c>
    </row>
    <row r="1223" spans="1:18">
      <c r="A1223" s="1">
        <v>34</v>
      </c>
      <c r="B1223" s="1">
        <v>0</v>
      </c>
      <c r="C1223" s="1">
        <v>1</v>
      </c>
      <c r="D1223" s="1">
        <v>1</v>
      </c>
      <c r="E1223" s="1">
        <v>1</v>
      </c>
      <c r="F1223" s="1">
        <v>10</v>
      </c>
      <c r="G1223" s="1">
        <v>6</v>
      </c>
      <c r="H1223" s="1">
        <v>2</v>
      </c>
      <c r="I1223" s="1">
        <v>1</v>
      </c>
      <c r="J1223" s="1">
        <v>4</v>
      </c>
      <c r="K1223" s="1">
        <v>4</v>
      </c>
      <c r="L1223" s="1">
        <v>12</v>
      </c>
      <c r="M1223" s="1">
        <v>62</v>
      </c>
      <c r="N1223" s="1">
        <v>72</v>
      </c>
      <c r="O1223" s="1">
        <v>79</v>
      </c>
      <c r="P1223">
        <v>0.17657745336577457</v>
      </c>
      <c r="Q1223">
        <v>0.22306712962962966</v>
      </c>
      <c r="R1223">
        <v>5.1300000000000005E-2</v>
      </c>
    </row>
    <row r="1224" spans="1:18">
      <c r="A1224" s="1">
        <v>35</v>
      </c>
      <c r="B1224" s="1">
        <v>1</v>
      </c>
      <c r="C1224" s="1">
        <v>1</v>
      </c>
      <c r="D1224" s="1">
        <v>0</v>
      </c>
      <c r="E1224" s="1">
        <v>1</v>
      </c>
      <c r="F1224" s="1">
        <v>8</v>
      </c>
      <c r="G1224" s="1">
        <v>6</v>
      </c>
      <c r="H1224" s="1">
        <v>2</v>
      </c>
      <c r="I1224" s="1">
        <v>1</v>
      </c>
      <c r="J1224" s="1">
        <v>3</v>
      </c>
      <c r="K1224" s="1">
        <v>3</v>
      </c>
      <c r="L1224" s="1">
        <v>12</v>
      </c>
      <c r="M1224" s="1">
        <v>62</v>
      </c>
      <c r="N1224" s="1">
        <v>72</v>
      </c>
      <c r="O1224" s="1">
        <v>79</v>
      </c>
      <c r="P1224">
        <v>0.28296025952960258</v>
      </c>
      <c r="Q1224">
        <v>0.34257523148148156</v>
      </c>
      <c r="R1224">
        <v>5.27142857142857E-2</v>
      </c>
    </row>
    <row r="1225" spans="1:18">
      <c r="A1225" s="1">
        <v>36</v>
      </c>
      <c r="B1225" s="1">
        <v>1</v>
      </c>
      <c r="C1225" s="1">
        <v>1</v>
      </c>
      <c r="D1225" s="1">
        <v>1</v>
      </c>
      <c r="E1225" s="1">
        <v>1</v>
      </c>
      <c r="F1225" s="1">
        <v>20</v>
      </c>
      <c r="G1225" s="1">
        <v>18</v>
      </c>
      <c r="H1225" s="1">
        <v>3</v>
      </c>
      <c r="I1225" s="1">
        <v>1</v>
      </c>
      <c r="J1225" s="1">
        <v>6</v>
      </c>
      <c r="K1225" s="1">
        <v>7</v>
      </c>
      <c r="L1225" s="1">
        <v>12</v>
      </c>
      <c r="M1225" s="1">
        <v>62</v>
      </c>
      <c r="N1225" s="1">
        <v>72</v>
      </c>
      <c r="O1225" s="1">
        <v>79</v>
      </c>
      <c r="P1225">
        <v>0.21635036496350363</v>
      </c>
      <c r="Q1225">
        <v>0.29958333333333337</v>
      </c>
      <c r="R1225">
        <v>5.0766666666666647E-2</v>
      </c>
    </row>
    <row r="1226" spans="1:18">
      <c r="A1226" s="1">
        <v>37</v>
      </c>
      <c r="B1226" s="1">
        <v>1</v>
      </c>
      <c r="C1226" s="1">
        <v>1</v>
      </c>
      <c r="D1226" s="1">
        <v>1</v>
      </c>
      <c r="E1226" s="1">
        <v>1</v>
      </c>
      <c r="F1226" s="1">
        <v>23</v>
      </c>
      <c r="G1226" s="1">
        <v>18</v>
      </c>
      <c r="H1226" s="1">
        <v>3</v>
      </c>
      <c r="I1226" s="1">
        <v>1</v>
      </c>
      <c r="J1226" s="1">
        <v>6</v>
      </c>
      <c r="K1226" s="1">
        <v>7</v>
      </c>
      <c r="L1226" s="1">
        <v>12</v>
      </c>
      <c r="M1226" s="1">
        <v>62</v>
      </c>
      <c r="N1226" s="1">
        <v>72</v>
      </c>
      <c r="O1226" s="1">
        <v>79</v>
      </c>
      <c r="P1226">
        <v>0.18112733171127327</v>
      </c>
      <c r="Q1226">
        <v>0.26700810185185186</v>
      </c>
      <c r="R1226">
        <v>3.783809523809524E-2</v>
      </c>
    </row>
    <row r="1227" spans="1:18">
      <c r="A1227" s="1">
        <v>38</v>
      </c>
      <c r="B1227" s="1">
        <v>0</v>
      </c>
      <c r="C1227" s="1">
        <v>1</v>
      </c>
      <c r="D1227" s="1">
        <v>0</v>
      </c>
      <c r="E1227" s="1">
        <v>1</v>
      </c>
      <c r="F1227" s="1">
        <v>4</v>
      </c>
      <c r="G1227" s="1">
        <v>6</v>
      </c>
      <c r="H1227" s="1">
        <v>1</v>
      </c>
      <c r="I1227" s="1">
        <v>1</v>
      </c>
      <c r="J1227" s="1">
        <v>2</v>
      </c>
      <c r="K1227" s="1">
        <v>2</v>
      </c>
      <c r="L1227" s="1">
        <v>12</v>
      </c>
      <c r="M1227" s="1">
        <v>62</v>
      </c>
      <c r="N1227" s="1">
        <v>72</v>
      </c>
      <c r="O1227" s="1">
        <v>79</v>
      </c>
      <c r="P1227">
        <v>9.6269261962692573E-2</v>
      </c>
      <c r="Q1227">
        <v>0.13755787037037032</v>
      </c>
      <c r="R1227">
        <v>5.5714285714285709E-2</v>
      </c>
    </row>
    <row r="1228" spans="1:18">
      <c r="A1228" s="1">
        <v>39</v>
      </c>
      <c r="B1228" s="1">
        <v>1</v>
      </c>
      <c r="C1228" s="1">
        <v>1</v>
      </c>
      <c r="D1228" s="1">
        <v>1</v>
      </c>
      <c r="E1228" s="1">
        <v>1</v>
      </c>
      <c r="F1228" s="1">
        <v>22</v>
      </c>
      <c r="G1228" s="1">
        <v>18</v>
      </c>
      <c r="H1228" s="1">
        <v>3</v>
      </c>
      <c r="I1228" s="1">
        <v>1</v>
      </c>
      <c r="J1228" s="1">
        <v>6</v>
      </c>
      <c r="K1228" s="1">
        <v>7</v>
      </c>
      <c r="L1228" s="1">
        <v>12</v>
      </c>
      <c r="M1228" s="1">
        <v>62</v>
      </c>
      <c r="N1228" s="1">
        <v>72</v>
      </c>
      <c r="O1228" s="1">
        <v>79</v>
      </c>
      <c r="P1228">
        <v>0.17272506082725061</v>
      </c>
      <c r="Q1228">
        <v>0.25081597222222235</v>
      </c>
      <c r="R1228">
        <v>4.1409523809523799E-2</v>
      </c>
    </row>
    <row r="1229" spans="1:18">
      <c r="A1229" s="1">
        <v>40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1</v>
      </c>
      <c r="J1229" s="1">
        <v>0</v>
      </c>
      <c r="K1229" s="1">
        <v>0</v>
      </c>
      <c r="L1229" s="1">
        <v>12</v>
      </c>
      <c r="M1229" s="1">
        <v>62</v>
      </c>
      <c r="N1229" s="1">
        <v>72</v>
      </c>
      <c r="O1229" s="1">
        <v>79</v>
      </c>
      <c r="P1229">
        <v>0.17227899432279001</v>
      </c>
      <c r="Q1229">
        <v>0.26883487654320998</v>
      </c>
      <c r="R1229">
        <v>4.1076190476190454E-2</v>
      </c>
    </row>
    <row r="1230" spans="1:18">
      <c r="A1230" s="1">
        <v>41</v>
      </c>
      <c r="B1230" s="1">
        <v>1</v>
      </c>
      <c r="C1230" s="1">
        <v>1</v>
      </c>
      <c r="D1230" s="1">
        <v>0</v>
      </c>
      <c r="E1230" s="1">
        <v>1</v>
      </c>
      <c r="F1230" s="1">
        <v>9</v>
      </c>
      <c r="G1230" s="1">
        <v>6</v>
      </c>
      <c r="H1230" s="1">
        <v>2</v>
      </c>
      <c r="I1230" s="1">
        <v>1</v>
      </c>
      <c r="J1230" s="1">
        <v>3</v>
      </c>
      <c r="K1230" s="1">
        <v>3</v>
      </c>
      <c r="L1230" s="1">
        <v>12</v>
      </c>
      <c r="M1230" s="1">
        <v>62</v>
      </c>
      <c r="N1230" s="1">
        <v>72</v>
      </c>
      <c r="O1230" s="1">
        <v>79</v>
      </c>
      <c r="P1230">
        <v>0.23658556366585554</v>
      </c>
      <c r="Q1230">
        <v>0.29087384259259269</v>
      </c>
      <c r="R1230">
        <v>4.178095238095237E-2</v>
      </c>
    </row>
    <row r="1231" spans="1:18">
      <c r="A1231" s="1">
        <v>42</v>
      </c>
      <c r="B1231" s="1">
        <v>0</v>
      </c>
      <c r="C1231" s="1">
        <v>0</v>
      </c>
      <c r="D1231" s="1">
        <v>0</v>
      </c>
      <c r="E1231" s="1">
        <v>1</v>
      </c>
      <c r="F1231" s="1">
        <v>0</v>
      </c>
      <c r="G1231" s="1">
        <v>0</v>
      </c>
      <c r="H1231" s="1">
        <v>0</v>
      </c>
      <c r="I1231" s="1">
        <v>1</v>
      </c>
      <c r="J1231" s="1">
        <v>0</v>
      </c>
      <c r="K1231" s="1">
        <v>0</v>
      </c>
      <c r="L1231" s="1">
        <v>12</v>
      </c>
      <c r="M1231" s="1">
        <v>62</v>
      </c>
      <c r="N1231" s="1">
        <v>72</v>
      </c>
      <c r="O1231" s="1">
        <v>79</v>
      </c>
      <c r="P1231">
        <v>0.21231143552311429</v>
      </c>
      <c r="Q1231">
        <v>0.16246527777777775</v>
      </c>
      <c r="R1231">
        <v>4.4238095238095208E-2</v>
      </c>
    </row>
    <row r="1232" spans="1:18">
      <c r="A1232" s="1">
        <v>43</v>
      </c>
      <c r="B1232" s="1">
        <v>1</v>
      </c>
      <c r="C1232" s="1">
        <v>1</v>
      </c>
      <c r="D1232" s="1">
        <v>0</v>
      </c>
      <c r="E1232" s="1">
        <v>1</v>
      </c>
      <c r="F1232" s="1">
        <v>7</v>
      </c>
      <c r="G1232" s="1">
        <v>6</v>
      </c>
      <c r="H1232" s="1">
        <v>2</v>
      </c>
      <c r="I1232" s="1">
        <v>1</v>
      </c>
      <c r="J1232" s="1">
        <v>3</v>
      </c>
      <c r="K1232" s="1">
        <v>3</v>
      </c>
      <c r="L1232" s="1">
        <v>12</v>
      </c>
      <c r="M1232" s="1">
        <v>62</v>
      </c>
      <c r="N1232" s="1">
        <v>72</v>
      </c>
      <c r="O1232" s="1">
        <v>79</v>
      </c>
      <c r="P1232">
        <v>0.21285482562854835</v>
      </c>
      <c r="Q1232">
        <v>0.2528067129629632</v>
      </c>
      <c r="R1232">
        <v>4.3433333333333317E-2</v>
      </c>
    </row>
    <row r="1233" spans="1:18">
      <c r="A1233" s="1">
        <v>44</v>
      </c>
      <c r="B1233" s="1">
        <v>0</v>
      </c>
      <c r="C1233" s="1">
        <v>1</v>
      </c>
      <c r="D1233" s="1">
        <v>0</v>
      </c>
      <c r="E1233" s="1">
        <v>0</v>
      </c>
      <c r="F1233" s="1">
        <v>5</v>
      </c>
      <c r="G1233" s="1">
        <v>6</v>
      </c>
      <c r="H1233" s="1">
        <v>1</v>
      </c>
      <c r="I1233" s="1">
        <v>1</v>
      </c>
      <c r="J1233" s="1">
        <v>2</v>
      </c>
      <c r="K1233" s="1">
        <v>2</v>
      </c>
      <c r="L1233" s="1">
        <v>12</v>
      </c>
      <c r="M1233" s="1">
        <v>62</v>
      </c>
      <c r="N1233" s="1">
        <v>72</v>
      </c>
      <c r="O1233" s="1">
        <v>79</v>
      </c>
      <c r="P1233">
        <v>0.12032441200324419</v>
      </c>
      <c r="Q1233">
        <v>0.15669753086419752</v>
      </c>
      <c r="R1233">
        <v>4.3300000000000019E-2</v>
      </c>
    </row>
    <row r="1234" spans="1:18">
      <c r="A1234" s="1">
        <v>45</v>
      </c>
      <c r="B1234" s="1">
        <v>0</v>
      </c>
      <c r="C1234" s="1">
        <v>1</v>
      </c>
      <c r="D1234" s="1">
        <v>0</v>
      </c>
      <c r="E1234" s="1">
        <v>1</v>
      </c>
      <c r="F1234" s="1">
        <v>5</v>
      </c>
      <c r="G1234" s="1">
        <v>6</v>
      </c>
      <c r="H1234" s="1">
        <v>1</v>
      </c>
      <c r="I1234" s="1">
        <v>1</v>
      </c>
      <c r="J1234" s="1">
        <v>2</v>
      </c>
      <c r="K1234" s="1">
        <v>2</v>
      </c>
      <c r="L1234" s="1">
        <v>12</v>
      </c>
      <c r="M1234" s="1">
        <v>62</v>
      </c>
      <c r="N1234" s="1">
        <v>72</v>
      </c>
      <c r="O1234" s="1">
        <v>79</v>
      </c>
      <c r="P1234">
        <v>9.0583941605839463E-2</v>
      </c>
      <c r="Q1234">
        <v>0.15848958333333329</v>
      </c>
      <c r="R1234">
        <v>4.5366666666666632E-2</v>
      </c>
    </row>
    <row r="1235" spans="1:18">
      <c r="A1235" s="1">
        <v>46</v>
      </c>
      <c r="B1235" s="1">
        <v>0</v>
      </c>
      <c r="C1235" s="1">
        <v>1</v>
      </c>
      <c r="D1235" s="1">
        <v>0</v>
      </c>
      <c r="E1235" s="1">
        <v>1</v>
      </c>
      <c r="F1235" s="1">
        <v>6</v>
      </c>
      <c r="G1235" s="1">
        <v>6</v>
      </c>
      <c r="H1235" s="1">
        <v>1</v>
      </c>
      <c r="I1235" s="1">
        <v>1</v>
      </c>
      <c r="J1235" s="1">
        <v>2</v>
      </c>
      <c r="K1235" s="1">
        <v>2</v>
      </c>
      <c r="L1235" s="1">
        <v>12</v>
      </c>
      <c r="M1235" s="1">
        <v>62</v>
      </c>
      <c r="N1235" s="1">
        <v>72</v>
      </c>
      <c r="O1235" s="1">
        <v>79</v>
      </c>
      <c r="P1235">
        <v>0.15317112733171134</v>
      </c>
      <c r="Q1235">
        <v>0.21653935185185197</v>
      </c>
      <c r="R1235">
        <v>4.9695238095238077E-2</v>
      </c>
    </row>
    <row r="1236" spans="1:18">
      <c r="A1236" s="1">
        <v>47</v>
      </c>
      <c r="B1236" s="1">
        <v>1</v>
      </c>
      <c r="C1236" s="1">
        <v>1</v>
      </c>
      <c r="D1236" s="1">
        <v>1</v>
      </c>
      <c r="E1236" s="1">
        <v>1</v>
      </c>
      <c r="F1236" s="1">
        <v>16</v>
      </c>
      <c r="G1236" s="1">
        <v>6</v>
      </c>
      <c r="H1236" s="1">
        <v>3</v>
      </c>
      <c r="I1236" s="1">
        <v>1</v>
      </c>
      <c r="J1236" s="1">
        <v>5</v>
      </c>
      <c r="K1236" s="1">
        <v>6</v>
      </c>
      <c r="L1236" s="1">
        <v>12</v>
      </c>
      <c r="M1236" s="1">
        <v>62</v>
      </c>
      <c r="N1236" s="1">
        <v>72</v>
      </c>
      <c r="O1236" s="1">
        <v>79</v>
      </c>
      <c r="P1236">
        <v>0.23473641524736424</v>
      </c>
      <c r="Q1236">
        <v>0.25792245370370387</v>
      </c>
      <c r="R1236">
        <v>5.1385714285714285E-2</v>
      </c>
    </row>
    <row r="1237" spans="1:18">
      <c r="A1237" s="1">
        <v>48</v>
      </c>
      <c r="B1237" s="1">
        <v>0</v>
      </c>
      <c r="C1237" s="1">
        <v>1</v>
      </c>
      <c r="D1237" s="1">
        <v>1</v>
      </c>
      <c r="E1237" s="1">
        <v>1</v>
      </c>
      <c r="F1237" s="1">
        <v>12</v>
      </c>
      <c r="G1237" s="1">
        <v>6</v>
      </c>
      <c r="H1237" s="1">
        <v>2</v>
      </c>
      <c r="I1237" s="1">
        <v>1</v>
      </c>
      <c r="J1237" s="1">
        <v>4</v>
      </c>
      <c r="K1237" s="1">
        <v>4</v>
      </c>
      <c r="L1237" s="1">
        <v>12</v>
      </c>
      <c r="M1237" s="1">
        <v>62</v>
      </c>
      <c r="N1237" s="1">
        <v>72</v>
      </c>
      <c r="O1237" s="1">
        <v>79</v>
      </c>
      <c r="P1237">
        <v>0.15790754257907541</v>
      </c>
      <c r="Q1237">
        <v>0.18888888888888891</v>
      </c>
      <c r="R1237">
        <v>4.7128571428571429E-2</v>
      </c>
    </row>
    <row r="1238" spans="1:18">
      <c r="A1238" s="1">
        <v>49</v>
      </c>
      <c r="B1238" s="1">
        <v>1</v>
      </c>
      <c r="C1238" s="1">
        <v>0</v>
      </c>
      <c r="D1238" s="1">
        <v>0</v>
      </c>
      <c r="E1238" s="1">
        <v>1</v>
      </c>
      <c r="F1238" s="1">
        <v>2</v>
      </c>
      <c r="G1238" s="1">
        <v>6</v>
      </c>
      <c r="H1238" s="1">
        <v>1</v>
      </c>
      <c r="I1238" s="1">
        <v>1</v>
      </c>
      <c r="J1238" s="1">
        <v>1</v>
      </c>
      <c r="K1238" s="1">
        <v>1</v>
      </c>
      <c r="L1238" s="1">
        <v>12</v>
      </c>
      <c r="M1238" s="1">
        <v>62</v>
      </c>
      <c r="N1238" s="1">
        <v>72</v>
      </c>
      <c r="O1238" s="1">
        <v>79</v>
      </c>
      <c r="P1238">
        <v>0.16648012976480137</v>
      </c>
      <c r="Q1238">
        <v>0.20423032407407413</v>
      </c>
      <c r="R1238">
        <v>5.1923809523809518E-2</v>
      </c>
    </row>
    <row r="1239" spans="1:18">
      <c r="A1239" s="1">
        <v>50</v>
      </c>
      <c r="B1239" s="1">
        <v>1</v>
      </c>
      <c r="C1239" s="1">
        <v>1</v>
      </c>
      <c r="D1239" s="1">
        <v>1</v>
      </c>
      <c r="E1239" s="1">
        <v>1</v>
      </c>
      <c r="F1239" s="1">
        <v>17</v>
      </c>
      <c r="G1239" s="1">
        <v>6</v>
      </c>
      <c r="H1239" s="1">
        <v>3</v>
      </c>
      <c r="I1239" s="1">
        <v>1</v>
      </c>
      <c r="J1239" s="1">
        <v>5</v>
      </c>
      <c r="K1239" s="1">
        <v>6</v>
      </c>
      <c r="L1239" s="1">
        <v>12</v>
      </c>
      <c r="M1239" s="1">
        <v>62</v>
      </c>
      <c r="N1239" s="1">
        <v>72</v>
      </c>
      <c r="O1239" s="1">
        <v>79</v>
      </c>
      <c r="P1239">
        <v>0.19841038118410387</v>
      </c>
      <c r="Q1239">
        <v>0.28519675925925925</v>
      </c>
      <c r="R1239">
        <v>4.3366666666666678E-2</v>
      </c>
    </row>
    <row r="1240" spans="1:18">
      <c r="A1240" s="1">
        <v>51</v>
      </c>
      <c r="B1240" s="1">
        <v>0</v>
      </c>
      <c r="C1240" s="1">
        <v>1</v>
      </c>
      <c r="D1240" s="1">
        <v>1</v>
      </c>
      <c r="E1240" s="1">
        <v>0</v>
      </c>
      <c r="F1240" s="1">
        <v>11</v>
      </c>
      <c r="G1240" s="1">
        <v>6</v>
      </c>
      <c r="H1240" s="1">
        <v>2</v>
      </c>
      <c r="I1240" s="1">
        <v>1</v>
      </c>
      <c r="J1240" s="1">
        <v>4</v>
      </c>
      <c r="K1240" s="1">
        <v>4</v>
      </c>
      <c r="L1240" s="1">
        <v>12</v>
      </c>
      <c r="M1240" s="1">
        <v>62</v>
      </c>
      <c r="N1240" s="1">
        <v>72</v>
      </c>
      <c r="O1240" s="1">
        <v>79</v>
      </c>
      <c r="P1240">
        <v>0.12776155717761561</v>
      </c>
      <c r="Q1240">
        <v>0.16748842592592592</v>
      </c>
      <c r="R1240">
        <v>4.8609523809523783E-2</v>
      </c>
    </row>
    <row r="1241" spans="1:18">
      <c r="A1241" s="1">
        <v>52</v>
      </c>
      <c r="B1241" s="1">
        <v>0</v>
      </c>
      <c r="C1241" s="1">
        <v>1</v>
      </c>
      <c r="D1241" s="1">
        <v>1</v>
      </c>
      <c r="E1241" s="1">
        <v>1</v>
      </c>
      <c r="F1241" s="1">
        <v>11</v>
      </c>
      <c r="G1241" s="1">
        <v>6</v>
      </c>
      <c r="H1241" s="1">
        <v>2</v>
      </c>
      <c r="I1241" s="1">
        <v>1</v>
      </c>
      <c r="J1241" s="1">
        <v>4</v>
      </c>
      <c r="K1241" s="1">
        <v>4</v>
      </c>
      <c r="L1241" s="1">
        <v>12</v>
      </c>
      <c r="M1241" s="1">
        <v>62</v>
      </c>
      <c r="N1241" s="1">
        <v>72</v>
      </c>
      <c r="O1241" s="1">
        <v>79</v>
      </c>
      <c r="P1241">
        <v>0.16373073803730748</v>
      </c>
      <c r="Q1241">
        <v>0.22525462962962967</v>
      </c>
      <c r="R1241">
        <v>4.408095238095238E-2</v>
      </c>
    </row>
    <row r="1242" spans="1:18">
      <c r="A1242" s="1">
        <v>53</v>
      </c>
      <c r="B1242" s="1">
        <v>1</v>
      </c>
      <c r="C1242" s="1">
        <v>1</v>
      </c>
      <c r="D1242" s="1">
        <v>1</v>
      </c>
      <c r="E1242" s="1">
        <v>1</v>
      </c>
      <c r="F1242" s="1">
        <v>15</v>
      </c>
      <c r="G1242" s="1">
        <v>6</v>
      </c>
      <c r="H1242" s="1">
        <v>3</v>
      </c>
      <c r="I1242" s="1">
        <v>1</v>
      </c>
      <c r="J1242" s="1">
        <v>5</v>
      </c>
      <c r="K1242" s="1">
        <v>5</v>
      </c>
      <c r="L1242" s="1">
        <v>12</v>
      </c>
      <c r="M1242" s="1">
        <v>62</v>
      </c>
      <c r="N1242" s="1">
        <v>72</v>
      </c>
      <c r="O1242" s="1">
        <v>79</v>
      </c>
      <c r="P1242">
        <v>0.20296025952960264</v>
      </c>
      <c r="Q1242">
        <v>0.24372106481481481</v>
      </c>
      <c r="R1242">
        <v>3.6666666666666688E-2</v>
      </c>
    </row>
    <row r="1243" spans="1:18">
      <c r="A1243" s="1">
        <v>54</v>
      </c>
      <c r="B1243" s="1">
        <v>1</v>
      </c>
      <c r="C1243" s="1">
        <v>1</v>
      </c>
      <c r="D1243" s="1">
        <v>1</v>
      </c>
      <c r="E1243" s="1">
        <v>1</v>
      </c>
      <c r="F1243" s="1">
        <v>19</v>
      </c>
      <c r="G1243" s="1">
        <v>6</v>
      </c>
      <c r="H1243" s="1">
        <v>3</v>
      </c>
      <c r="I1243" s="1">
        <v>1</v>
      </c>
      <c r="J1243" s="1">
        <v>5</v>
      </c>
      <c r="K1243" s="1">
        <v>6</v>
      </c>
      <c r="L1243" s="1">
        <v>12</v>
      </c>
      <c r="M1243" s="1">
        <v>62</v>
      </c>
      <c r="N1243" s="1">
        <v>72</v>
      </c>
      <c r="O1243" s="1">
        <v>79</v>
      </c>
      <c r="P1243">
        <v>0.18963503649635044</v>
      </c>
      <c r="Q1243">
        <v>0.2538541666666666</v>
      </c>
      <c r="R1243">
        <v>4.973333333333331E-2</v>
      </c>
    </row>
    <row r="1244" spans="1:18">
      <c r="A1244" s="1">
        <v>55</v>
      </c>
      <c r="B1244" s="1">
        <v>0</v>
      </c>
      <c r="C1244" s="1">
        <v>1</v>
      </c>
      <c r="D1244" s="1">
        <v>1</v>
      </c>
      <c r="E1244" s="1">
        <v>0</v>
      </c>
      <c r="F1244" s="1">
        <v>11</v>
      </c>
      <c r="G1244" s="1">
        <v>6</v>
      </c>
      <c r="H1244" s="1">
        <v>2</v>
      </c>
      <c r="I1244" s="1">
        <v>2</v>
      </c>
      <c r="J1244" s="1">
        <v>4</v>
      </c>
      <c r="K1244" s="1">
        <v>4</v>
      </c>
      <c r="L1244" s="1">
        <v>12</v>
      </c>
      <c r="M1244" s="1">
        <v>62</v>
      </c>
      <c r="N1244" s="1">
        <v>72</v>
      </c>
      <c r="O1244" s="1">
        <v>79</v>
      </c>
      <c r="P1244">
        <v>0.16923763179237636</v>
      </c>
      <c r="Q1244">
        <v>0.21264274691358037</v>
      </c>
      <c r="R1244">
        <v>4.1833333333333327E-2</v>
      </c>
    </row>
    <row r="1245" spans="1:18">
      <c r="A1245" s="1">
        <v>56</v>
      </c>
      <c r="B1245" s="1">
        <v>0</v>
      </c>
      <c r="C1245" s="1">
        <v>1</v>
      </c>
      <c r="D1245" s="1">
        <v>1</v>
      </c>
      <c r="E1245" s="1">
        <v>0</v>
      </c>
      <c r="F1245" s="1">
        <v>10</v>
      </c>
      <c r="G1245" s="1">
        <v>6</v>
      </c>
      <c r="H1245" s="1">
        <v>2</v>
      </c>
      <c r="I1245" s="1">
        <v>2</v>
      </c>
      <c r="J1245" s="1">
        <v>4</v>
      </c>
      <c r="K1245" s="1">
        <v>4</v>
      </c>
      <c r="L1245" s="1">
        <v>12</v>
      </c>
      <c r="M1245" s="1">
        <v>62</v>
      </c>
      <c r="N1245" s="1">
        <v>72</v>
      </c>
      <c r="O1245" s="1">
        <v>79</v>
      </c>
      <c r="P1245">
        <v>0.13453365774533657</v>
      </c>
      <c r="Q1245">
        <v>0.19528549382716051</v>
      </c>
      <c r="R1245">
        <v>4.0499999999999994E-2</v>
      </c>
    </row>
    <row r="1246" spans="1:18">
      <c r="A1246" s="1">
        <v>57</v>
      </c>
      <c r="B1246" s="1">
        <v>1</v>
      </c>
      <c r="C1246" s="1">
        <v>1</v>
      </c>
      <c r="D1246" s="1">
        <v>1</v>
      </c>
      <c r="E1246" s="1">
        <v>0</v>
      </c>
      <c r="F1246" s="1">
        <v>20</v>
      </c>
      <c r="G1246" s="1">
        <v>18</v>
      </c>
      <c r="H1246" s="1">
        <v>3</v>
      </c>
      <c r="I1246" s="1">
        <v>2</v>
      </c>
      <c r="J1246" s="1">
        <v>6</v>
      </c>
      <c r="K1246" s="1">
        <v>7</v>
      </c>
      <c r="L1246" s="1">
        <v>12</v>
      </c>
      <c r="M1246" s="1">
        <v>62</v>
      </c>
      <c r="N1246" s="1">
        <v>72</v>
      </c>
      <c r="O1246" s="1">
        <v>79</v>
      </c>
      <c r="P1246">
        <v>0.22975669099756688</v>
      </c>
      <c r="Q1246">
        <v>0.34771990740740744</v>
      </c>
      <c r="R1246">
        <v>4.1904761904761903E-2</v>
      </c>
    </row>
    <row r="1247" spans="1:18">
      <c r="A1247" s="1">
        <v>58</v>
      </c>
      <c r="B1247" s="1">
        <v>1</v>
      </c>
      <c r="C1247" s="1">
        <v>1</v>
      </c>
      <c r="D1247" s="1">
        <v>1</v>
      </c>
      <c r="E1247" s="1">
        <v>0</v>
      </c>
      <c r="F1247" s="1">
        <v>25</v>
      </c>
      <c r="G1247" s="1">
        <v>18</v>
      </c>
      <c r="H1247" s="1">
        <v>3</v>
      </c>
      <c r="I1247" s="1">
        <v>2</v>
      </c>
      <c r="J1247" s="1">
        <v>6</v>
      </c>
      <c r="K1247" s="1">
        <v>7</v>
      </c>
      <c r="L1247" s="1">
        <v>12</v>
      </c>
      <c r="M1247" s="1">
        <v>62</v>
      </c>
      <c r="N1247" s="1">
        <v>72</v>
      </c>
      <c r="O1247" s="1">
        <v>79</v>
      </c>
      <c r="P1247">
        <v>0.23154906731549058</v>
      </c>
      <c r="Q1247">
        <v>0.27827932098765423</v>
      </c>
      <c r="R1247">
        <v>4.8490476190476167E-2</v>
      </c>
    </row>
    <row r="1248" spans="1:18">
      <c r="A1248" s="1">
        <v>59</v>
      </c>
      <c r="B1248" s="1">
        <v>1</v>
      </c>
      <c r="C1248" s="1">
        <v>1</v>
      </c>
      <c r="D1248" s="1">
        <v>1</v>
      </c>
      <c r="E1248" s="1">
        <v>0</v>
      </c>
      <c r="F1248" s="1">
        <v>17</v>
      </c>
      <c r="G1248" s="1">
        <v>6</v>
      </c>
      <c r="H1248" s="1">
        <v>3</v>
      </c>
      <c r="I1248" s="1">
        <v>2</v>
      </c>
      <c r="J1248" s="1">
        <v>5</v>
      </c>
      <c r="K1248" s="1">
        <v>6</v>
      </c>
      <c r="L1248" s="1">
        <v>12</v>
      </c>
      <c r="M1248" s="1">
        <v>62</v>
      </c>
      <c r="N1248" s="1">
        <v>72</v>
      </c>
      <c r="O1248" s="1">
        <v>79</v>
      </c>
      <c r="P1248">
        <v>0.21728304947283061</v>
      </c>
      <c r="Q1248">
        <v>0.30883873456790123</v>
      </c>
      <c r="R1248">
        <v>4.8419047619047619E-2</v>
      </c>
    </row>
    <row r="1249" spans="1:18">
      <c r="A1249" s="1">
        <v>60</v>
      </c>
      <c r="B1249" s="1">
        <v>1</v>
      </c>
      <c r="C1249" s="1">
        <v>1</v>
      </c>
      <c r="D1249" s="1">
        <v>1</v>
      </c>
      <c r="E1249" s="1">
        <v>0</v>
      </c>
      <c r="F1249" s="1">
        <v>23</v>
      </c>
      <c r="G1249" s="1">
        <v>18</v>
      </c>
      <c r="H1249" s="1">
        <v>3</v>
      </c>
      <c r="I1249" s="1">
        <v>2</v>
      </c>
      <c r="J1249" s="1">
        <v>6</v>
      </c>
      <c r="K1249" s="1">
        <v>7</v>
      </c>
      <c r="L1249" s="1">
        <v>12</v>
      </c>
      <c r="M1249" s="1">
        <v>62</v>
      </c>
      <c r="N1249" s="1">
        <v>72</v>
      </c>
      <c r="O1249" s="1">
        <v>79</v>
      </c>
      <c r="P1249">
        <v>0.27819951338199522</v>
      </c>
      <c r="Q1249">
        <v>0.35502314814814817</v>
      </c>
      <c r="R1249">
        <v>5.1995238095238108E-2</v>
      </c>
    </row>
    <row r="1250" spans="1:18">
      <c r="A1250" s="1">
        <v>61</v>
      </c>
      <c r="B1250" s="1">
        <v>0</v>
      </c>
      <c r="C1250" s="1">
        <v>1</v>
      </c>
      <c r="D1250" s="1">
        <v>0</v>
      </c>
      <c r="E1250" s="1">
        <v>0</v>
      </c>
      <c r="F1250" s="1">
        <v>6</v>
      </c>
      <c r="G1250" s="1">
        <v>6</v>
      </c>
      <c r="H1250" s="1">
        <v>1</v>
      </c>
      <c r="I1250" s="1">
        <v>2</v>
      </c>
      <c r="J1250" s="1">
        <v>2</v>
      </c>
      <c r="K1250" s="1">
        <v>2</v>
      </c>
      <c r="L1250" s="1">
        <v>12</v>
      </c>
      <c r="M1250" s="1">
        <v>62</v>
      </c>
      <c r="N1250" s="1">
        <v>72</v>
      </c>
      <c r="O1250" s="1">
        <v>79</v>
      </c>
      <c r="P1250">
        <v>0.11356853203568547</v>
      </c>
      <c r="Q1250">
        <v>0.17620756172839519</v>
      </c>
      <c r="R1250">
        <v>5.3795238095238104E-2</v>
      </c>
    </row>
    <row r="1251" spans="1:18">
      <c r="A1251" s="1">
        <v>62</v>
      </c>
      <c r="B1251" s="1">
        <v>0</v>
      </c>
      <c r="C1251" s="1">
        <v>1</v>
      </c>
      <c r="D1251" s="1">
        <v>0</v>
      </c>
      <c r="E1251" s="1">
        <v>0</v>
      </c>
      <c r="F1251" s="1">
        <v>5</v>
      </c>
      <c r="G1251" s="1">
        <v>6</v>
      </c>
      <c r="H1251" s="1">
        <v>1</v>
      </c>
      <c r="I1251" s="1">
        <v>2</v>
      </c>
      <c r="J1251" s="1">
        <v>2</v>
      </c>
      <c r="K1251" s="1">
        <v>2</v>
      </c>
      <c r="L1251" s="1">
        <v>12</v>
      </c>
      <c r="M1251" s="1">
        <v>62</v>
      </c>
      <c r="N1251" s="1">
        <v>72</v>
      </c>
      <c r="O1251" s="1">
        <v>79</v>
      </c>
      <c r="P1251">
        <v>9.2003244120032482E-2</v>
      </c>
      <c r="Q1251">
        <v>9.8433641975308656E-2</v>
      </c>
      <c r="R1251">
        <v>3.8514285714285723E-2</v>
      </c>
    </row>
    <row r="1252" spans="1:18">
      <c r="A1252" s="1">
        <v>63</v>
      </c>
      <c r="B1252" s="1">
        <v>0</v>
      </c>
      <c r="C1252" s="1">
        <v>1</v>
      </c>
      <c r="D1252" s="1">
        <v>0</v>
      </c>
      <c r="E1252" s="1">
        <v>1</v>
      </c>
      <c r="F1252" s="1">
        <v>5</v>
      </c>
      <c r="G1252" s="1">
        <v>6</v>
      </c>
      <c r="H1252" s="1">
        <v>1</v>
      </c>
      <c r="I1252" s="1">
        <v>2</v>
      </c>
      <c r="J1252" s="1">
        <v>2</v>
      </c>
      <c r="K1252" s="1">
        <v>2</v>
      </c>
      <c r="L1252" s="1">
        <v>12</v>
      </c>
      <c r="M1252" s="1">
        <v>62</v>
      </c>
      <c r="N1252" s="1">
        <v>72</v>
      </c>
      <c r="O1252" s="1">
        <v>79</v>
      </c>
      <c r="P1252">
        <v>0.11642335766423356</v>
      </c>
      <c r="Q1252">
        <v>0.14192708333333331</v>
      </c>
      <c r="R1252">
        <v>3.5785714285714289E-2</v>
      </c>
    </row>
    <row r="1253" spans="1:18">
      <c r="A1253" s="1">
        <v>64</v>
      </c>
      <c r="B1253" s="1">
        <v>1</v>
      </c>
      <c r="C1253" s="1">
        <v>1</v>
      </c>
      <c r="D1253" s="1">
        <v>0</v>
      </c>
      <c r="E1253" s="1">
        <v>0</v>
      </c>
      <c r="F1253" s="1">
        <v>9</v>
      </c>
      <c r="G1253" s="1">
        <v>6</v>
      </c>
      <c r="H1253" s="1">
        <v>2</v>
      </c>
      <c r="I1253" s="1">
        <v>2</v>
      </c>
      <c r="J1253" s="1">
        <v>3</v>
      </c>
      <c r="K1253" s="1">
        <v>3</v>
      </c>
      <c r="L1253" s="1">
        <v>12</v>
      </c>
      <c r="M1253" s="1">
        <v>62</v>
      </c>
      <c r="N1253" s="1">
        <v>72</v>
      </c>
      <c r="O1253" s="1">
        <v>79</v>
      </c>
      <c r="P1253">
        <v>0.18025952960259528</v>
      </c>
      <c r="Q1253">
        <v>0.23559413580246907</v>
      </c>
      <c r="R1253">
        <v>4.1319047619047623E-2</v>
      </c>
    </row>
    <row r="1254" spans="1:18">
      <c r="A1254" s="1">
        <v>65</v>
      </c>
      <c r="B1254" s="1">
        <v>1</v>
      </c>
      <c r="C1254" s="1">
        <v>1</v>
      </c>
      <c r="D1254" s="1">
        <v>1</v>
      </c>
      <c r="E1254" s="1">
        <v>0</v>
      </c>
      <c r="F1254" s="1">
        <v>15</v>
      </c>
      <c r="G1254" s="1">
        <v>6</v>
      </c>
      <c r="H1254" s="1">
        <v>3</v>
      </c>
      <c r="I1254" s="1">
        <v>2</v>
      </c>
      <c r="J1254" s="1">
        <v>5</v>
      </c>
      <c r="K1254" s="1">
        <v>5</v>
      </c>
      <c r="L1254" s="1">
        <v>12</v>
      </c>
      <c r="M1254" s="1">
        <v>62</v>
      </c>
      <c r="N1254" s="1">
        <v>72</v>
      </c>
      <c r="O1254" s="1">
        <v>79</v>
      </c>
      <c r="P1254">
        <v>0.19519059205190589</v>
      </c>
      <c r="Q1254">
        <v>0.29427854938271614</v>
      </c>
      <c r="R1254">
        <v>4.3761904761904787E-2</v>
      </c>
    </row>
    <row r="1255" spans="1:18">
      <c r="A1255" s="1">
        <v>66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2</v>
      </c>
      <c r="J1255" s="1">
        <v>0</v>
      </c>
      <c r="K1255" s="1">
        <v>0</v>
      </c>
      <c r="L1255" s="1">
        <v>12</v>
      </c>
      <c r="M1255" s="1">
        <v>62</v>
      </c>
      <c r="N1255" s="1">
        <v>72</v>
      </c>
      <c r="O1255" s="1">
        <v>79</v>
      </c>
      <c r="P1255">
        <v>0.22253041362530415</v>
      </c>
      <c r="Q1255">
        <v>0.30400462962962976</v>
      </c>
      <c r="R1255">
        <v>4.0385714285714268E-2</v>
      </c>
    </row>
    <row r="1256" spans="1:18">
      <c r="A1256" s="1">
        <v>67</v>
      </c>
      <c r="B1256" s="1">
        <v>1</v>
      </c>
      <c r="C1256" s="1">
        <v>1</v>
      </c>
      <c r="D1256" s="1">
        <v>1</v>
      </c>
      <c r="E1256" s="1">
        <v>0</v>
      </c>
      <c r="F1256" s="1">
        <v>18</v>
      </c>
      <c r="G1256" s="1">
        <v>6</v>
      </c>
      <c r="H1256" s="1">
        <v>3</v>
      </c>
      <c r="I1256" s="1">
        <v>2</v>
      </c>
      <c r="J1256" s="1">
        <v>5</v>
      </c>
      <c r="K1256" s="1">
        <v>6</v>
      </c>
      <c r="L1256" s="1">
        <v>12</v>
      </c>
      <c r="M1256" s="1">
        <v>62</v>
      </c>
      <c r="N1256" s="1">
        <v>72</v>
      </c>
      <c r="O1256" s="1">
        <v>79</v>
      </c>
      <c r="P1256">
        <v>0.25497972424979726</v>
      </c>
      <c r="Q1256">
        <v>0.31685570987654327</v>
      </c>
      <c r="R1256">
        <v>5.5214285714285716E-2</v>
      </c>
    </row>
    <row r="1257" spans="1:18">
      <c r="A1257" s="1">
        <v>68</v>
      </c>
      <c r="B1257" s="1">
        <v>1</v>
      </c>
      <c r="C1257" s="1">
        <v>1</v>
      </c>
      <c r="D1257" s="1">
        <v>0</v>
      </c>
      <c r="E1257" s="1">
        <v>0</v>
      </c>
      <c r="F1257" s="1">
        <v>8</v>
      </c>
      <c r="G1257" s="1">
        <v>6</v>
      </c>
      <c r="H1257" s="1">
        <v>2</v>
      </c>
      <c r="I1257" s="1">
        <v>2</v>
      </c>
      <c r="J1257" s="1">
        <v>3</v>
      </c>
      <c r="K1257" s="1">
        <v>3</v>
      </c>
      <c r="L1257" s="1">
        <v>12</v>
      </c>
      <c r="M1257" s="1">
        <v>62</v>
      </c>
      <c r="N1257" s="1">
        <v>72</v>
      </c>
      <c r="O1257" s="1">
        <v>79</v>
      </c>
      <c r="P1257">
        <v>0.18596918085969191</v>
      </c>
      <c r="Q1257">
        <v>0.24324845679012341</v>
      </c>
      <c r="R1257">
        <v>6.144761904761905E-2</v>
      </c>
    </row>
    <row r="1258" spans="1:18">
      <c r="A1258" s="1">
        <v>69</v>
      </c>
      <c r="B1258" s="1">
        <v>0</v>
      </c>
      <c r="C1258" s="1">
        <v>1</v>
      </c>
      <c r="D1258" s="1">
        <v>0</v>
      </c>
      <c r="E1258" s="1">
        <v>0</v>
      </c>
      <c r="F1258" s="1">
        <v>4</v>
      </c>
      <c r="G1258" s="1">
        <v>6</v>
      </c>
      <c r="H1258" s="1">
        <v>1</v>
      </c>
      <c r="I1258" s="1">
        <v>2</v>
      </c>
      <c r="J1258" s="1">
        <v>2</v>
      </c>
      <c r="K1258" s="1">
        <v>2</v>
      </c>
      <c r="L1258" s="1">
        <v>12</v>
      </c>
      <c r="M1258" s="1">
        <v>62</v>
      </c>
      <c r="N1258" s="1">
        <v>72</v>
      </c>
      <c r="O1258" s="1">
        <v>79</v>
      </c>
      <c r="P1258">
        <v>0.16148418491484184</v>
      </c>
      <c r="Q1258">
        <v>0.21026620370370366</v>
      </c>
      <c r="R1258">
        <v>4.1414285714285709E-2</v>
      </c>
    </row>
    <row r="1259" spans="1:18">
      <c r="A1259" s="1">
        <v>70</v>
      </c>
      <c r="B1259" s="1">
        <v>1</v>
      </c>
      <c r="C1259" s="1">
        <v>1</v>
      </c>
      <c r="D1259" s="1">
        <v>1</v>
      </c>
      <c r="E1259" s="1">
        <v>0</v>
      </c>
      <c r="F1259" s="1">
        <v>21</v>
      </c>
      <c r="G1259" s="1">
        <v>18</v>
      </c>
      <c r="H1259" s="1">
        <v>3</v>
      </c>
      <c r="I1259" s="1">
        <v>2</v>
      </c>
      <c r="J1259" s="1">
        <v>6</v>
      </c>
      <c r="K1259" s="1">
        <v>7</v>
      </c>
      <c r="L1259" s="1">
        <v>12</v>
      </c>
      <c r="M1259" s="1">
        <v>62</v>
      </c>
      <c r="N1259" s="1">
        <v>72</v>
      </c>
      <c r="O1259" s="1">
        <v>79</v>
      </c>
      <c r="P1259">
        <v>0.24356853203568532</v>
      </c>
      <c r="Q1259">
        <v>0.33353395061728403</v>
      </c>
      <c r="R1259">
        <v>5.5228571428571439E-2</v>
      </c>
    </row>
    <row r="1260" spans="1:18">
      <c r="A1260" s="1">
        <v>71</v>
      </c>
      <c r="B1260" s="1">
        <v>1</v>
      </c>
      <c r="C1260" s="1">
        <v>0</v>
      </c>
      <c r="D1260" s="1">
        <v>0</v>
      </c>
      <c r="E1260" s="1">
        <v>0</v>
      </c>
      <c r="F1260" s="1">
        <v>2</v>
      </c>
      <c r="G1260" s="1">
        <v>6</v>
      </c>
      <c r="H1260" s="1">
        <v>1</v>
      </c>
      <c r="I1260" s="1">
        <v>2</v>
      </c>
      <c r="J1260" s="1">
        <v>1</v>
      </c>
      <c r="K1260" s="1">
        <v>1</v>
      </c>
      <c r="L1260" s="1">
        <v>12</v>
      </c>
      <c r="M1260" s="1">
        <v>62</v>
      </c>
      <c r="N1260" s="1">
        <v>72</v>
      </c>
      <c r="O1260" s="1">
        <v>79</v>
      </c>
      <c r="P1260">
        <v>0.21178426601784267</v>
      </c>
      <c r="Q1260">
        <v>0.27346836419753079</v>
      </c>
      <c r="R1260">
        <v>5.0233333333333352E-2</v>
      </c>
    </row>
    <row r="1261" spans="1:18">
      <c r="A1261" s="1">
        <v>72</v>
      </c>
      <c r="B1261" s="1">
        <v>1</v>
      </c>
      <c r="C1261" s="1">
        <v>1</v>
      </c>
      <c r="D1261" s="1">
        <v>1</v>
      </c>
      <c r="E1261" s="1">
        <v>0</v>
      </c>
      <c r="F1261" s="1">
        <v>24</v>
      </c>
      <c r="G1261" s="1">
        <v>18</v>
      </c>
      <c r="H1261" s="1">
        <v>3</v>
      </c>
      <c r="I1261" s="1">
        <v>2</v>
      </c>
      <c r="J1261" s="1">
        <v>6</v>
      </c>
      <c r="K1261" s="1">
        <v>7</v>
      </c>
      <c r="L1261" s="1">
        <v>12</v>
      </c>
      <c r="M1261" s="1">
        <v>62</v>
      </c>
      <c r="N1261" s="1">
        <v>72</v>
      </c>
      <c r="O1261" s="1">
        <v>79</v>
      </c>
      <c r="P1261">
        <v>0.26613138686131382</v>
      </c>
      <c r="Q1261">
        <v>0.42381944444444453</v>
      </c>
      <c r="R1261">
        <v>4.6771428571428561E-2</v>
      </c>
    </row>
    <row r="1262" spans="1:18">
      <c r="A1262" s="1">
        <v>73</v>
      </c>
      <c r="B1262" s="1">
        <v>1</v>
      </c>
      <c r="C1262" s="1">
        <v>1</v>
      </c>
      <c r="D1262" s="1">
        <v>1</v>
      </c>
      <c r="E1262" s="1">
        <v>0</v>
      </c>
      <c r="F1262" s="1">
        <v>14</v>
      </c>
      <c r="G1262" s="1">
        <v>6</v>
      </c>
      <c r="H1262" s="1">
        <v>3</v>
      </c>
      <c r="I1262" s="1">
        <v>2</v>
      </c>
      <c r="J1262" s="1">
        <v>5</v>
      </c>
      <c r="K1262" s="1">
        <v>5</v>
      </c>
      <c r="L1262" s="1">
        <v>12</v>
      </c>
      <c r="M1262" s="1">
        <v>62</v>
      </c>
      <c r="N1262" s="1">
        <v>72</v>
      </c>
      <c r="O1262" s="1">
        <v>79</v>
      </c>
      <c r="P1262">
        <v>0.17814274128142746</v>
      </c>
      <c r="Q1262">
        <v>0.289795524691358</v>
      </c>
      <c r="R1262">
        <v>4.540000000000001E-2</v>
      </c>
    </row>
    <row r="1263" spans="1:18">
      <c r="A1263" s="1">
        <v>74</v>
      </c>
      <c r="B1263" s="1">
        <v>1</v>
      </c>
      <c r="C1263" s="1">
        <v>1</v>
      </c>
      <c r="D1263" s="1">
        <v>1</v>
      </c>
      <c r="E1263" s="1">
        <v>0</v>
      </c>
      <c r="F1263" s="1">
        <v>13</v>
      </c>
      <c r="G1263" s="1">
        <v>6</v>
      </c>
      <c r="H1263" s="1">
        <v>3</v>
      </c>
      <c r="I1263" s="1">
        <v>2</v>
      </c>
      <c r="J1263" s="1">
        <v>5</v>
      </c>
      <c r="K1263" s="1">
        <v>5</v>
      </c>
      <c r="L1263" s="1">
        <v>12</v>
      </c>
      <c r="M1263" s="1">
        <v>62</v>
      </c>
      <c r="N1263" s="1">
        <v>72</v>
      </c>
      <c r="O1263" s="1">
        <v>79</v>
      </c>
      <c r="P1263">
        <v>0.23467964314679635</v>
      </c>
      <c r="Q1263">
        <v>0.33285493827160489</v>
      </c>
      <c r="R1263">
        <v>5.4452380952380953E-2</v>
      </c>
    </row>
    <row r="1264" spans="1:18">
      <c r="A1264" s="1">
        <v>75</v>
      </c>
      <c r="B1264" s="1">
        <v>0</v>
      </c>
      <c r="C1264" s="1">
        <v>1</v>
      </c>
      <c r="D1264" s="1">
        <v>0</v>
      </c>
      <c r="E1264" s="1">
        <v>1</v>
      </c>
      <c r="F1264" s="1">
        <v>6</v>
      </c>
      <c r="G1264" s="1">
        <v>6</v>
      </c>
      <c r="H1264" s="1">
        <v>1</v>
      </c>
      <c r="I1264" s="1">
        <v>2</v>
      </c>
      <c r="J1264" s="1">
        <v>2</v>
      </c>
      <c r="K1264" s="1">
        <v>2</v>
      </c>
      <c r="L1264" s="1">
        <v>12</v>
      </c>
      <c r="M1264" s="1">
        <v>62</v>
      </c>
      <c r="N1264" s="1">
        <v>72</v>
      </c>
      <c r="O1264" s="1">
        <v>79</v>
      </c>
      <c r="P1264">
        <v>0.12513381995133821</v>
      </c>
      <c r="Q1264">
        <v>0.15519097222222222</v>
      </c>
      <c r="R1264">
        <v>5.1661904761904749E-2</v>
      </c>
    </row>
    <row r="1265" spans="1:18">
      <c r="A1265" s="1">
        <v>76</v>
      </c>
      <c r="B1265" s="1">
        <v>1</v>
      </c>
      <c r="C1265" s="1">
        <v>0</v>
      </c>
      <c r="D1265" s="1">
        <v>0</v>
      </c>
      <c r="E1265" s="1">
        <v>0</v>
      </c>
      <c r="F1265" s="1">
        <v>1</v>
      </c>
      <c r="G1265" s="1">
        <v>6</v>
      </c>
      <c r="H1265" s="1">
        <v>1</v>
      </c>
      <c r="I1265" s="1">
        <v>2</v>
      </c>
      <c r="J1265" s="1">
        <v>1</v>
      </c>
      <c r="K1265" s="1">
        <v>1</v>
      </c>
      <c r="L1265" s="1">
        <v>12</v>
      </c>
      <c r="M1265" s="1">
        <v>62</v>
      </c>
      <c r="N1265" s="1">
        <v>72</v>
      </c>
      <c r="O1265" s="1">
        <v>79</v>
      </c>
      <c r="P1265">
        <v>0.25067315490673148</v>
      </c>
      <c r="Q1265">
        <v>0.26480709876543218</v>
      </c>
      <c r="R1265">
        <v>5.350000000000002E-2</v>
      </c>
    </row>
    <row r="1266" spans="1:18">
      <c r="A1266" s="1">
        <v>77</v>
      </c>
      <c r="B1266" s="1">
        <v>0</v>
      </c>
      <c r="C1266" s="1">
        <v>0</v>
      </c>
      <c r="D1266" s="1">
        <v>0</v>
      </c>
      <c r="E1266" s="1">
        <v>1</v>
      </c>
      <c r="F1266" s="1">
        <v>0</v>
      </c>
      <c r="G1266" s="1">
        <v>0</v>
      </c>
      <c r="H1266" s="1">
        <v>0</v>
      </c>
      <c r="I1266" s="1">
        <v>2</v>
      </c>
      <c r="J1266" s="1">
        <v>0</v>
      </c>
      <c r="K1266" s="1">
        <v>0</v>
      </c>
      <c r="L1266" s="1">
        <v>12</v>
      </c>
      <c r="M1266" s="1">
        <v>62</v>
      </c>
      <c r="N1266" s="1">
        <v>72</v>
      </c>
      <c r="O1266" s="1">
        <v>79</v>
      </c>
      <c r="P1266">
        <v>5.4687753446877554E-2</v>
      </c>
      <c r="Q1266">
        <v>5.9832175925925948E-2</v>
      </c>
      <c r="R1266">
        <v>3.6033333333333306E-2</v>
      </c>
    </row>
    <row r="1267" spans="1:18">
      <c r="A1267" s="1">
        <v>78</v>
      </c>
      <c r="B1267" s="1">
        <v>1</v>
      </c>
      <c r="C1267" s="1">
        <v>0</v>
      </c>
      <c r="D1267" s="1">
        <v>0</v>
      </c>
      <c r="E1267" s="1">
        <v>1</v>
      </c>
      <c r="F1267" s="1">
        <v>1</v>
      </c>
      <c r="G1267" s="1">
        <v>6</v>
      </c>
      <c r="H1267" s="1">
        <v>1</v>
      </c>
      <c r="I1267" s="1">
        <v>2</v>
      </c>
      <c r="J1267" s="1">
        <v>1</v>
      </c>
      <c r="K1267" s="1">
        <v>1</v>
      </c>
      <c r="L1267" s="1">
        <v>12</v>
      </c>
      <c r="M1267" s="1">
        <v>62</v>
      </c>
      <c r="N1267" s="1">
        <v>72</v>
      </c>
      <c r="O1267" s="1">
        <v>79</v>
      </c>
      <c r="P1267">
        <v>0.29245742092457422</v>
      </c>
      <c r="Q1267">
        <v>0.32517361111111115</v>
      </c>
      <c r="R1267">
        <v>4.7028571428571406E-2</v>
      </c>
    </row>
    <row r="1268" spans="1:18">
      <c r="A1268" s="1">
        <v>79</v>
      </c>
      <c r="B1268" s="1">
        <v>1</v>
      </c>
      <c r="C1268" s="1">
        <v>1</v>
      </c>
      <c r="D1268" s="1">
        <v>1</v>
      </c>
      <c r="E1268" s="1">
        <v>0</v>
      </c>
      <c r="F1268" s="1">
        <v>16</v>
      </c>
      <c r="G1268" s="1">
        <v>6</v>
      </c>
      <c r="H1268" s="1">
        <v>3</v>
      </c>
      <c r="I1268" s="1">
        <v>2</v>
      </c>
      <c r="J1268" s="1">
        <v>5</v>
      </c>
      <c r="K1268" s="1">
        <v>6</v>
      </c>
      <c r="L1268" s="1">
        <v>12</v>
      </c>
      <c r="M1268" s="1">
        <v>62</v>
      </c>
      <c r="N1268" s="1">
        <v>72</v>
      </c>
      <c r="O1268" s="1">
        <v>79</v>
      </c>
      <c r="P1268">
        <v>0.25896999188969999</v>
      </c>
      <c r="Q1268">
        <v>0.31169367283950628</v>
      </c>
      <c r="R1268">
        <v>4.813333333333334E-2</v>
      </c>
    </row>
    <row r="1269" spans="1:18">
      <c r="A1269" s="1">
        <v>80</v>
      </c>
      <c r="B1269" s="1">
        <v>1</v>
      </c>
      <c r="C1269" s="1">
        <v>1</v>
      </c>
      <c r="D1269" s="1">
        <v>1</v>
      </c>
      <c r="E1269" s="1">
        <v>1</v>
      </c>
      <c r="F1269" s="1">
        <v>23</v>
      </c>
      <c r="G1269" s="1">
        <v>18</v>
      </c>
      <c r="H1269" s="1">
        <v>3</v>
      </c>
      <c r="I1269" s="1">
        <v>2</v>
      </c>
      <c r="J1269" s="1">
        <v>6</v>
      </c>
      <c r="K1269" s="1">
        <v>7</v>
      </c>
      <c r="L1269" s="1">
        <v>12</v>
      </c>
      <c r="M1269" s="1">
        <v>62</v>
      </c>
      <c r="N1269" s="1">
        <v>72</v>
      </c>
      <c r="O1269" s="1">
        <v>79</v>
      </c>
      <c r="P1269">
        <v>0.30668288726682891</v>
      </c>
      <c r="Q1269">
        <v>0.38293981481481498</v>
      </c>
      <c r="R1269">
        <v>5.1199999999999989E-2</v>
      </c>
    </row>
    <row r="1270" spans="1:18">
      <c r="A1270" s="1">
        <v>81</v>
      </c>
      <c r="B1270" s="1">
        <v>1</v>
      </c>
      <c r="C1270" s="1">
        <v>1</v>
      </c>
      <c r="D1270" s="1">
        <v>0</v>
      </c>
      <c r="E1270" s="1">
        <v>0</v>
      </c>
      <c r="F1270" s="1">
        <v>7</v>
      </c>
      <c r="G1270" s="1">
        <v>6</v>
      </c>
      <c r="H1270" s="1">
        <v>2</v>
      </c>
      <c r="I1270" s="1">
        <v>2</v>
      </c>
      <c r="J1270" s="1">
        <v>3</v>
      </c>
      <c r="K1270" s="1">
        <v>3</v>
      </c>
      <c r="L1270" s="1">
        <v>12</v>
      </c>
      <c r="M1270" s="1">
        <v>62</v>
      </c>
      <c r="N1270" s="1">
        <v>72</v>
      </c>
      <c r="O1270" s="1">
        <v>79</v>
      </c>
      <c r="P1270">
        <v>0.29394160583941614</v>
      </c>
      <c r="Q1270">
        <v>0.4321875</v>
      </c>
      <c r="R1270">
        <v>4.8457142857142851E-2</v>
      </c>
    </row>
    <row r="1271" spans="1:18">
      <c r="A1271" s="1">
        <v>82</v>
      </c>
      <c r="B1271" s="1">
        <v>1</v>
      </c>
      <c r="C1271" s="1">
        <v>1</v>
      </c>
      <c r="D1271" s="1">
        <v>1</v>
      </c>
      <c r="E1271" s="1">
        <v>1</v>
      </c>
      <c r="F1271" s="1">
        <v>21</v>
      </c>
      <c r="G1271" s="1">
        <v>18</v>
      </c>
      <c r="H1271" s="1">
        <v>3</v>
      </c>
      <c r="I1271" s="1">
        <v>2</v>
      </c>
      <c r="J1271" s="1">
        <v>6</v>
      </c>
      <c r="K1271" s="1">
        <v>7</v>
      </c>
      <c r="L1271" s="1">
        <v>12</v>
      </c>
      <c r="M1271" s="1">
        <v>62</v>
      </c>
      <c r="N1271" s="1">
        <v>72</v>
      </c>
      <c r="O1271" s="1">
        <v>79</v>
      </c>
      <c r="P1271">
        <v>0.22820762368207628</v>
      </c>
      <c r="Q1271">
        <v>0.26049768518518535</v>
      </c>
      <c r="R1271">
        <v>3.8533333333333322E-2</v>
      </c>
    </row>
    <row r="1272" spans="1:18">
      <c r="A1272" s="1">
        <v>83</v>
      </c>
      <c r="B1272" s="1">
        <v>1</v>
      </c>
      <c r="C1272" s="1">
        <v>1</v>
      </c>
      <c r="D1272" s="1">
        <v>1</v>
      </c>
      <c r="E1272" s="1">
        <v>1</v>
      </c>
      <c r="F1272" s="1">
        <v>18</v>
      </c>
      <c r="G1272" s="1">
        <v>6</v>
      </c>
      <c r="H1272" s="1">
        <v>3</v>
      </c>
      <c r="I1272" s="1">
        <v>2</v>
      </c>
      <c r="J1272" s="1">
        <v>5</v>
      </c>
      <c r="K1272" s="1">
        <v>6</v>
      </c>
      <c r="L1272" s="1">
        <v>12</v>
      </c>
      <c r="M1272" s="1">
        <v>62</v>
      </c>
      <c r="N1272" s="1">
        <v>72</v>
      </c>
      <c r="O1272" s="1">
        <v>79</v>
      </c>
      <c r="P1272">
        <v>0.13167072181670725</v>
      </c>
      <c r="Q1272">
        <v>0.20500578703703709</v>
      </c>
      <c r="R1272">
        <v>4.2761904761904765E-2</v>
      </c>
    </row>
    <row r="1273" spans="1:18">
      <c r="A1273" s="1">
        <v>84</v>
      </c>
      <c r="B1273" s="1">
        <v>1</v>
      </c>
      <c r="C1273" s="1">
        <v>1</v>
      </c>
      <c r="D1273" s="1">
        <v>1</v>
      </c>
      <c r="E1273" s="1">
        <v>1</v>
      </c>
      <c r="F1273" s="1">
        <v>24</v>
      </c>
      <c r="G1273" s="1">
        <v>18</v>
      </c>
      <c r="H1273" s="1">
        <v>3</v>
      </c>
      <c r="I1273" s="1">
        <v>2</v>
      </c>
      <c r="J1273" s="1">
        <v>6</v>
      </c>
      <c r="K1273" s="1">
        <v>7</v>
      </c>
      <c r="L1273" s="1">
        <v>12</v>
      </c>
      <c r="M1273" s="1">
        <v>62</v>
      </c>
      <c r="N1273" s="1">
        <v>72</v>
      </c>
      <c r="O1273" s="1">
        <v>79</v>
      </c>
      <c r="P1273">
        <v>0.18330900243309001</v>
      </c>
      <c r="Q1273">
        <v>0.26409722222222232</v>
      </c>
      <c r="R1273">
        <v>3.9500000000000014E-2</v>
      </c>
    </row>
    <row r="1274" spans="1:18">
      <c r="A1274" s="1">
        <v>85</v>
      </c>
      <c r="B1274" s="1">
        <v>1</v>
      </c>
      <c r="C1274" s="1">
        <v>1</v>
      </c>
      <c r="D1274" s="1">
        <v>1</v>
      </c>
      <c r="E1274" s="1">
        <v>1</v>
      </c>
      <c r="F1274" s="1">
        <v>20</v>
      </c>
      <c r="G1274" s="1">
        <v>18</v>
      </c>
      <c r="H1274" s="1">
        <v>3</v>
      </c>
      <c r="I1274" s="1">
        <v>2</v>
      </c>
      <c r="J1274" s="1">
        <v>6</v>
      </c>
      <c r="K1274" s="1">
        <v>7</v>
      </c>
      <c r="L1274" s="1">
        <v>12</v>
      </c>
      <c r="M1274" s="1">
        <v>62</v>
      </c>
      <c r="N1274" s="1">
        <v>72</v>
      </c>
      <c r="O1274" s="1">
        <v>79</v>
      </c>
      <c r="P1274">
        <v>0.20064071370640715</v>
      </c>
      <c r="Q1274">
        <v>0.27527199074074077</v>
      </c>
      <c r="R1274">
        <v>4.7490476190476194E-2</v>
      </c>
    </row>
    <row r="1275" spans="1:18">
      <c r="A1275" s="1">
        <v>86</v>
      </c>
      <c r="B1275" s="1">
        <v>1</v>
      </c>
      <c r="C1275" s="1">
        <v>1</v>
      </c>
      <c r="D1275" s="1">
        <v>1</v>
      </c>
      <c r="E1275" s="1">
        <v>1</v>
      </c>
      <c r="F1275" s="1">
        <v>17</v>
      </c>
      <c r="G1275" s="1">
        <v>6</v>
      </c>
      <c r="H1275" s="1">
        <v>3</v>
      </c>
      <c r="I1275" s="1">
        <v>2</v>
      </c>
      <c r="J1275" s="1">
        <v>5</v>
      </c>
      <c r="K1275" s="1">
        <v>6</v>
      </c>
      <c r="L1275" s="1">
        <v>12</v>
      </c>
      <c r="M1275" s="1">
        <v>62</v>
      </c>
      <c r="N1275" s="1">
        <v>72</v>
      </c>
      <c r="O1275" s="1">
        <v>79</v>
      </c>
      <c r="P1275">
        <v>0.20045417680454172</v>
      </c>
      <c r="Q1275">
        <v>0.23332175925925921</v>
      </c>
      <c r="R1275">
        <v>3.5242857142857145E-2</v>
      </c>
    </row>
    <row r="1276" spans="1:18">
      <c r="A1276" s="1">
        <v>87</v>
      </c>
      <c r="B1276" s="1">
        <v>0</v>
      </c>
      <c r="C1276" s="1">
        <v>1</v>
      </c>
      <c r="D1276" s="1">
        <v>1</v>
      </c>
      <c r="E1276" s="1">
        <v>0</v>
      </c>
      <c r="F1276" s="1">
        <v>12</v>
      </c>
      <c r="G1276" s="1">
        <v>6</v>
      </c>
      <c r="H1276" s="1">
        <v>2</v>
      </c>
      <c r="I1276" s="1">
        <v>2</v>
      </c>
      <c r="J1276" s="1">
        <v>4</v>
      </c>
      <c r="K1276" s="1">
        <v>4</v>
      </c>
      <c r="L1276" s="1">
        <v>12</v>
      </c>
      <c r="M1276" s="1">
        <v>62</v>
      </c>
      <c r="N1276" s="1">
        <v>72</v>
      </c>
      <c r="O1276" s="1">
        <v>79</v>
      </c>
      <c r="P1276">
        <v>0.10615571776155719</v>
      </c>
      <c r="Q1276">
        <v>0.1217939814814815</v>
      </c>
      <c r="R1276">
        <v>4.9476190476190465E-2</v>
      </c>
    </row>
    <row r="1277" spans="1:18">
      <c r="A1277" s="1">
        <v>88</v>
      </c>
      <c r="B1277" s="1">
        <v>1</v>
      </c>
      <c r="C1277" s="1">
        <v>1</v>
      </c>
      <c r="D1277" s="1">
        <v>1</v>
      </c>
      <c r="E1277" s="1">
        <v>1</v>
      </c>
      <c r="F1277" s="1">
        <v>15</v>
      </c>
      <c r="G1277" s="1">
        <v>6</v>
      </c>
      <c r="H1277" s="1">
        <v>3</v>
      </c>
      <c r="I1277" s="1">
        <v>2</v>
      </c>
      <c r="J1277" s="1">
        <v>5</v>
      </c>
      <c r="K1277" s="1">
        <v>5</v>
      </c>
      <c r="L1277" s="1">
        <v>12</v>
      </c>
      <c r="M1277" s="1">
        <v>62</v>
      </c>
      <c r="N1277" s="1">
        <v>72</v>
      </c>
      <c r="O1277" s="1">
        <v>79</v>
      </c>
      <c r="P1277">
        <v>0.19132197891321981</v>
      </c>
      <c r="Q1277">
        <v>0.23900462962962971</v>
      </c>
      <c r="R1277">
        <v>4.8290476190476189E-2</v>
      </c>
    </row>
    <row r="1278" spans="1:18">
      <c r="A1278" s="1">
        <v>89</v>
      </c>
      <c r="B1278" s="1">
        <v>1</v>
      </c>
      <c r="C1278" s="1">
        <v>0</v>
      </c>
      <c r="D1278" s="1">
        <v>0</v>
      </c>
      <c r="E1278" s="1">
        <v>0</v>
      </c>
      <c r="F1278" s="1">
        <v>3</v>
      </c>
      <c r="G1278" s="1">
        <v>6</v>
      </c>
      <c r="H1278" s="1">
        <v>1</v>
      </c>
      <c r="I1278" s="1">
        <v>2</v>
      </c>
      <c r="J1278" s="1">
        <v>1</v>
      </c>
      <c r="K1278" s="1">
        <v>1</v>
      </c>
      <c r="L1278" s="1">
        <v>12</v>
      </c>
      <c r="M1278" s="1">
        <v>62</v>
      </c>
      <c r="N1278" s="1">
        <v>72</v>
      </c>
      <c r="O1278" s="1">
        <v>79</v>
      </c>
      <c r="P1278">
        <v>0.26083536090835374</v>
      </c>
      <c r="Q1278">
        <v>0.3652044753086422</v>
      </c>
      <c r="R1278">
        <v>5.5719047619047626E-2</v>
      </c>
    </row>
    <row r="1279" spans="1:18">
      <c r="A1279" s="1">
        <v>90</v>
      </c>
      <c r="B1279" s="1">
        <v>1</v>
      </c>
      <c r="C1279" s="1">
        <v>1</v>
      </c>
      <c r="D1279" s="1">
        <v>1</v>
      </c>
      <c r="E1279" s="1">
        <v>1</v>
      </c>
      <c r="F1279" s="1">
        <v>16</v>
      </c>
      <c r="G1279" s="1">
        <v>6</v>
      </c>
      <c r="H1279" s="1">
        <v>3</v>
      </c>
      <c r="I1279" s="1">
        <v>2</v>
      </c>
      <c r="J1279" s="1">
        <v>5</v>
      </c>
      <c r="K1279" s="1">
        <v>6</v>
      </c>
      <c r="L1279" s="1">
        <v>12</v>
      </c>
      <c r="M1279" s="1">
        <v>62</v>
      </c>
      <c r="N1279" s="1">
        <v>72</v>
      </c>
      <c r="O1279" s="1">
        <v>79</v>
      </c>
      <c r="P1279">
        <v>0.13693430656934311</v>
      </c>
      <c r="Q1279">
        <v>0.18427083333333344</v>
      </c>
      <c r="R1279">
        <v>4.5552380952380948E-2</v>
      </c>
    </row>
    <row r="1280" spans="1:18">
      <c r="A1280" s="1">
        <v>91</v>
      </c>
      <c r="B1280" s="1">
        <v>1</v>
      </c>
      <c r="C1280" s="1">
        <v>1</v>
      </c>
      <c r="D1280" s="1">
        <v>1</v>
      </c>
      <c r="E1280" s="1">
        <v>0</v>
      </c>
      <c r="F1280" s="1">
        <v>22</v>
      </c>
      <c r="G1280" s="1">
        <v>18</v>
      </c>
      <c r="H1280" s="1">
        <v>3</v>
      </c>
      <c r="I1280" s="1">
        <v>2</v>
      </c>
      <c r="J1280" s="1">
        <v>6</v>
      </c>
      <c r="K1280" s="1">
        <v>7</v>
      </c>
      <c r="L1280" s="1">
        <v>12</v>
      </c>
      <c r="M1280" s="1">
        <v>62</v>
      </c>
      <c r="N1280" s="1">
        <v>72</v>
      </c>
      <c r="O1280" s="1">
        <v>79</v>
      </c>
      <c r="P1280">
        <v>0.22062449310624482</v>
      </c>
      <c r="Q1280">
        <v>0.2659066358024692</v>
      </c>
      <c r="R1280">
        <v>5.2442857142857131E-2</v>
      </c>
    </row>
    <row r="1281" spans="1:18">
      <c r="A1281" s="1">
        <v>92</v>
      </c>
      <c r="B1281" s="1">
        <v>1</v>
      </c>
      <c r="C1281" s="1">
        <v>1</v>
      </c>
      <c r="D1281" s="1">
        <v>0</v>
      </c>
      <c r="E1281" s="1">
        <v>1</v>
      </c>
      <c r="F1281" s="1">
        <v>7</v>
      </c>
      <c r="G1281" s="1">
        <v>6</v>
      </c>
      <c r="H1281" s="1">
        <v>2</v>
      </c>
      <c r="I1281" s="1">
        <v>2</v>
      </c>
      <c r="J1281" s="1">
        <v>3</v>
      </c>
      <c r="K1281" s="1">
        <v>3</v>
      </c>
      <c r="L1281" s="1">
        <v>12</v>
      </c>
      <c r="M1281" s="1">
        <v>62</v>
      </c>
      <c r="N1281" s="1">
        <v>72</v>
      </c>
      <c r="O1281" s="1">
        <v>79</v>
      </c>
      <c r="P1281">
        <v>0.15626926196269258</v>
      </c>
      <c r="Q1281">
        <v>0.20557870370370371</v>
      </c>
      <c r="R1281">
        <v>4.7352380952380958E-2</v>
      </c>
    </row>
    <row r="1282" spans="1:18">
      <c r="A1282" s="1">
        <v>93</v>
      </c>
      <c r="B1282" s="1">
        <v>0</v>
      </c>
      <c r="C1282" s="1">
        <v>1</v>
      </c>
      <c r="D1282" s="1">
        <v>1</v>
      </c>
      <c r="E1282" s="1">
        <v>1</v>
      </c>
      <c r="F1282" s="1">
        <v>11</v>
      </c>
      <c r="G1282" s="1">
        <v>6</v>
      </c>
      <c r="H1282" s="1">
        <v>2</v>
      </c>
      <c r="I1282" s="1">
        <v>2</v>
      </c>
      <c r="J1282" s="1">
        <v>4</v>
      </c>
      <c r="K1282" s="1">
        <v>4</v>
      </c>
      <c r="L1282" s="1">
        <v>12</v>
      </c>
      <c r="M1282" s="1">
        <v>62</v>
      </c>
      <c r="N1282" s="1">
        <v>72</v>
      </c>
      <c r="O1282" s="1">
        <v>79</v>
      </c>
      <c r="P1282">
        <v>7.5790754257907531E-2</v>
      </c>
      <c r="Q1282">
        <v>0.12300347222222222</v>
      </c>
      <c r="R1282">
        <v>4.127619047619048E-2</v>
      </c>
    </row>
    <row r="1283" spans="1:18">
      <c r="A1283" s="1">
        <v>94</v>
      </c>
      <c r="B1283" s="1">
        <v>1</v>
      </c>
      <c r="C1283" s="1">
        <v>0</v>
      </c>
      <c r="D1283" s="1">
        <v>0</v>
      </c>
      <c r="E1283" s="1">
        <v>1</v>
      </c>
      <c r="F1283" s="1">
        <v>3</v>
      </c>
      <c r="G1283" s="1">
        <v>6</v>
      </c>
      <c r="H1283" s="1">
        <v>1</v>
      </c>
      <c r="I1283" s="1">
        <v>2</v>
      </c>
      <c r="J1283" s="1">
        <v>1</v>
      </c>
      <c r="K1283" s="1">
        <v>1</v>
      </c>
      <c r="L1283" s="1">
        <v>12</v>
      </c>
      <c r="M1283" s="1">
        <v>62</v>
      </c>
      <c r="N1283" s="1">
        <v>72</v>
      </c>
      <c r="O1283" s="1">
        <v>79</v>
      </c>
      <c r="P1283">
        <v>0.11721005677210058</v>
      </c>
      <c r="Q1283">
        <v>0.15813657407407405</v>
      </c>
      <c r="R1283">
        <v>4.9095238095238102E-2</v>
      </c>
    </row>
    <row r="1284" spans="1:18">
      <c r="A1284" s="1">
        <v>95</v>
      </c>
      <c r="B1284" s="1">
        <v>1</v>
      </c>
      <c r="C1284" s="1">
        <v>1</v>
      </c>
      <c r="D1284" s="1">
        <v>0</v>
      </c>
      <c r="E1284" s="1">
        <v>1</v>
      </c>
      <c r="F1284" s="1">
        <v>8</v>
      </c>
      <c r="G1284" s="1">
        <v>6</v>
      </c>
      <c r="H1284" s="1">
        <v>2</v>
      </c>
      <c r="I1284" s="1">
        <v>2</v>
      </c>
      <c r="J1284" s="1">
        <v>3</v>
      </c>
      <c r="K1284" s="1">
        <v>3</v>
      </c>
      <c r="L1284" s="1">
        <v>12</v>
      </c>
      <c r="M1284" s="1">
        <v>62</v>
      </c>
      <c r="N1284" s="1">
        <v>72</v>
      </c>
      <c r="O1284" s="1">
        <v>79</v>
      </c>
      <c r="P1284">
        <v>0.19001622060016224</v>
      </c>
      <c r="Q1284">
        <v>0.28076967592592589</v>
      </c>
      <c r="R1284">
        <v>4.4314285714285695E-2</v>
      </c>
    </row>
    <row r="1285" spans="1:18">
      <c r="A1285" s="1">
        <v>96</v>
      </c>
      <c r="B1285" s="1">
        <v>1</v>
      </c>
      <c r="C1285" s="1">
        <v>1</v>
      </c>
      <c r="D1285" s="1">
        <v>0</v>
      </c>
      <c r="E1285" s="1">
        <v>1</v>
      </c>
      <c r="F1285" s="1">
        <v>9</v>
      </c>
      <c r="G1285" s="1">
        <v>6</v>
      </c>
      <c r="H1285" s="1">
        <v>2</v>
      </c>
      <c r="I1285" s="1">
        <v>2</v>
      </c>
      <c r="J1285" s="1">
        <v>3</v>
      </c>
      <c r="K1285" s="1">
        <v>3</v>
      </c>
      <c r="L1285" s="1">
        <v>12</v>
      </c>
      <c r="M1285" s="1">
        <v>62</v>
      </c>
      <c r="N1285" s="1">
        <v>72</v>
      </c>
      <c r="O1285" s="1">
        <v>79</v>
      </c>
      <c r="P1285">
        <v>0.23435523114355231</v>
      </c>
      <c r="Q1285">
        <v>0.30861111111111117</v>
      </c>
      <c r="R1285">
        <v>4.9514285714285719E-2</v>
      </c>
    </row>
    <row r="1286" spans="1:18">
      <c r="A1286" s="1">
        <v>97</v>
      </c>
      <c r="B1286" s="1">
        <v>1</v>
      </c>
      <c r="C1286" s="1">
        <v>1</v>
      </c>
      <c r="D1286" s="1">
        <v>1</v>
      </c>
      <c r="E1286" s="1">
        <v>1</v>
      </c>
      <c r="F1286" s="1">
        <v>19</v>
      </c>
      <c r="G1286" s="1">
        <v>6</v>
      </c>
      <c r="H1286" s="1">
        <v>3</v>
      </c>
      <c r="I1286" s="1">
        <v>2</v>
      </c>
      <c r="J1286" s="1">
        <v>5</v>
      </c>
      <c r="K1286" s="1">
        <v>6</v>
      </c>
      <c r="L1286" s="1">
        <v>12</v>
      </c>
      <c r="M1286" s="1">
        <v>62</v>
      </c>
      <c r="N1286" s="1">
        <v>72</v>
      </c>
      <c r="O1286" s="1">
        <v>79</v>
      </c>
      <c r="P1286">
        <v>0.2392781832927818</v>
      </c>
      <c r="Q1286">
        <v>0.23020254629629608</v>
      </c>
      <c r="R1286">
        <v>4.2114285714285708E-2</v>
      </c>
    </row>
    <row r="1287" spans="1:18">
      <c r="A1287" s="1">
        <v>98</v>
      </c>
      <c r="B1287" s="1">
        <v>1</v>
      </c>
      <c r="C1287" s="1">
        <v>1</v>
      </c>
      <c r="D1287" s="1">
        <v>1</v>
      </c>
      <c r="E1287" s="1">
        <v>1</v>
      </c>
      <c r="F1287" s="1">
        <v>25</v>
      </c>
      <c r="G1287" s="1">
        <v>18</v>
      </c>
      <c r="H1287" s="1">
        <v>3</v>
      </c>
      <c r="I1287" s="1">
        <v>2</v>
      </c>
      <c r="J1287" s="1">
        <v>6</v>
      </c>
      <c r="K1287" s="1">
        <v>7</v>
      </c>
      <c r="L1287" s="1">
        <v>12</v>
      </c>
      <c r="M1287" s="1">
        <v>62</v>
      </c>
      <c r="N1287" s="1">
        <v>72</v>
      </c>
      <c r="O1287" s="1">
        <v>79</v>
      </c>
      <c r="P1287">
        <v>0.19164639091646385</v>
      </c>
      <c r="Q1287">
        <v>0.22679398148148142</v>
      </c>
      <c r="R1287">
        <v>4.3057142857142849E-2</v>
      </c>
    </row>
    <row r="1288" spans="1:18">
      <c r="A1288" s="1">
        <v>99</v>
      </c>
      <c r="B1288" s="1">
        <v>1</v>
      </c>
      <c r="C1288" s="1">
        <v>1</v>
      </c>
      <c r="D1288" s="1">
        <v>1</v>
      </c>
      <c r="E1288" s="1">
        <v>0</v>
      </c>
      <c r="F1288" s="1">
        <v>26</v>
      </c>
      <c r="G1288" s="1">
        <v>18</v>
      </c>
      <c r="H1288" s="1">
        <v>3</v>
      </c>
      <c r="I1288" s="1">
        <v>2</v>
      </c>
      <c r="J1288" s="1">
        <v>6</v>
      </c>
      <c r="K1288" s="1">
        <v>7</v>
      </c>
      <c r="L1288" s="1">
        <v>12</v>
      </c>
      <c r="M1288" s="1">
        <v>62</v>
      </c>
      <c r="N1288" s="1">
        <v>72</v>
      </c>
      <c r="O1288" s="1">
        <v>79</v>
      </c>
      <c r="P1288">
        <v>0.23569343065693438</v>
      </c>
      <c r="Q1288">
        <v>0.34684027777777793</v>
      </c>
      <c r="R1288">
        <v>4.261428571428573E-2</v>
      </c>
    </row>
    <row r="1289" spans="1:18">
      <c r="A1289" s="1">
        <v>100</v>
      </c>
      <c r="B1289" s="1">
        <v>1</v>
      </c>
      <c r="C1289" s="1">
        <v>1</v>
      </c>
      <c r="D1289" s="1">
        <v>1</v>
      </c>
      <c r="E1289" s="1">
        <v>1</v>
      </c>
      <c r="F1289" s="1">
        <v>22</v>
      </c>
      <c r="G1289" s="1">
        <v>18</v>
      </c>
      <c r="H1289" s="1">
        <v>3</v>
      </c>
      <c r="I1289" s="1">
        <v>2</v>
      </c>
      <c r="J1289" s="1">
        <v>6</v>
      </c>
      <c r="K1289" s="1">
        <v>7</v>
      </c>
      <c r="L1289" s="1">
        <v>12</v>
      </c>
      <c r="M1289" s="1">
        <v>62</v>
      </c>
      <c r="N1289" s="1">
        <v>72</v>
      </c>
      <c r="O1289" s="1">
        <v>79</v>
      </c>
      <c r="P1289">
        <v>0.21828061638280621</v>
      </c>
      <c r="Q1289">
        <v>0.27518518518518525</v>
      </c>
      <c r="R1289">
        <v>5.9257142857142862E-2</v>
      </c>
    </row>
    <row r="1290" spans="1:18">
      <c r="A1290" s="1">
        <v>101</v>
      </c>
      <c r="B1290" s="1">
        <v>1</v>
      </c>
      <c r="C1290" s="1">
        <v>1</v>
      </c>
      <c r="D1290" s="1">
        <v>1</v>
      </c>
      <c r="E1290" s="1">
        <v>1</v>
      </c>
      <c r="F1290" s="1">
        <v>13</v>
      </c>
      <c r="G1290" s="1">
        <v>6</v>
      </c>
      <c r="H1290" s="1">
        <v>3</v>
      </c>
      <c r="I1290" s="1">
        <v>2</v>
      </c>
      <c r="J1290" s="1">
        <v>5</v>
      </c>
      <c r="K1290" s="1">
        <v>5</v>
      </c>
      <c r="L1290" s="1">
        <v>12</v>
      </c>
      <c r="M1290" s="1">
        <v>62</v>
      </c>
      <c r="N1290" s="1">
        <v>72</v>
      </c>
      <c r="O1290" s="1">
        <v>79</v>
      </c>
      <c r="P1290">
        <v>0.16188969991889701</v>
      </c>
      <c r="Q1290">
        <v>0.1759432870370371</v>
      </c>
      <c r="R1290">
        <v>4.6566666666666687E-2</v>
      </c>
    </row>
    <row r="1291" spans="1:18">
      <c r="A1291" s="1">
        <v>102</v>
      </c>
      <c r="B1291" s="1">
        <v>0</v>
      </c>
      <c r="C1291" s="1">
        <v>1</v>
      </c>
      <c r="D1291" s="1">
        <v>0</v>
      </c>
      <c r="E1291" s="1">
        <v>1</v>
      </c>
      <c r="F1291" s="1">
        <v>4</v>
      </c>
      <c r="G1291" s="1">
        <v>6</v>
      </c>
      <c r="H1291" s="1">
        <v>1</v>
      </c>
      <c r="I1291" s="1">
        <v>2</v>
      </c>
      <c r="J1291" s="1">
        <v>2</v>
      </c>
      <c r="K1291" s="1">
        <v>2</v>
      </c>
      <c r="L1291" s="1">
        <v>12</v>
      </c>
      <c r="M1291" s="1">
        <v>62</v>
      </c>
      <c r="N1291" s="1">
        <v>72</v>
      </c>
      <c r="O1291" s="1">
        <v>79</v>
      </c>
      <c r="P1291">
        <v>0.1376155717761558</v>
      </c>
      <c r="Q1291">
        <v>0.20690972222222226</v>
      </c>
      <c r="R1291">
        <v>6.2642857142857125E-2</v>
      </c>
    </row>
    <row r="1292" spans="1:18">
      <c r="A1292" s="1">
        <v>103</v>
      </c>
      <c r="B1292" s="1">
        <v>0</v>
      </c>
      <c r="C1292" s="1">
        <v>1</v>
      </c>
      <c r="D1292" s="1">
        <v>1</v>
      </c>
      <c r="E1292" s="1">
        <v>1</v>
      </c>
      <c r="F1292" s="1">
        <v>10</v>
      </c>
      <c r="G1292" s="1">
        <v>6</v>
      </c>
      <c r="H1292" s="1">
        <v>2</v>
      </c>
      <c r="I1292" s="1">
        <v>2</v>
      </c>
      <c r="J1292" s="1">
        <v>4</v>
      </c>
      <c r="K1292" s="1">
        <v>4</v>
      </c>
      <c r="L1292" s="1">
        <v>12</v>
      </c>
      <c r="M1292" s="1">
        <v>62</v>
      </c>
      <c r="N1292" s="1">
        <v>72</v>
      </c>
      <c r="O1292" s="1">
        <v>79</v>
      </c>
      <c r="P1292">
        <v>0.16808596918085972</v>
      </c>
      <c r="Q1292">
        <v>0.22433449074074074</v>
      </c>
      <c r="R1292">
        <v>3.379047619047619E-2</v>
      </c>
    </row>
    <row r="1293" spans="1:18">
      <c r="A1293" s="1">
        <v>104</v>
      </c>
      <c r="B1293" s="1">
        <v>0</v>
      </c>
      <c r="C1293" s="1">
        <v>1</v>
      </c>
      <c r="D1293" s="1">
        <v>1</v>
      </c>
      <c r="E1293" s="1">
        <v>1</v>
      </c>
      <c r="F1293" s="1">
        <v>12</v>
      </c>
      <c r="G1293" s="1">
        <v>6</v>
      </c>
      <c r="H1293" s="1">
        <v>2</v>
      </c>
      <c r="I1293" s="1">
        <v>2</v>
      </c>
      <c r="J1293" s="1">
        <v>4</v>
      </c>
      <c r="K1293" s="1">
        <v>4</v>
      </c>
      <c r="L1293" s="1">
        <v>12</v>
      </c>
      <c r="M1293" s="1">
        <v>62</v>
      </c>
      <c r="N1293" s="1">
        <v>72</v>
      </c>
      <c r="O1293" s="1">
        <v>79</v>
      </c>
      <c r="P1293">
        <v>0.28103811841038118</v>
      </c>
      <c r="Q1293">
        <v>0.42717592592592596</v>
      </c>
      <c r="R1293">
        <v>4.364761904761906E-2</v>
      </c>
    </row>
    <row r="1294" spans="1:18">
      <c r="A1294" s="1">
        <v>105</v>
      </c>
      <c r="B1294" s="1">
        <v>1</v>
      </c>
      <c r="C1294" s="1">
        <v>1</v>
      </c>
      <c r="D1294" s="1">
        <v>1</v>
      </c>
      <c r="E1294" s="1">
        <v>1</v>
      </c>
      <c r="F1294" s="1">
        <v>14</v>
      </c>
      <c r="G1294" s="1">
        <v>6</v>
      </c>
      <c r="H1294" s="1">
        <v>3</v>
      </c>
      <c r="I1294" s="1">
        <v>2</v>
      </c>
      <c r="J1294" s="1">
        <v>5</v>
      </c>
      <c r="K1294" s="1">
        <v>5</v>
      </c>
      <c r="L1294" s="1">
        <v>12</v>
      </c>
      <c r="M1294" s="1">
        <v>62</v>
      </c>
      <c r="N1294" s="1">
        <v>72</v>
      </c>
      <c r="O1294" s="1">
        <v>79</v>
      </c>
      <c r="P1294">
        <v>0.2428953771289539</v>
      </c>
      <c r="Q1294">
        <v>0.32897569444444436</v>
      </c>
      <c r="R1294">
        <v>4.4347619047619059E-2</v>
      </c>
    </row>
    <row r="1295" spans="1:18">
      <c r="A1295" s="1">
        <v>106</v>
      </c>
      <c r="B1295" s="1">
        <v>1</v>
      </c>
      <c r="C1295" s="1">
        <v>1</v>
      </c>
      <c r="D1295" s="1">
        <v>1</v>
      </c>
      <c r="E1295" s="1">
        <v>0</v>
      </c>
      <c r="F1295" s="1">
        <v>19</v>
      </c>
      <c r="G1295" s="1">
        <v>6</v>
      </c>
      <c r="H1295" s="1">
        <v>3</v>
      </c>
      <c r="I1295" s="1">
        <v>2</v>
      </c>
      <c r="J1295" s="1">
        <v>5</v>
      </c>
      <c r="K1295" s="1">
        <v>6</v>
      </c>
      <c r="L1295" s="1">
        <v>12</v>
      </c>
      <c r="M1295" s="1">
        <v>62</v>
      </c>
      <c r="N1295" s="1">
        <v>72</v>
      </c>
      <c r="O1295" s="1">
        <v>79</v>
      </c>
      <c r="P1295">
        <v>0.25188969991889715</v>
      </c>
      <c r="Q1295">
        <v>0.32846450617283957</v>
      </c>
      <c r="R1295">
        <v>4.4933333333333332E-2</v>
      </c>
    </row>
    <row r="1296" spans="1:18">
      <c r="A1296" s="1">
        <v>107</v>
      </c>
      <c r="B1296" s="1">
        <v>1</v>
      </c>
      <c r="C1296" s="1">
        <v>1</v>
      </c>
      <c r="D1296" s="1">
        <v>1</v>
      </c>
      <c r="E1296" s="1">
        <v>1</v>
      </c>
      <c r="F1296" s="1">
        <v>26</v>
      </c>
      <c r="G1296" s="1">
        <v>18</v>
      </c>
      <c r="H1296" s="1">
        <v>3</v>
      </c>
      <c r="I1296" s="1">
        <v>2</v>
      </c>
      <c r="J1296" s="1">
        <v>6</v>
      </c>
      <c r="K1296" s="1">
        <v>7</v>
      </c>
      <c r="L1296" s="1">
        <v>12</v>
      </c>
      <c r="M1296" s="1">
        <v>62</v>
      </c>
      <c r="N1296" s="1">
        <v>72</v>
      </c>
      <c r="O1296" s="1">
        <v>79</v>
      </c>
      <c r="P1296">
        <v>0.16806974858069748</v>
      </c>
      <c r="Q1296">
        <v>0.21174189814814801</v>
      </c>
      <c r="R1296">
        <v>4.0638095238095244E-2</v>
      </c>
    </row>
    <row r="1297" spans="1:18">
      <c r="A1297" s="1">
        <v>108</v>
      </c>
      <c r="B1297" s="1">
        <v>1</v>
      </c>
      <c r="C1297" s="1">
        <v>0</v>
      </c>
      <c r="D1297" s="1">
        <v>0</v>
      </c>
      <c r="E1297" s="1">
        <v>1</v>
      </c>
      <c r="F1297" s="1">
        <v>2</v>
      </c>
      <c r="G1297" s="1">
        <v>6</v>
      </c>
      <c r="H1297" s="1">
        <v>1</v>
      </c>
      <c r="I1297" s="1">
        <v>2</v>
      </c>
      <c r="J1297" s="1">
        <v>1</v>
      </c>
      <c r="K1297" s="1">
        <v>1</v>
      </c>
      <c r="L1297" s="1">
        <v>12</v>
      </c>
      <c r="M1297" s="1">
        <v>62</v>
      </c>
      <c r="N1297" s="1">
        <v>72</v>
      </c>
      <c r="O1297" s="1">
        <v>79</v>
      </c>
      <c r="P1297">
        <v>0.17153284671532845</v>
      </c>
      <c r="Q1297">
        <v>0.25416666666666682</v>
      </c>
      <c r="R1297">
        <v>4.4347619047619059E-2</v>
      </c>
    </row>
    <row r="1298" spans="1:18">
      <c r="A1298" s="1">
        <v>1</v>
      </c>
      <c r="B1298" s="1">
        <v>1</v>
      </c>
      <c r="C1298" s="1">
        <v>1</v>
      </c>
      <c r="D1298" s="1">
        <v>1</v>
      </c>
      <c r="E1298" s="1">
        <v>0</v>
      </c>
      <c r="F1298" s="1">
        <v>14</v>
      </c>
      <c r="G1298" s="1">
        <v>6</v>
      </c>
      <c r="H1298" s="1">
        <v>3</v>
      </c>
      <c r="I1298" s="1">
        <v>1</v>
      </c>
      <c r="J1298" s="1">
        <v>5</v>
      </c>
      <c r="K1298" s="1">
        <v>5</v>
      </c>
      <c r="L1298" s="1">
        <v>13</v>
      </c>
      <c r="M1298" s="1">
        <v>72</v>
      </c>
      <c r="P1298">
        <v>0.197734522844012</v>
      </c>
      <c r="Q1298">
        <v>0.33884645061728391</v>
      </c>
    </row>
    <row r="1299" spans="1:18">
      <c r="A1299" s="1">
        <v>2</v>
      </c>
      <c r="B1299" s="1">
        <v>1</v>
      </c>
      <c r="C1299" s="1">
        <v>1</v>
      </c>
      <c r="D1299" s="1">
        <v>1</v>
      </c>
      <c r="E1299" s="1">
        <v>0</v>
      </c>
      <c r="F1299" s="1">
        <v>15</v>
      </c>
      <c r="G1299" s="1">
        <v>6</v>
      </c>
      <c r="H1299" s="1">
        <v>3</v>
      </c>
      <c r="I1299" s="1">
        <v>1</v>
      </c>
      <c r="J1299" s="1">
        <v>5</v>
      </c>
      <c r="K1299" s="1">
        <v>5</v>
      </c>
      <c r="L1299" s="1">
        <v>13</v>
      </c>
      <c r="M1299" s="1">
        <v>72</v>
      </c>
      <c r="P1299">
        <v>0.29006758583400921</v>
      </c>
      <c r="Q1299">
        <v>0.45185956790123477</v>
      </c>
    </row>
    <row r="1300" spans="1:18">
      <c r="A1300" s="1">
        <v>3</v>
      </c>
      <c r="B1300" s="1">
        <v>1</v>
      </c>
      <c r="C1300" s="1">
        <v>1</v>
      </c>
      <c r="D1300" s="1">
        <v>1</v>
      </c>
      <c r="E1300" s="1">
        <v>0</v>
      </c>
      <c r="F1300" s="1">
        <v>13</v>
      </c>
      <c r="G1300" s="1">
        <v>6</v>
      </c>
      <c r="H1300" s="1">
        <v>3</v>
      </c>
      <c r="I1300" s="1">
        <v>1</v>
      </c>
      <c r="J1300" s="1">
        <v>5</v>
      </c>
      <c r="K1300" s="1">
        <v>5</v>
      </c>
      <c r="L1300" s="1">
        <v>13</v>
      </c>
      <c r="M1300" s="1">
        <v>72</v>
      </c>
      <c r="P1300">
        <v>0.17802108678021084</v>
      </c>
      <c r="Q1300">
        <v>0.37841435185185179</v>
      </c>
    </row>
    <row r="1301" spans="1:18">
      <c r="A1301" s="1">
        <v>4</v>
      </c>
      <c r="B1301" s="1">
        <v>1</v>
      </c>
      <c r="C1301" s="1">
        <v>0</v>
      </c>
      <c r="D1301" s="1">
        <v>0</v>
      </c>
      <c r="E1301" s="1">
        <v>0</v>
      </c>
      <c r="F1301" s="1">
        <v>1</v>
      </c>
      <c r="G1301" s="1">
        <v>6</v>
      </c>
      <c r="H1301" s="1">
        <v>1</v>
      </c>
      <c r="I1301" s="1">
        <v>1</v>
      </c>
      <c r="J1301" s="1">
        <v>1</v>
      </c>
      <c r="K1301" s="1">
        <v>1</v>
      </c>
      <c r="L1301" s="1">
        <v>13</v>
      </c>
      <c r="M1301" s="1">
        <v>72</v>
      </c>
      <c r="P1301">
        <v>0.15210597458772646</v>
      </c>
      <c r="Q1301">
        <v>0.38830246913580263</v>
      </c>
    </row>
    <row r="1302" spans="1:18">
      <c r="A1302" s="1">
        <v>5</v>
      </c>
      <c r="B1302" s="1">
        <v>1</v>
      </c>
      <c r="C1302" s="1">
        <v>1</v>
      </c>
      <c r="D1302" s="1">
        <v>0</v>
      </c>
      <c r="E1302" s="1">
        <v>0</v>
      </c>
      <c r="F1302" s="1">
        <v>8</v>
      </c>
      <c r="G1302" s="1">
        <v>6</v>
      </c>
      <c r="H1302" s="1">
        <v>2</v>
      </c>
      <c r="I1302" s="1">
        <v>1</v>
      </c>
      <c r="J1302" s="1">
        <v>3</v>
      </c>
      <c r="K1302" s="1">
        <v>3</v>
      </c>
      <c r="L1302" s="1">
        <v>13</v>
      </c>
      <c r="M1302" s="1">
        <v>72</v>
      </c>
      <c r="P1302">
        <v>0.21451203027845364</v>
      </c>
      <c r="Q1302">
        <v>0.35964891975308638</v>
      </c>
    </row>
    <row r="1303" spans="1:18">
      <c r="A1303" s="1">
        <v>6</v>
      </c>
      <c r="B1303" s="1">
        <v>1</v>
      </c>
      <c r="C1303" s="1">
        <v>0</v>
      </c>
      <c r="D1303" s="1">
        <v>0</v>
      </c>
      <c r="E1303" s="1">
        <v>0</v>
      </c>
      <c r="F1303" s="1">
        <v>2</v>
      </c>
      <c r="G1303" s="1">
        <v>6</v>
      </c>
      <c r="H1303" s="1">
        <v>1</v>
      </c>
      <c r="I1303" s="1">
        <v>1</v>
      </c>
      <c r="J1303" s="1">
        <v>1</v>
      </c>
      <c r="K1303" s="1">
        <v>1</v>
      </c>
      <c r="L1303" s="1">
        <v>13</v>
      </c>
      <c r="M1303" s="1">
        <v>72</v>
      </c>
      <c r="P1303">
        <v>0.27399837793998377</v>
      </c>
      <c r="Q1303">
        <v>0.44141203703703691</v>
      </c>
    </row>
    <row r="1304" spans="1:18">
      <c r="A1304" s="1">
        <v>7</v>
      </c>
      <c r="B1304" s="1">
        <v>1</v>
      </c>
      <c r="C1304" s="1">
        <v>1</v>
      </c>
      <c r="D1304" s="1">
        <v>1</v>
      </c>
      <c r="E1304" s="1">
        <v>0</v>
      </c>
      <c r="F1304" s="1">
        <v>24</v>
      </c>
      <c r="G1304" s="1">
        <v>18</v>
      </c>
      <c r="H1304" s="1">
        <v>3</v>
      </c>
      <c r="I1304" s="1">
        <v>1</v>
      </c>
      <c r="J1304" s="1">
        <v>6</v>
      </c>
      <c r="K1304" s="1">
        <v>7</v>
      </c>
      <c r="L1304" s="1">
        <v>13</v>
      </c>
      <c r="M1304" s="1">
        <v>72</v>
      </c>
      <c r="P1304">
        <v>0.18968910516355775</v>
      </c>
      <c r="Q1304">
        <v>0.34609182098765423</v>
      </c>
    </row>
    <row r="1305" spans="1:18">
      <c r="A1305" s="1">
        <v>8</v>
      </c>
      <c r="B1305" s="1">
        <v>1</v>
      </c>
      <c r="C1305" s="1">
        <v>1</v>
      </c>
      <c r="D1305" s="1">
        <v>1</v>
      </c>
      <c r="E1305" s="1">
        <v>0</v>
      </c>
      <c r="F1305" s="1">
        <v>26</v>
      </c>
      <c r="G1305" s="1">
        <v>18</v>
      </c>
      <c r="H1305" s="1">
        <v>3</v>
      </c>
      <c r="I1305" s="1">
        <v>1</v>
      </c>
      <c r="J1305" s="1">
        <v>6</v>
      </c>
      <c r="K1305" s="1">
        <v>7</v>
      </c>
      <c r="L1305" s="1">
        <v>13</v>
      </c>
      <c r="M1305" s="1">
        <v>72</v>
      </c>
      <c r="P1305">
        <v>0.20829954041632867</v>
      </c>
      <c r="Q1305">
        <v>0.41431327160493842</v>
      </c>
    </row>
    <row r="1306" spans="1:18">
      <c r="A1306" s="1">
        <v>9</v>
      </c>
      <c r="B1306" s="1">
        <v>1</v>
      </c>
      <c r="C1306" s="1">
        <v>1</v>
      </c>
      <c r="D1306" s="1">
        <v>1</v>
      </c>
      <c r="E1306" s="1">
        <v>0</v>
      </c>
      <c r="F1306" s="1">
        <v>21</v>
      </c>
      <c r="G1306" s="1">
        <v>18</v>
      </c>
      <c r="H1306" s="1">
        <v>3</v>
      </c>
      <c r="I1306" s="1">
        <v>1</v>
      </c>
      <c r="J1306" s="1">
        <v>6</v>
      </c>
      <c r="K1306" s="1">
        <v>7</v>
      </c>
      <c r="L1306" s="1">
        <v>13</v>
      </c>
      <c r="M1306" s="1">
        <v>72</v>
      </c>
      <c r="P1306">
        <v>0.20647201946472035</v>
      </c>
      <c r="Q1306">
        <v>0.417951388888889</v>
      </c>
    </row>
    <row r="1307" spans="1:18">
      <c r="A1307" s="1">
        <v>10</v>
      </c>
      <c r="B1307" s="1">
        <v>1</v>
      </c>
      <c r="C1307" s="1">
        <v>1</v>
      </c>
      <c r="D1307" s="1">
        <v>1</v>
      </c>
      <c r="E1307" s="1">
        <v>0</v>
      </c>
      <c r="F1307" s="1">
        <v>25</v>
      </c>
      <c r="G1307" s="1">
        <v>18</v>
      </c>
      <c r="H1307" s="1">
        <v>3</v>
      </c>
      <c r="I1307" s="1">
        <v>1</v>
      </c>
      <c r="J1307" s="1">
        <v>6</v>
      </c>
      <c r="K1307" s="1">
        <v>7</v>
      </c>
      <c r="L1307" s="1">
        <v>13</v>
      </c>
      <c r="M1307" s="1">
        <v>72</v>
      </c>
      <c r="P1307">
        <v>0.26960800216274672</v>
      </c>
      <c r="Q1307">
        <v>0.51221450617283948</v>
      </c>
    </row>
    <row r="1308" spans="1:18">
      <c r="A1308" s="1">
        <v>11</v>
      </c>
      <c r="B1308" s="1">
        <v>1</v>
      </c>
      <c r="C1308" s="1">
        <v>1</v>
      </c>
      <c r="D1308" s="1">
        <v>1</v>
      </c>
      <c r="E1308" s="1">
        <v>0</v>
      </c>
      <c r="F1308" s="1">
        <v>20</v>
      </c>
      <c r="G1308" s="1">
        <v>18</v>
      </c>
      <c r="H1308" s="1">
        <v>3</v>
      </c>
      <c r="I1308" s="1">
        <v>1</v>
      </c>
      <c r="J1308" s="1">
        <v>6</v>
      </c>
      <c r="K1308" s="1">
        <v>7</v>
      </c>
      <c r="L1308" s="1">
        <v>13</v>
      </c>
      <c r="M1308" s="1">
        <v>72</v>
      </c>
      <c r="P1308">
        <v>0.17945931332792639</v>
      </c>
      <c r="Q1308">
        <v>0.44710262345679008</v>
      </c>
    </row>
    <row r="1309" spans="1:18">
      <c r="A1309" s="1">
        <v>12</v>
      </c>
      <c r="B1309" s="1">
        <v>1</v>
      </c>
      <c r="C1309" s="1">
        <v>1</v>
      </c>
      <c r="D1309" s="1">
        <v>1</v>
      </c>
      <c r="E1309" s="1">
        <v>1</v>
      </c>
      <c r="F1309" s="1">
        <v>18</v>
      </c>
      <c r="G1309" s="1">
        <v>6</v>
      </c>
      <c r="H1309" s="1">
        <v>3</v>
      </c>
      <c r="I1309" s="1">
        <v>1</v>
      </c>
      <c r="J1309" s="1">
        <v>5</v>
      </c>
      <c r="K1309" s="1">
        <v>6</v>
      </c>
      <c r="L1309" s="1">
        <v>13</v>
      </c>
      <c r="M1309" s="1">
        <v>72</v>
      </c>
      <c r="P1309">
        <v>0.17870235198702353</v>
      </c>
      <c r="Q1309">
        <v>0.27884259259259248</v>
      </c>
    </row>
    <row r="1310" spans="1:18">
      <c r="A1310" s="1">
        <v>13</v>
      </c>
      <c r="B1310" s="1">
        <v>1</v>
      </c>
      <c r="C1310" s="1">
        <v>1</v>
      </c>
      <c r="D1310" s="1">
        <v>1</v>
      </c>
      <c r="E1310" s="1">
        <v>1</v>
      </c>
      <c r="F1310" s="1">
        <v>25</v>
      </c>
      <c r="G1310" s="1">
        <v>18</v>
      </c>
      <c r="H1310" s="1">
        <v>3</v>
      </c>
      <c r="I1310" s="1">
        <v>1</v>
      </c>
      <c r="J1310" s="1">
        <v>6</v>
      </c>
      <c r="K1310" s="1">
        <v>7</v>
      </c>
      <c r="L1310" s="1">
        <v>13</v>
      </c>
      <c r="M1310" s="1">
        <v>72</v>
      </c>
      <c r="P1310">
        <v>0.17919032170856991</v>
      </c>
      <c r="Q1310">
        <v>0.36497878086419744</v>
      </c>
    </row>
    <row r="1311" spans="1:18">
      <c r="A1311" s="1">
        <v>14</v>
      </c>
      <c r="B1311" s="1">
        <v>1</v>
      </c>
      <c r="C1311" s="1">
        <v>1</v>
      </c>
      <c r="D1311" s="1">
        <v>1</v>
      </c>
      <c r="E1311" s="1">
        <v>1</v>
      </c>
      <c r="F1311" s="1">
        <v>14</v>
      </c>
      <c r="G1311" s="1">
        <v>6</v>
      </c>
      <c r="H1311" s="1">
        <v>3</v>
      </c>
      <c r="I1311" s="1">
        <v>1</v>
      </c>
      <c r="J1311" s="1">
        <v>5</v>
      </c>
      <c r="K1311" s="1">
        <v>5</v>
      </c>
      <c r="L1311" s="1">
        <v>13</v>
      </c>
      <c r="M1311" s="1">
        <v>72</v>
      </c>
      <c r="P1311">
        <v>0.18624763449580967</v>
      </c>
      <c r="Q1311">
        <v>0.31986496913580253</v>
      </c>
    </row>
    <row r="1312" spans="1:18">
      <c r="A1312" s="1">
        <v>15</v>
      </c>
      <c r="B1312" s="1">
        <v>1</v>
      </c>
      <c r="C1312" s="1">
        <v>1</v>
      </c>
      <c r="D1312" s="1">
        <v>1</v>
      </c>
      <c r="E1312" s="1">
        <v>0</v>
      </c>
      <c r="F1312" s="1">
        <v>18</v>
      </c>
      <c r="G1312" s="1">
        <v>6</v>
      </c>
      <c r="H1312" s="1">
        <v>3</v>
      </c>
      <c r="I1312" s="1">
        <v>1</v>
      </c>
      <c r="J1312" s="1">
        <v>5</v>
      </c>
      <c r="K1312" s="1">
        <v>6</v>
      </c>
      <c r="L1312" s="1">
        <v>13</v>
      </c>
      <c r="M1312" s="1">
        <v>72</v>
      </c>
      <c r="P1312">
        <v>0.21375506893755084</v>
      </c>
      <c r="Q1312">
        <v>0.36790509259259274</v>
      </c>
    </row>
    <row r="1313" spans="1:17">
      <c r="A1313" s="1">
        <v>16</v>
      </c>
      <c r="B1313" s="1">
        <v>1</v>
      </c>
      <c r="C1313" s="1">
        <v>1</v>
      </c>
      <c r="D1313" s="1">
        <v>1</v>
      </c>
      <c r="E1313" s="1">
        <v>1</v>
      </c>
      <c r="F1313" s="1">
        <v>21</v>
      </c>
      <c r="G1313" s="1">
        <v>18</v>
      </c>
      <c r="H1313" s="1">
        <v>3</v>
      </c>
      <c r="I1313" s="1">
        <v>1</v>
      </c>
      <c r="J1313" s="1">
        <v>6</v>
      </c>
      <c r="K1313" s="1">
        <v>7</v>
      </c>
      <c r="L1313" s="1">
        <v>13</v>
      </c>
      <c r="M1313" s="1">
        <v>72</v>
      </c>
      <c r="P1313">
        <v>0.1748148148148149</v>
      </c>
      <c r="Q1313">
        <v>0.28380401234567904</v>
      </c>
    </row>
    <row r="1314" spans="1:17">
      <c r="A1314" s="1">
        <v>17</v>
      </c>
      <c r="B1314" s="1">
        <v>1</v>
      </c>
      <c r="C1314" s="1">
        <v>0</v>
      </c>
      <c r="D1314" s="1">
        <v>0</v>
      </c>
      <c r="E1314" s="1">
        <v>1</v>
      </c>
      <c r="F1314" s="1">
        <v>1</v>
      </c>
      <c r="G1314" s="1">
        <v>6</v>
      </c>
      <c r="H1314" s="1">
        <v>1</v>
      </c>
      <c r="I1314" s="1">
        <v>1</v>
      </c>
      <c r="J1314" s="1">
        <v>1</v>
      </c>
      <c r="K1314" s="1">
        <v>1</v>
      </c>
      <c r="L1314" s="1">
        <v>13</v>
      </c>
      <c r="M1314" s="1">
        <v>72</v>
      </c>
      <c r="P1314">
        <v>0.19574074074074074</v>
      </c>
      <c r="Q1314">
        <v>0.36056520061728381</v>
      </c>
    </row>
    <row r="1315" spans="1:17">
      <c r="A1315" s="1">
        <v>18</v>
      </c>
      <c r="B1315" s="1">
        <v>1</v>
      </c>
      <c r="C1315" s="1">
        <v>1</v>
      </c>
      <c r="D1315" s="1">
        <v>1</v>
      </c>
      <c r="E1315" s="1">
        <v>0</v>
      </c>
      <c r="F1315" s="1">
        <v>22</v>
      </c>
      <c r="G1315" s="1">
        <v>18</v>
      </c>
      <c r="H1315" s="1">
        <v>3</v>
      </c>
      <c r="I1315" s="1">
        <v>1</v>
      </c>
      <c r="J1315" s="1">
        <v>6</v>
      </c>
      <c r="K1315" s="1">
        <v>7</v>
      </c>
      <c r="L1315" s="1">
        <v>13</v>
      </c>
      <c r="M1315" s="1">
        <v>72</v>
      </c>
      <c r="P1315">
        <v>0.18929440389294408</v>
      </c>
      <c r="Q1315">
        <v>0.38819444444444445</v>
      </c>
    </row>
    <row r="1316" spans="1:17">
      <c r="A1316" s="1">
        <v>19</v>
      </c>
      <c r="B1316" s="1">
        <v>1</v>
      </c>
      <c r="C1316" s="1">
        <v>1</v>
      </c>
      <c r="D1316" s="1">
        <v>1</v>
      </c>
      <c r="E1316" s="1">
        <v>1</v>
      </c>
      <c r="F1316" s="1">
        <v>26</v>
      </c>
      <c r="G1316" s="1">
        <v>18</v>
      </c>
      <c r="H1316" s="1">
        <v>3</v>
      </c>
      <c r="I1316" s="1">
        <v>1</v>
      </c>
      <c r="J1316" s="1">
        <v>6</v>
      </c>
      <c r="K1316" s="1">
        <v>7</v>
      </c>
      <c r="L1316" s="1">
        <v>13</v>
      </c>
      <c r="M1316" s="1">
        <v>72</v>
      </c>
      <c r="P1316">
        <v>0.30328602324952691</v>
      </c>
      <c r="Q1316">
        <v>0.49637924382716048</v>
      </c>
    </row>
    <row r="1317" spans="1:17">
      <c r="A1317" s="1">
        <v>20</v>
      </c>
      <c r="B1317" s="1">
        <v>1</v>
      </c>
      <c r="C1317" s="1">
        <v>1</v>
      </c>
      <c r="D1317" s="1">
        <v>1</v>
      </c>
      <c r="E1317" s="1">
        <v>0</v>
      </c>
      <c r="F1317" s="1">
        <v>17</v>
      </c>
      <c r="G1317" s="1">
        <v>6</v>
      </c>
      <c r="H1317" s="1">
        <v>3</v>
      </c>
      <c r="I1317" s="1">
        <v>1</v>
      </c>
      <c r="J1317" s="1">
        <v>5</v>
      </c>
      <c r="K1317" s="1">
        <v>6</v>
      </c>
      <c r="L1317" s="1">
        <v>13</v>
      </c>
      <c r="M1317" s="1">
        <v>72</v>
      </c>
      <c r="P1317">
        <v>0.21045688023790221</v>
      </c>
      <c r="Q1317">
        <v>0.33713734567901243</v>
      </c>
    </row>
    <row r="1318" spans="1:17">
      <c r="A1318" s="1">
        <v>21</v>
      </c>
      <c r="B1318" s="1">
        <v>1</v>
      </c>
      <c r="C1318" s="1">
        <v>1</v>
      </c>
      <c r="D1318" s="1">
        <v>1</v>
      </c>
      <c r="E1318" s="1">
        <v>0</v>
      </c>
      <c r="F1318" s="1">
        <v>19</v>
      </c>
      <c r="G1318" s="1">
        <v>6</v>
      </c>
      <c r="H1318" s="1">
        <v>3</v>
      </c>
      <c r="I1318" s="1">
        <v>1</v>
      </c>
      <c r="J1318" s="1">
        <v>5</v>
      </c>
      <c r="K1318" s="1">
        <v>6</v>
      </c>
      <c r="L1318" s="1">
        <v>13</v>
      </c>
      <c r="M1318" s="1">
        <v>72</v>
      </c>
      <c r="P1318">
        <v>0.28527169505271682</v>
      </c>
      <c r="Q1318">
        <v>0.45848379629629615</v>
      </c>
    </row>
    <row r="1319" spans="1:17">
      <c r="A1319" s="1">
        <v>22</v>
      </c>
      <c r="B1319" s="1">
        <v>1</v>
      </c>
      <c r="C1319" s="1">
        <v>0</v>
      </c>
      <c r="D1319" s="1">
        <v>0</v>
      </c>
      <c r="E1319" s="1">
        <v>0</v>
      </c>
      <c r="F1319" s="1">
        <v>3</v>
      </c>
      <c r="G1319" s="1">
        <v>6</v>
      </c>
      <c r="H1319" s="1">
        <v>1</v>
      </c>
      <c r="I1319" s="1">
        <v>1</v>
      </c>
      <c r="J1319" s="1">
        <v>1</v>
      </c>
      <c r="K1319" s="1">
        <v>1</v>
      </c>
      <c r="L1319" s="1">
        <v>13</v>
      </c>
      <c r="M1319" s="1">
        <v>72</v>
      </c>
      <c r="P1319">
        <v>0.12432008650986759</v>
      </c>
      <c r="Q1319">
        <v>0.32358024691358034</v>
      </c>
    </row>
    <row r="1320" spans="1:17">
      <c r="A1320" s="1">
        <v>23</v>
      </c>
      <c r="B1320" s="1">
        <v>1</v>
      </c>
      <c r="C1320" s="1">
        <v>1</v>
      </c>
      <c r="D1320" s="1">
        <v>1</v>
      </c>
      <c r="E1320" s="1">
        <v>1</v>
      </c>
      <c r="F1320" s="1">
        <v>24</v>
      </c>
      <c r="G1320" s="1">
        <v>18</v>
      </c>
      <c r="H1320" s="1">
        <v>3</v>
      </c>
      <c r="I1320" s="1">
        <v>1</v>
      </c>
      <c r="J1320" s="1">
        <v>6</v>
      </c>
      <c r="K1320" s="1">
        <v>7</v>
      </c>
      <c r="L1320" s="1">
        <v>13</v>
      </c>
      <c r="M1320" s="1">
        <v>72</v>
      </c>
      <c r="P1320">
        <v>0.15487293863206272</v>
      </c>
      <c r="Q1320">
        <v>0.29196566358024695</v>
      </c>
    </row>
    <row r="1321" spans="1:17">
      <c r="A1321" s="1">
        <v>24</v>
      </c>
      <c r="B1321" s="1">
        <v>1</v>
      </c>
      <c r="C1321" s="1">
        <v>1</v>
      </c>
      <c r="D1321" s="1">
        <v>1</v>
      </c>
      <c r="E1321" s="1">
        <v>0</v>
      </c>
      <c r="F1321" s="1">
        <v>16</v>
      </c>
      <c r="G1321" s="1">
        <v>6</v>
      </c>
      <c r="H1321" s="1">
        <v>3</v>
      </c>
      <c r="I1321" s="1">
        <v>1</v>
      </c>
      <c r="J1321" s="1">
        <v>5</v>
      </c>
      <c r="K1321" s="1">
        <v>6</v>
      </c>
      <c r="L1321" s="1">
        <v>13</v>
      </c>
      <c r="M1321" s="1">
        <v>72</v>
      </c>
      <c r="P1321">
        <v>0.26008110300081105</v>
      </c>
      <c r="Q1321">
        <v>0.52252314814814826</v>
      </c>
    </row>
    <row r="1322" spans="1:17">
      <c r="A1322" s="1">
        <v>25</v>
      </c>
      <c r="B1322" s="1">
        <v>0</v>
      </c>
      <c r="C1322" s="1">
        <v>1</v>
      </c>
      <c r="D1322" s="1">
        <v>1</v>
      </c>
      <c r="E1322" s="1">
        <v>0</v>
      </c>
      <c r="F1322" s="1">
        <v>10</v>
      </c>
      <c r="G1322" s="1">
        <v>6</v>
      </c>
      <c r="H1322" s="1">
        <v>2</v>
      </c>
      <c r="I1322" s="1">
        <v>1</v>
      </c>
      <c r="J1322" s="1">
        <v>4</v>
      </c>
      <c r="K1322" s="1">
        <v>4</v>
      </c>
      <c r="L1322" s="1">
        <v>13</v>
      </c>
      <c r="M1322" s="1">
        <v>72</v>
      </c>
      <c r="P1322">
        <v>4.9494457961611282E-2</v>
      </c>
      <c r="Q1322">
        <v>0.14178626543209882</v>
      </c>
    </row>
    <row r="1323" spans="1:17">
      <c r="A1323" s="1">
        <v>26</v>
      </c>
      <c r="B1323" s="1">
        <v>0</v>
      </c>
      <c r="C1323" s="1">
        <v>1</v>
      </c>
      <c r="D1323" s="1">
        <v>0</v>
      </c>
      <c r="E1323" s="1">
        <v>0</v>
      </c>
      <c r="F1323" s="1">
        <v>6</v>
      </c>
      <c r="G1323" s="1">
        <v>6</v>
      </c>
      <c r="H1323" s="1">
        <v>1</v>
      </c>
      <c r="I1323" s="1">
        <v>1</v>
      </c>
      <c r="J1323" s="1">
        <v>2</v>
      </c>
      <c r="K1323" s="1">
        <v>2</v>
      </c>
      <c r="L1323" s="1">
        <v>13</v>
      </c>
      <c r="M1323" s="1">
        <v>72</v>
      </c>
      <c r="P1323">
        <v>0.16737496620708303</v>
      </c>
      <c r="Q1323">
        <v>0.25584104938271596</v>
      </c>
    </row>
    <row r="1324" spans="1:17">
      <c r="A1324" s="1">
        <v>27</v>
      </c>
      <c r="B1324" s="1">
        <v>1</v>
      </c>
      <c r="C1324" s="1">
        <v>1</v>
      </c>
      <c r="D1324" s="1">
        <v>0</v>
      </c>
      <c r="E1324" s="1">
        <v>0</v>
      </c>
      <c r="F1324" s="1">
        <v>9</v>
      </c>
      <c r="G1324" s="1">
        <v>6</v>
      </c>
      <c r="H1324" s="1">
        <v>2</v>
      </c>
      <c r="I1324" s="1">
        <v>1</v>
      </c>
      <c r="J1324" s="1">
        <v>3</v>
      </c>
      <c r="K1324" s="1">
        <v>3</v>
      </c>
      <c r="L1324" s="1">
        <v>13</v>
      </c>
      <c r="M1324" s="1">
        <v>72</v>
      </c>
      <c r="P1324">
        <v>0.27503649635036509</v>
      </c>
      <c r="Q1324">
        <v>0.37093749999999998</v>
      </c>
    </row>
    <row r="1325" spans="1:17">
      <c r="A1325" s="1">
        <v>28</v>
      </c>
      <c r="B1325" s="1">
        <v>1</v>
      </c>
      <c r="C1325" s="1">
        <v>1</v>
      </c>
      <c r="D1325" s="1">
        <v>0</v>
      </c>
      <c r="E1325" s="1">
        <v>0</v>
      </c>
      <c r="F1325" s="1">
        <v>7</v>
      </c>
      <c r="G1325" s="1">
        <v>6</v>
      </c>
      <c r="H1325" s="1">
        <v>2</v>
      </c>
      <c r="I1325" s="1">
        <v>1</v>
      </c>
      <c r="J1325" s="1">
        <v>3</v>
      </c>
      <c r="K1325" s="1">
        <v>3</v>
      </c>
      <c r="L1325" s="1">
        <v>13</v>
      </c>
      <c r="M1325" s="1">
        <v>72</v>
      </c>
      <c r="P1325">
        <v>0.22065423087320896</v>
      </c>
      <c r="Q1325">
        <v>0.42978395061728386</v>
      </c>
    </row>
    <row r="1326" spans="1:17">
      <c r="A1326" s="1">
        <v>29</v>
      </c>
      <c r="B1326" s="1">
        <v>1</v>
      </c>
      <c r="C1326" s="1">
        <v>1</v>
      </c>
      <c r="D1326" s="1">
        <v>1</v>
      </c>
      <c r="E1326" s="1">
        <v>0</v>
      </c>
      <c r="F1326" s="1">
        <v>23</v>
      </c>
      <c r="G1326" s="1">
        <v>18</v>
      </c>
      <c r="H1326" s="1">
        <v>3</v>
      </c>
      <c r="I1326" s="1">
        <v>1</v>
      </c>
      <c r="J1326" s="1">
        <v>6</v>
      </c>
      <c r="K1326" s="1">
        <v>7</v>
      </c>
      <c r="L1326" s="1">
        <v>13</v>
      </c>
      <c r="M1326" s="1">
        <v>72</v>
      </c>
      <c r="P1326">
        <v>0.25897269532306033</v>
      </c>
      <c r="Q1326">
        <v>0.43758873456790109</v>
      </c>
    </row>
    <row r="1327" spans="1:17">
      <c r="A1327" s="1">
        <v>30</v>
      </c>
      <c r="B1327" s="1">
        <v>0</v>
      </c>
      <c r="C1327" s="1">
        <v>1</v>
      </c>
      <c r="D1327" s="1">
        <v>0</v>
      </c>
      <c r="E1327" s="1">
        <v>0</v>
      </c>
      <c r="F1327" s="1">
        <v>4</v>
      </c>
      <c r="G1327" s="1">
        <v>6</v>
      </c>
      <c r="H1327" s="1">
        <v>1</v>
      </c>
      <c r="I1327" s="1">
        <v>1</v>
      </c>
      <c r="J1327" s="1">
        <v>2</v>
      </c>
      <c r="K1327" s="1">
        <v>2</v>
      </c>
      <c r="L1327" s="1">
        <v>13</v>
      </c>
      <c r="M1327" s="1">
        <v>72</v>
      </c>
      <c r="P1327">
        <v>9.5831305758312987E-2</v>
      </c>
      <c r="Q1327">
        <v>0.25060185185185208</v>
      </c>
    </row>
    <row r="1328" spans="1:17">
      <c r="A1328" s="1">
        <v>31</v>
      </c>
      <c r="B1328" s="1">
        <v>1</v>
      </c>
      <c r="C1328" s="1">
        <v>0</v>
      </c>
      <c r="D1328" s="1">
        <v>0</v>
      </c>
      <c r="E1328" s="1">
        <v>1</v>
      </c>
      <c r="F1328" s="1">
        <v>3</v>
      </c>
      <c r="G1328" s="1">
        <v>6</v>
      </c>
      <c r="H1328" s="1">
        <v>1</v>
      </c>
      <c r="I1328" s="1">
        <v>1</v>
      </c>
      <c r="J1328" s="1">
        <v>1</v>
      </c>
      <c r="K1328" s="1">
        <v>1</v>
      </c>
      <c r="L1328" s="1">
        <v>13</v>
      </c>
      <c r="M1328" s="1">
        <v>72</v>
      </c>
      <c r="P1328">
        <v>0.19819275479859427</v>
      </c>
      <c r="Q1328">
        <v>0.30501350308641967</v>
      </c>
    </row>
    <row r="1329" spans="1:17">
      <c r="A1329" s="1">
        <v>32</v>
      </c>
      <c r="B1329" s="1">
        <v>1</v>
      </c>
      <c r="C1329" s="1">
        <v>1</v>
      </c>
      <c r="D1329" s="1">
        <v>1</v>
      </c>
      <c r="E1329" s="1">
        <v>1</v>
      </c>
      <c r="F1329" s="1">
        <v>13</v>
      </c>
      <c r="G1329" s="1">
        <v>6</v>
      </c>
      <c r="H1329" s="1">
        <v>3</v>
      </c>
      <c r="I1329" s="1">
        <v>1</v>
      </c>
      <c r="J1329" s="1">
        <v>5</v>
      </c>
      <c r="K1329" s="1">
        <v>5</v>
      </c>
      <c r="L1329" s="1">
        <v>13</v>
      </c>
      <c r="M1329" s="1">
        <v>72</v>
      </c>
      <c r="P1329">
        <v>0.19722087050554207</v>
      </c>
      <c r="Q1329">
        <v>0.30989969135802459</v>
      </c>
    </row>
    <row r="1330" spans="1:17">
      <c r="A1330" s="1">
        <v>33</v>
      </c>
      <c r="B1330" s="1">
        <v>0</v>
      </c>
      <c r="C1330" s="1">
        <v>1</v>
      </c>
      <c r="D1330" s="1">
        <v>1</v>
      </c>
      <c r="E1330" s="1">
        <v>0</v>
      </c>
      <c r="F1330" s="1">
        <v>12</v>
      </c>
      <c r="G1330" s="1">
        <v>6</v>
      </c>
      <c r="H1330" s="1">
        <v>2</v>
      </c>
      <c r="I1330" s="1">
        <v>1</v>
      </c>
      <c r="J1330" s="1">
        <v>4</v>
      </c>
      <c r="K1330" s="1">
        <v>4</v>
      </c>
      <c r="L1330" s="1">
        <v>13</v>
      </c>
      <c r="M1330" s="1">
        <v>72</v>
      </c>
      <c r="P1330">
        <v>0.17575020275750214</v>
      </c>
      <c r="Q1330">
        <v>0.4427662037037039</v>
      </c>
    </row>
    <row r="1331" spans="1:17">
      <c r="A1331" s="1">
        <v>34</v>
      </c>
      <c r="B1331" s="1">
        <v>0</v>
      </c>
      <c r="C1331" s="1">
        <v>1</v>
      </c>
      <c r="D1331" s="1">
        <v>1</v>
      </c>
      <c r="E1331" s="1">
        <v>1</v>
      </c>
      <c r="F1331" s="1">
        <v>10</v>
      </c>
      <c r="G1331" s="1">
        <v>6</v>
      </c>
      <c r="H1331" s="1">
        <v>2</v>
      </c>
      <c r="I1331" s="1">
        <v>1</v>
      </c>
      <c r="J1331" s="1">
        <v>4</v>
      </c>
      <c r="K1331" s="1">
        <v>4</v>
      </c>
      <c r="L1331" s="1">
        <v>13</v>
      </c>
      <c r="M1331" s="1">
        <v>72</v>
      </c>
      <c r="P1331">
        <v>0.19016761286834291</v>
      </c>
      <c r="Q1331">
        <v>0.31758873456790121</v>
      </c>
    </row>
    <row r="1332" spans="1:17">
      <c r="A1332" s="1">
        <v>35</v>
      </c>
      <c r="B1332" s="1">
        <v>1</v>
      </c>
      <c r="C1332" s="1">
        <v>1</v>
      </c>
      <c r="D1332" s="1">
        <v>0</v>
      </c>
      <c r="E1332" s="1">
        <v>1</v>
      </c>
      <c r="F1332" s="1">
        <v>8</v>
      </c>
      <c r="G1332" s="1">
        <v>6</v>
      </c>
      <c r="H1332" s="1">
        <v>2</v>
      </c>
      <c r="I1332" s="1">
        <v>1</v>
      </c>
      <c r="J1332" s="1">
        <v>3</v>
      </c>
      <c r="K1332" s="1">
        <v>3</v>
      </c>
      <c r="L1332" s="1">
        <v>13</v>
      </c>
      <c r="M1332" s="1">
        <v>72</v>
      </c>
      <c r="P1332">
        <v>0.28773587456069205</v>
      </c>
      <c r="Q1332">
        <v>0.4755999228395062</v>
      </c>
    </row>
    <row r="1333" spans="1:17">
      <c r="A1333" s="1">
        <v>36</v>
      </c>
      <c r="B1333" s="1">
        <v>1</v>
      </c>
      <c r="C1333" s="1">
        <v>1</v>
      </c>
      <c r="D1333" s="1">
        <v>1</v>
      </c>
      <c r="E1333" s="1">
        <v>1</v>
      </c>
      <c r="F1333" s="1">
        <v>20</v>
      </c>
      <c r="G1333" s="1">
        <v>18</v>
      </c>
      <c r="H1333" s="1">
        <v>3</v>
      </c>
      <c r="I1333" s="1">
        <v>1</v>
      </c>
      <c r="J1333" s="1">
        <v>6</v>
      </c>
      <c r="K1333" s="1">
        <v>7</v>
      </c>
      <c r="L1333" s="1">
        <v>13</v>
      </c>
      <c r="M1333" s="1">
        <v>72</v>
      </c>
      <c r="P1333">
        <v>0.19771289537712891</v>
      </c>
      <c r="Q1333">
        <v>0.35652777777777778</v>
      </c>
    </row>
    <row r="1334" spans="1:17">
      <c r="A1334" s="1">
        <v>37</v>
      </c>
      <c r="B1334" s="1">
        <v>1</v>
      </c>
      <c r="C1334" s="1">
        <v>1</v>
      </c>
      <c r="D1334" s="1">
        <v>1</v>
      </c>
      <c r="E1334" s="1">
        <v>1</v>
      </c>
      <c r="F1334" s="1">
        <v>23</v>
      </c>
      <c r="G1334" s="1">
        <v>18</v>
      </c>
      <c r="H1334" s="1">
        <v>3</v>
      </c>
      <c r="I1334" s="1">
        <v>1</v>
      </c>
      <c r="J1334" s="1">
        <v>6</v>
      </c>
      <c r="K1334" s="1">
        <v>7</v>
      </c>
      <c r="L1334" s="1">
        <v>13</v>
      </c>
      <c r="M1334" s="1">
        <v>72</v>
      </c>
      <c r="P1334">
        <v>0.15075560962422282</v>
      </c>
      <c r="Q1334">
        <v>0.27391396604938278</v>
      </c>
    </row>
    <row r="1335" spans="1:17">
      <c r="A1335" s="1">
        <v>38</v>
      </c>
      <c r="B1335" s="1">
        <v>0</v>
      </c>
      <c r="C1335" s="1">
        <v>1</v>
      </c>
      <c r="D1335" s="1">
        <v>0</v>
      </c>
      <c r="E1335" s="1">
        <v>1</v>
      </c>
      <c r="F1335" s="1">
        <v>4</v>
      </c>
      <c r="G1335" s="1">
        <v>6</v>
      </c>
      <c r="H1335" s="1">
        <v>1</v>
      </c>
      <c r="I1335" s="1">
        <v>1</v>
      </c>
      <c r="J1335" s="1">
        <v>2</v>
      </c>
      <c r="K1335" s="1">
        <v>2</v>
      </c>
      <c r="L1335" s="1">
        <v>13</v>
      </c>
      <c r="M1335" s="1">
        <v>72</v>
      </c>
      <c r="P1335">
        <v>0.10160854284941881</v>
      </c>
      <c r="Q1335">
        <v>0.19442515432098767</v>
      </c>
    </row>
    <row r="1336" spans="1:17">
      <c r="A1336" s="1">
        <v>39</v>
      </c>
      <c r="B1336" s="1">
        <v>1</v>
      </c>
      <c r="C1336" s="1">
        <v>1</v>
      </c>
      <c r="D1336" s="1">
        <v>1</v>
      </c>
      <c r="E1336" s="1">
        <v>1</v>
      </c>
      <c r="F1336" s="1">
        <v>22</v>
      </c>
      <c r="G1336" s="1">
        <v>18</v>
      </c>
      <c r="H1336" s="1">
        <v>3</v>
      </c>
      <c r="I1336" s="1">
        <v>1</v>
      </c>
      <c r="J1336" s="1">
        <v>6</v>
      </c>
      <c r="K1336" s="1">
        <v>7</v>
      </c>
      <c r="L1336" s="1">
        <v>13</v>
      </c>
      <c r="M1336" s="1">
        <v>72</v>
      </c>
      <c r="P1336">
        <v>0.16924979724249797</v>
      </c>
      <c r="Q1336">
        <v>0.27326967592592588</v>
      </c>
    </row>
    <row r="1337" spans="1:17">
      <c r="A1337" s="1">
        <v>40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1</v>
      </c>
      <c r="J1337" s="1">
        <v>0</v>
      </c>
      <c r="K1337" s="1">
        <v>0</v>
      </c>
      <c r="L1337" s="1">
        <v>13</v>
      </c>
      <c r="M1337" s="1">
        <v>72</v>
      </c>
      <c r="P1337">
        <v>0.13668018383346855</v>
      </c>
      <c r="Q1337">
        <v>0.2786496913580247</v>
      </c>
    </row>
    <row r="1338" spans="1:17">
      <c r="A1338" s="1">
        <v>41</v>
      </c>
      <c r="B1338" s="1">
        <v>1</v>
      </c>
      <c r="C1338" s="1">
        <v>1</v>
      </c>
      <c r="D1338" s="1">
        <v>0</v>
      </c>
      <c r="E1338" s="1">
        <v>1</v>
      </c>
      <c r="F1338" s="1">
        <v>9</v>
      </c>
      <c r="G1338" s="1">
        <v>6</v>
      </c>
      <c r="H1338" s="1">
        <v>2</v>
      </c>
      <c r="I1338" s="1">
        <v>1</v>
      </c>
      <c r="J1338" s="1">
        <v>3</v>
      </c>
      <c r="K1338" s="1">
        <v>3</v>
      </c>
      <c r="L1338" s="1">
        <v>13</v>
      </c>
      <c r="M1338" s="1">
        <v>72</v>
      </c>
      <c r="P1338">
        <v>0.22716004325493377</v>
      </c>
      <c r="Q1338">
        <v>0.39658371913580259</v>
      </c>
    </row>
    <row r="1339" spans="1:17">
      <c r="A1339" s="1">
        <v>42</v>
      </c>
      <c r="B1339" s="1">
        <v>0</v>
      </c>
      <c r="C1339" s="1">
        <v>0</v>
      </c>
      <c r="D1339" s="1">
        <v>0</v>
      </c>
      <c r="E1339" s="1">
        <v>1</v>
      </c>
      <c r="F1339" s="1">
        <v>0</v>
      </c>
      <c r="G1339" s="1">
        <v>0</v>
      </c>
      <c r="H1339" s="1">
        <v>0</v>
      </c>
      <c r="I1339" s="1">
        <v>1</v>
      </c>
      <c r="J1339" s="1">
        <v>0</v>
      </c>
      <c r="K1339" s="1">
        <v>0</v>
      </c>
      <c r="L1339" s="1">
        <v>13</v>
      </c>
      <c r="M1339" s="1">
        <v>72</v>
      </c>
      <c r="P1339">
        <v>0.13202757502027584</v>
      </c>
      <c r="Q1339">
        <v>0.30771990740740757</v>
      </c>
    </row>
    <row r="1340" spans="1:17">
      <c r="A1340" s="1">
        <v>43</v>
      </c>
      <c r="B1340" s="1">
        <v>1</v>
      </c>
      <c r="C1340" s="1">
        <v>1</v>
      </c>
      <c r="D1340" s="1">
        <v>0</v>
      </c>
      <c r="E1340" s="1">
        <v>1</v>
      </c>
      <c r="F1340" s="1">
        <v>7</v>
      </c>
      <c r="G1340" s="1">
        <v>6</v>
      </c>
      <c r="H1340" s="1">
        <v>2</v>
      </c>
      <c r="I1340" s="1">
        <v>1</v>
      </c>
      <c r="J1340" s="1">
        <v>3</v>
      </c>
      <c r="K1340" s="1">
        <v>3</v>
      </c>
      <c r="L1340" s="1">
        <v>13</v>
      </c>
      <c r="M1340" s="1">
        <v>72</v>
      </c>
      <c r="P1340">
        <v>0.24127466882941337</v>
      </c>
      <c r="Q1340">
        <v>0.3980227623456789</v>
      </c>
    </row>
    <row r="1341" spans="1:17">
      <c r="A1341" s="1">
        <v>44</v>
      </c>
      <c r="B1341" s="1">
        <v>0</v>
      </c>
      <c r="C1341" s="1">
        <v>1</v>
      </c>
      <c r="D1341" s="1">
        <v>0</v>
      </c>
      <c r="E1341" s="1">
        <v>0</v>
      </c>
      <c r="F1341" s="1">
        <v>5</v>
      </c>
      <c r="G1341" s="1">
        <v>6</v>
      </c>
      <c r="H1341" s="1">
        <v>1</v>
      </c>
      <c r="I1341" s="1">
        <v>1</v>
      </c>
      <c r="J1341" s="1">
        <v>2</v>
      </c>
      <c r="K1341" s="1">
        <v>2</v>
      </c>
      <c r="L1341" s="1">
        <v>13</v>
      </c>
      <c r="M1341" s="1">
        <v>72</v>
      </c>
      <c r="P1341">
        <v>8.630440659637742E-2</v>
      </c>
      <c r="Q1341">
        <v>0.21611882716049385</v>
      </c>
    </row>
    <row r="1342" spans="1:17">
      <c r="A1342" s="1">
        <v>45</v>
      </c>
      <c r="B1342" s="1">
        <v>0</v>
      </c>
      <c r="C1342" s="1">
        <v>1</v>
      </c>
      <c r="D1342" s="1">
        <v>0</v>
      </c>
      <c r="E1342" s="1">
        <v>1</v>
      </c>
      <c r="F1342" s="1">
        <v>5</v>
      </c>
      <c r="G1342" s="1">
        <v>6</v>
      </c>
      <c r="H1342" s="1">
        <v>1</v>
      </c>
      <c r="I1342" s="1">
        <v>1</v>
      </c>
      <c r="J1342" s="1">
        <v>2</v>
      </c>
      <c r="K1342" s="1">
        <v>2</v>
      </c>
      <c r="L1342" s="1">
        <v>13</v>
      </c>
      <c r="M1342" s="1">
        <v>72</v>
      </c>
      <c r="P1342">
        <v>8.3126520681265276E-2</v>
      </c>
      <c r="Q1342">
        <v>0.18800347222222227</v>
      </c>
    </row>
    <row r="1343" spans="1:17">
      <c r="A1343" s="1">
        <v>46</v>
      </c>
      <c r="B1343" s="1">
        <v>0</v>
      </c>
      <c r="C1343" s="1">
        <v>1</v>
      </c>
      <c r="D1343" s="1">
        <v>0</v>
      </c>
      <c r="E1343" s="1">
        <v>1</v>
      </c>
      <c r="F1343" s="1">
        <v>6</v>
      </c>
      <c r="G1343" s="1">
        <v>6</v>
      </c>
      <c r="H1343" s="1">
        <v>1</v>
      </c>
      <c r="I1343" s="1">
        <v>1</v>
      </c>
      <c r="J1343" s="1">
        <v>2</v>
      </c>
      <c r="K1343" s="1">
        <v>2</v>
      </c>
      <c r="L1343" s="1">
        <v>13</v>
      </c>
      <c r="M1343" s="1">
        <v>72</v>
      </c>
      <c r="P1343">
        <v>0.19383346850500149</v>
      </c>
      <c r="Q1343">
        <v>0.28143132716049374</v>
      </c>
    </row>
    <row r="1344" spans="1:17">
      <c r="A1344" s="1">
        <v>47</v>
      </c>
      <c r="B1344" s="1">
        <v>1</v>
      </c>
      <c r="C1344" s="1">
        <v>1</v>
      </c>
      <c r="D1344" s="1">
        <v>1</v>
      </c>
      <c r="E1344" s="1">
        <v>1</v>
      </c>
      <c r="F1344" s="1">
        <v>16</v>
      </c>
      <c r="G1344" s="1">
        <v>6</v>
      </c>
      <c r="H1344" s="1">
        <v>3</v>
      </c>
      <c r="I1344" s="1">
        <v>1</v>
      </c>
      <c r="J1344" s="1">
        <v>5</v>
      </c>
      <c r="K1344" s="1">
        <v>6</v>
      </c>
      <c r="L1344" s="1">
        <v>13</v>
      </c>
      <c r="M1344" s="1">
        <v>72</v>
      </c>
      <c r="P1344">
        <v>0.22497837253311703</v>
      </c>
      <c r="Q1344">
        <v>0.41340084876543209</v>
      </c>
    </row>
    <row r="1345" spans="1:17">
      <c r="A1345" s="1">
        <v>48</v>
      </c>
      <c r="B1345" s="1">
        <v>0</v>
      </c>
      <c r="C1345" s="1">
        <v>1</v>
      </c>
      <c r="D1345" s="1">
        <v>1</v>
      </c>
      <c r="E1345" s="1">
        <v>1</v>
      </c>
      <c r="F1345" s="1">
        <v>12</v>
      </c>
      <c r="G1345" s="1">
        <v>6</v>
      </c>
      <c r="H1345" s="1">
        <v>2</v>
      </c>
      <c r="I1345" s="1">
        <v>1</v>
      </c>
      <c r="J1345" s="1">
        <v>4</v>
      </c>
      <c r="K1345" s="1">
        <v>4</v>
      </c>
      <c r="L1345" s="1">
        <v>13</v>
      </c>
      <c r="M1345" s="1">
        <v>72</v>
      </c>
      <c r="P1345">
        <v>0.18459042984590432</v>
      </c>
      <c r="Q1345">
        <v>0.34849537037037037</v>
      </c>
    </row>
    <row r="1346" spans="1:17">
      <c r="A1346" s="1">
        <v>49</v>
      </c>
      <c r="B1346" s="1">
        <v>1</v>
      </c>
      <c r="C1346" s="1">
        <v>0</v>
      </c>
      <c r="D1346" s="1">
        <v>0</v>
      </c>
      <c r="E1346" s="1">
        <v>1</v>
      </c>
      <c r="F1346" s="1">
        <v>2</v>
      </c>
      <c r="G1346" s="1">
        <v>6</v>
      </c>
      <c r="H1346" s="1">
        <v>1</v>
      </c>
      <c r="I1346" s="1">
        <v>1</v>
      </c>
      <c r="J1346" s="1">
        <v>1</v>
      </c>
      <c r="K1346" s="1">
        <v>1</v>
      </c>
      <c r="L1346" s="1">
        <v>13</v>
      </c>
      <c r="M1346" s="1">
        <v>72</v>
      </c>
      <c r="P1346">
        <v>0.16391051635577186</v>
      </c>
      <c r="Q1346">
        <v>0.27108989197530853</v>
      </c>
    </row>
    <row r="1347" spans="1:17">
      <c r="A1347" s="1">
        <v>50</v>
      </c>
      <c r="B1347" s="1">
        <v>1</v>
      </c>
      <c r="C1347" s="1">
        <v>1</v>
      </c>
      <c r="D1347" s="1">
        <v>1</v>
      </c>
      <c r="E1347" s="1">
        <v>1</v>
      </c>
      <c r="F1347" s="1">
        <v>17</v>
      </c>
      <c r="G1347" s="1">
        <v>6</v>
      </c>
      <c r="H1347" s="1">
        <v>3</v>
      </c>
      <c r="I1347" s="1">
        <v>1</v>
      </c>
      <c r="J1347" s="1">
        <v>5</v>
      </c>
      <c r="K1347" s="1">
        <v>6</v>
      </c>
      <c r="L1347" s="1">
        <v>13</v>
      </c>
      <c r="M1347" s="1">
        <v>72</v>
      </c>
      <c r="P1347">
        <v>0.19943498242768318</v>
      </c>
      <c r="Q1347">
        <v>0.32493441358024688</v>
      </c>
    </row>
    <row r="1348" spans="1:17">
      <c r="A1348" s="1">
        <v>51</v>
      </c>
      <c r="B1348" s="1">
        <v>0</v>
      </c>
      <c r="C1348" s="1">
        <v>1</v>
      </c>
      <c r="D1348" s="1">
        <v>1</v>
      </c>
      <c r="E1348" s="1">
        <v>0</v>
      </c>
      <c r="F1348" s="1">
        <v>11</v>
      </c>
      <c r="G1348" s="1">
        <v>6</v>
      </c>
      <c r="H1348" s="1">
        <v>2</v>
      </c>
      <c r="I1348" s="1">
        <v>1</v>
      </c>
      <c r="J1348" s="1">
        <v>4</v>
      </c>
      <c r="K1348" s="1">
        <v>4</v>
      </c>
      <c r="L1348" s="1">
        <v>13</v>
      </c>
      <c r="M1348" s="1">
        <v>72</v>
      </c>
      <c r="P1348">
        <v>8.7380373073803724E-2</v>
      </c>
      <c r="Q1348">
        <v>0.24054398148148137</v>
      </c>
    </row>
    <row r="1349" spans="1:17">
      <c r="A1349" s="1">
        <v>52</v>
      </c>
      <c r="B1349" s="1">
        <v>0</v>
      </c>
      <c r="C1349" s="1">
        <v>1</v>
      </c>
      <c r="D1349" s="1">
        <v>1</v>
      </c>
      <c r="E1349" s="1">
        <v>1</v>
      </c>
      <c r="F1349" s="1">
        <v>11</v>
      </c>
      <c r="G1349" s="1">
        <v>6</v>
      </c>
      <c r="H1349" s="1">
        <v>2</v>
      </c>
      <c r="I1349" s="1">
        <v>1</v>
      </c>
      <c r="J1349" s="1">
        <v>4</v>
      </c>
      <c r="K1349" s="1">
        <v>4</v>
      </c>
      <c r="L1349" s="1">
        <v>13</v>
      </c>
      <c r="M1349" s="1">
        <v>72</v>
      </c>
      <c r="P1349">
        <v>0.12595836712625036</v>
      </c>
      <c r="Q1349">
        <v>0.2628317901234567</v>
      </c>
    </row>
    <row r="1350" spans="1:17">
      <c r="A1350" s="1">
        <v>53</v>
      </c>
      <c r="B1350" s="1">
        <v>1</v>
      </c>
      <c r="C1350" s="1">
        <v>1</v>
      </c>
      <c r="D1350" s="1">
        <v>1</v>
      </c>
      <c r="E1350" s="1">
        <v>1</v>
      </c>
      <c r="F1350" s="1">
        <v>15</v>
      </c>
      <c r="G1350" s="1">
        <v>6</v>
      </c>
      <c r="H1350" s="1">
        <v>3</v>
      </c>
      <c r="I1350" s="1">
        <v>1</v>
      </c>
      <c r="J1350" s="1">
        <v>5</v>
      </c>
      <c r="K1350" s="1">
        <v>5</v>
      </c>
      <c r="L1350" s="1">
        <v>13</v>
      </c>
      <c r="M1350" s="1">
        <v>72</v>
      </c>
      <c r="P1350">
        <v>0.19943903757772374</v>
      </c>
      <c r="Q1350">
        <v>0.32605131172839513</v>
      </c>
    </row>
    <row r="1351" spans="1:17">
      <c r="A1351" s="1">
        <v>54</v>
      </c>
      <c r="B1351" s="1">
        <v>1</v>
      </c>
      <c r="C1351" s="1">
        <v>1</v>
      </c>
      <c r="D1351" s="1">
        <v>1</v>
      </c>
      <c r="E1351" s="1">
        <v>1</v>
      </c>
      <c r="F1351" s="1">
        <v>19</v>
      </c>
      <c r="G1351" s="1">
        <v>6</v>
      </c>
      <c r="H1351" s="1">
        <v>3</v>
      </c>
      <c r="I1351" s="1">
        <v>1</v>
      </c>
      <c r="J1351" s="1">
        <v>5</v>
      </c>
      <c r="K1351" s="1">
        <v>6</v>
      </c>
      <c r="L1351" s="1">
        <v>13</v>
      </c>
      <c r="M1351" s="1">
        <v>72</v>
      </c>
      <c r="P1351">
        <v>0.17583941605839423</v>
      </c>
      <c r="Q1351">
        <v>0.28718749999999998</v>
      </c>
    </row>
    <row r="1352" spans="1:17">
      <c r="A1352" s="1">
        <v>55</v>
      </c>
      <c r="B1352" s="1">
        <v>0</v>
      </c>
      <c r="C1352" s="1">
        <v>1</v>
      </c>
      <c r="D1352" s="1">
        <v>1</v>
      </c>
      <c r="E1352" s="1">
        <v>0</v>
      </c>
      <c r="F1352" s="1">
        <v>11</v>
      </c>
      <c r="G1352" s="1">
        <v>6</v>
      </c>
      <c r="H1352" s="1">
        <v>2</v>
      </c>
      <c r="I1352" s="1">
        <v>2</v>
      </c>
      <c r="J1352" s="1">
        <v>4</v>
      </c>
      <c r="K1352" s="1">
        <v>4</v>
      </c>
      <c r="L1352" s="1">
        <v>13</v>
      </c>
      <c r="M1352" s="1">
        <v>72</v>
      </c>
      <c r="P1352">
        <v>0.13408488780751557</v>
      </c>
      <c r="Q1352">
        <v>0.26134645061728407</v>
      </c>
    </row>
    <row r="1353" spans="1:17">
      <c r="A1353" s="1">
        <v>56</v>
      </c>
      <c r="B1353" s="1">
        <v>0</v>
      </c>
      <c r="C1353" s="1">
        <v>1</v>
      </c>
      <c r="D1353" s="1">
        <v>1</v>
      </c>
      <c r="E1353" s="1">
        <v>0</v>
      </c>
      <c r="F1353" s="1">
        <v>10</v>
      </c>
      <c r="G1353" s="1">
        <v>6</v>
      </c>
      <c r="H1353" s="1">
        <v>2</v>
      </c>
      <c r="I1353" s="1">
        <v>2</v>
      </c>
      <c r="J1353" s="1">
        <v>4</v>
      </c>
      <c r="K1353" s="1">
        <v>4</v>
      </c>
      <c r="L1353" s="1">
        <v>13</v>
      </c>
      <c r="M1353" s="1">
        <v>72</v>
      </c>
      <c r="P1353">
        <v>9.5031089483644263E-2</v>
      </c>
      <c r="Q1353">
        <v>0.18581790123456798</v>
      </c>
    </row>
    <row r="1354" spans="1:17">
      <c r="A1354" s="1">
        <v>57</v>
      </c>
      <c r="B1354" s="1">
        <v>1</v>
      </c>
      <c r="C1354" s="1">
        <v>1</v>
      </c>
      <c r="D1354" s="1">
        <v>1</v>
      </c>
      <c r="E1354" s="1">
        <v>0</v>
      </c>
      <c r="F1354" s="1">
        <v>20</v>
      </c>
      <c r="G1354" s="1">
        <v>18</v>
      </c>
      <c r="H1354" s="1">
        <v>3</v>
      </c>
      <c r="I1354" s="1">
        <v>2</v>
      </c>
      <c r="J1354" s="1">
        <v>6</v>
      </c>
      <c r="K1354" s="1">
        <v>7</v>
      </c>
      <c r="L1354" s="1">
        <v>13</v>
      </c>
      <c r="M1354" s="1">
        <v>72</v>
      </c>
      <c r="P1354">
        <v>0.18444444444444436</v>
      </c>
      <c r="Q1354">
        <v>0.36133101851851851</v>
      </c>
    </row>
    <row r="1355" spans="1:17">
      <c r="A1355" s="1">
        <v>58</v>
      </c>
      <c r="B1355" s="1">
        <v>1</v>
      </c>
      <c r="C1355" s="1">
        <v>1</v>
      </c>
      <c r="D1355" s="1">
        <v>1</v>
      </c>
      <c r="E1355" s="1">
        <v>0</v>
      </c>
      <c r="F1355" s="1">
        <v>25</v>
      </c>
      <c r="G1355" s="1">
        <v>18</v>
      </c>
      <c r="H1355" s="1">
        <v>3</v>
      </c>
      <c r="I1355" s="1">
        <v>2</v>
      </c>
      <c r="J1355" s="1">
        <v>6</v>
      </c>
      <c r="K1355" s="1">
        <v>7</v>
      </c>
      <c r="L1355" s="1">
        <v>13</v>
      </c>
      <c r="M1355" s="1">
        <v>72</v>
      </c>
      <c r="P1355">
        <v>0.22933225195998935</v>
      </c>
      <c r="Q1355">
        <v>0.42538580246913593</v>
      </c>
    </row>
    <row r="1356" spans="1:17">
      <c r="A1356" s="1">
        <v>59</v>
      </c>
      <c r="B1356" s="1">
        <v>1</v>
      </c>
      <c r="C1356" s="1">
        <v>1</v>
      </c>
      <c r="D1356" s="1">
        <v>1</v>
      </c>
      <c r="E1356" s="1">
        <v>0</v>
      </c>
      <c r="F1356" s="1">
        <v>17</v>
      </c>
      <c r="G1356" s="1">
        <v>6</v>
      </c>
      <c r="H1356" s="1">
        <v>3</v>
      </c>
      <c r="I1356" s="1">
        <v>2</v>
      </c>
      <c r="J1356" s="1">
        <v>5</v>
      </c>
      <c r="K1356" s="1">
        <v>6</v>
      </c>
      <c r="L1356" s="1">
        <v>13</v>
      </c>
      <c r="M1356" s="1">
        <v>72</v>
      </c>
      <c r="P1356">
        <v>0.2019572857529062</v>
      </c>
      <c r="Q1356">
        <v>0.32173225308641973</v>
      </c>
    </row>
    <row r="1357" spans="1:17">
      <c r="A1357" s="1">
        <v>60</v>
      </c>
      <c r="B1357" s="1">
        <v>1</v>
      </c>
      <c r="C1357" s="1">
        <v>1</v>
      </c>
      <c r="D1357" s="1">
        <v>1</v>
      </c>
      <c r="E1357" s="1">
        <v>0</v>
      </c>
      <c r="F1357" s="1">
        <v>23</v>
      </c>
      <c r="G1357" s="1">
        <v>18</v>
      </c>
      <c r="H1357" s="1">
        <v>3</v>
      </c>
      <c r="I1357" s="1">
        <v>2</v>
      </c>
      <c r="J1357" s="1">
        <v>6</v>
      </c>
      <c r="K1357" s="1">
        <v>7</v>
      </c>
      <c r="L1357" s="1">
        <v>13</v>
      </c>
      <c r="M1357" s="1">
        <v>72</v>
      </c>
      <c r="P1357">
        <v>0.21399837793998377</v>
      </c>
      <c r="Q1357">
        <v>0.38057870370370389</v>
      </c>
    </row>
    <row r="1358" spans="1:17">
      <c r="A1358" s="1">
        <v>61</v>
      </c>
      <c r="B1358" s="1">
        <v>0</v>
      </c>
      <c r="C1358" s="1">
        <v>1</v>
      </c>
      <c r="D1358" s="1">
        <v>0</v>
      </c>
      <c r="E1358" s="1">
        <v>0</v>
      </c>
      <c r="F1358" s="1">
        <v>6</v>
      </c>
      <c r="G1358" s="1">
        <v>6</v>
      </c>
      <c r="H1358" s="1">
        <v>1</v>
      </c>
      <c r="I1358" s="1">
        <v>2</v>
      </c>
      <c r="J1358" s="1">
        <v>2</v>
      </c>
      <c r="K1358" s="1">
        <v>2</v>
      </c>
      <c r="L1358" s="1">
        <v>13</v>
      </c>
      <c r="M1358" s="1">
        <v>72</v>
      </c>
      <c r="P1358">
        <v>8.5163557718302238E-2</v>
      </c>
      <c r="Q1358">
        <v>0.22796682098765453</v>
      </c>
    </row>
    <row r="1359" spans="1:17">
      <c r="A1359" s="1">
        <v>62</v>
      </c>
      <c r="B1359" s="1">
        <v>0</v>
      </c>
      <c r="C1359" s="1">
        <v>1</v>
      </c>
      <c r="D1359" s="1">
        <v>0</v>
      </c>
      <c r="E1359" s="1">
        <v>0</v>
      </c>
      <c r="F1359" s="1">
        <v>5</v>
      </c>
      <c r="G1359" s="1">
        <v>6</v>
      </c>
      <c r="H1359" s="1">
        <v>1</v>
      </c>
      <c r="I1359" s="1">
        <v>2</v>
      </c>
      <c r="J1359" s="1">
        <v>2</v>
      </c>
      <c r="K1359" s="1">
        <v>2</v>
      </c>
      <c r="L1359" s="1">
        <v>13</v>
      </c>
      <c r="M1359" s="1">
        <v>72</v>
      </c>
      <c r="P1359">
        <v>7.5306839686401728E-2</v>
      </c>
      <c r="Q1359">
        <v>0.1868132716049383</v>
      </c>
    </row>
    <row r="1360" spans="1:17">
      <c r="A1360" s="1">
        <v>63</v>
      </c>
      <c r="B1360" s="1">
        <v>0</v>
      </c>
      <c r="C1360" s="1">
        <v>1</v>
      </c>
      <c r="D1360" s="1">
        <v>0</v>
      </c>
      <c r="E1360" s="1">
        <v>1</v>
      </c>
      <c r="F1360" s="1">
        <v>5</v>
      </c>
      <c r="G1360" s="1">
        <v>6</v>
      </c>
      <c r="H1360" s="1">
        <v>1</v>
      </c>
      <c r="I1360" s="1">
        <v>2</v>
      </c>
      <c r="J1360" s="1">
        <v>2</v>
      </c>
      <c r="K1360" s="1">
        <v>2</v>
      </c>
      <c r="L1360" s="1">
        <v>13</v>
      </c>
      <c r="M1360" s="1">
        <v>72</v>
      </c>
      <c r="P1360">
        <v>0.15760340632603415</v>
      </c>
      <c r="Q1360">
        <v>0.30095486111111119</v>
      </c>
    </row>
    <row r="1361" spans="1:17">
      <c r="A1361" s="1">
        <v>64</v>
      </c>
      <c r="B1361" s="1">
        <v>1</v>
      </c>
      <c r="C1361" s="1">
        <v>1</v>
      </c>
      <c r="D1361" s="1">
        <v>0</v>
      </c>
      <c r="E1361" s="1">
        <v>0</v>
      </c>
      <c r="F1361" s="1">
        <v>9</v>
      </c>
      <c r="G1361" s="1">
        <v>6</v>
      </c>
      <c r="H1361" s="1">
        <v>2</v>
      </c>
      <c r="I1361" s="1">
        <v>2</v>
      </c>
      <c r="J1361" s="1">
        <v>3</v>
      </c>
      <c r="K1361" s="1">
        <v>3</v>
      </c>
      <c r="L1361" s="1">
        <v>13</v>
      </c>
      <c r="M1361" s="1">
        <v>72</v>
      </c>
      <c r="P1361">
        <v>0.15121384157880505</v>
      </c>
      <c r="Q1361">
        <v>0.25033950617283945</v>
      </c>
    </row>
    <row r="1362" spans="1:17">
      <c r="A1362" s="1">
        <v>65</v>
      </c>
      <c r="B1362" s="1">
        <v>1</v>
      </c>
      <c r="C1362" s="1">
        <v>1</v>
      </c>
      <c r="D1362" s="1">
        <v>1</v>
      </c>
      <c r="E1362" s="1">
        <v>0</v>
      </c>
      <c r="F1362" s="1">
        <v>15</v>
      </c>
      <c r="G1362" s="1">
        <v>6</v>
      </c>
      <c r="H1362" s="1">
        <v>3</v>
      </c>
      <c r="I1362" s="1">
        <v>2</v>
      </c>
      <c r="J1362" s="1">
        <v>5</v>
      </c>
      <c r="K1362" s="1">
        <v>5</v>
      </c>
      <c r="L1362" s="1">
        <v>13</v>
      </c>
      <c r="M1362" s="1">
        <v>72</v>
      </c>
      <c r="P1362">
        <v>0.18223303595566362</v>
      </c>
      <c r="Q1362">
        <v>0.37272762345679</v>
      </c>
    </row>
    <row r="1363" spans="1:17">
      <c r="A1363" s="1">
        <v>66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2</v>
      </c>
      <c r="J1363" s="1">
        <v>0</v>
      </c>
      <c r="K1363" s="1">
        <v>0</v>
      </c>
      <c r="L1363" s="1">
        <v>13</v>
      </c>
      <c r="M1363" s="1">
        <v>72</v>
      </c>
      <c r="P1363">
        <v>0.18916463909164635</v>
      </c>
      <c r="Q1363">
        <v>0.48261574074074076</v>
      </c>
    </row>
    <row r="1364" spans="1:17">
      <c r="A1364" s="1">
        <v>67</v>
      </c>
      <c r="B1364" s="1">
        <v>1</v>
      </c>
      <c r="C1364" s="1">
        <v>1</v>
      </c>
      <c r="D1364" s="1">
        <v>1</v>
      </c>
      <c r="E1364" s="1">
        <v>0</v>
      </c>
      <c r="F1364" s="1">
        <v>18</v>
      </c>
      <c r="G1364" s="1">
        <v>6</v>
      </c>
      <c r="H1364" s="1">
        <v>3</v>
      </c>
      <c r="I1364" s="1">
        <v>2</v>
      </c>
      <c r="J1364" s="1">
        <v>5</v>
      </c>
      <c r="K1364" s="1">
        <v>6</v>
      </c>
      <c r="L1364" s="1">
        <v>13</v>
      </c>
      <c r="M1364" s="1">
        <v>72</v>
      </c>
      <c r="P1364">
        <v>0.28222762908894306</v>
      </c>
      <c r="Q1364">
        <v>0.54667052469135802</v>
      </c>
    </row>
    <row r="1365" spans="1:17">
      <c r="A1365" s="1">
        <v>68</v>
      </c>
      <c r="B1365" s="1">
        <v>1</v>
      </c>
      <c r="C1365" s="1">
        <v>1</v>
      </c>
      <c r="D1365" s="1">
        <v>0</v>
      </c>
      <c r="E1365" s="1">
        <v>0</v>
      </c>
      <c r="F1365" s="1">
        <v>8</v>
      </c>
      <c r="G1365" s="1">
        <v>6</v>
      </c>
      <c r="H1365" s="1">
        <v>2</v>
      </c>
      <c r="I1365" s="1">
        <v>2</v>
      </c>
      <c r="J1365" s="1">
        <v>3</v>
      </c>
      <c r="K1365" s="1">
        <v>3</v>
      </c>
      <c r="L1365" s="1">
        <v>13</v>
      </c>
      <c r="M1365" s="1">
        <v>72</v>
      </c>
      <c r="P1365">
        <v>0.17967018113003513</v>
      </c>
      <c r="Q1365">
        <v>0.27114197530864192</v>
      </c>
    </row>
    <row r="1366" spans="1:17">
      <c r="A1366" s="1">
        <v>69</v>
      </c>
      <c r="B1366" s="1">
        <v>0</v>
      </c>
      <c r="C1366" s="1">
        <v>1</v>
      </c>
      <c r="D1366" s="1">
        <v>0</v>
      </c>
      <c r="E1366" s="1">
        <v>0</v>
      </c>
      <c r="F1366" s="1">
        <v>4</v>
      </c>
      <c r="G1366" s="1">
        <v>6</v>
      </c>
      <c r="H1366" s="1">
        <v>1</v>
      </c>
      <c r="I1366" s="1">
        <v>2</v>
      </c>
      <c r="J1366" s="1">
        <v>2</v>
      </c>
      <c r="K1366" s="1">
        <v>2</v>
      </c>
      <c r="L1366" s="1">
        <v>13</v>
      </c>
      <c r="M1366" s="1">
        <v>72</v>
      </c>
      <c r="P1366">
        <v>0.10193025141930254</v>
      </c>
      <c r="Q1366">
        <v>0.24457175925925928</v>
      </c>
    </row>
    <row r="1367" spans="1:17">
      <c r="A1367" s="1">
        <v>70</v>
      </c>
      <c r="B1367" s="1">
        <v>1</v>
      </c>
      <c r="C1367" s="1">
        <v>1</v>
      </c>
      <c r="D1367" s="1">
        <v>1</v>
      </c>
      <c r="E1367" s="1">
        <v>0</v>
      </c>
      <c r="F1367" s="1">
        <v>21</v>
      </c>
      <c r="G1367" s="1">
        <v>18</v>
      </c>
      <c r="H1367" s="1">
        <v>3</v>
      </c>
      <c r="I1367" s="1">
        <v>2</v>
      </c>
      <c r="J1367" s="1">
        <v>6</v>
      </c>
      <c r="K1367" s="1">
        <v>7</v>
      </c>
      <c r="L1367" s="1">
        <v>13</v>
      </c>
      <c r="M1367" s="1">
        <v>72</v>
      </c>
      <c r="P1367">
        <v>0.2606866720735333</v>
      </c>
      <c r="Q1367">
        <v>0.51591820987654324</v>
      </c>
    </row>
    <row r="1368" spans="1:17">
      <c r="A1368" s="1">
        <v>71</v>
      </c>
      <c r="B1368" s="1">
        <v>1</v>
      </c>
      <c r="C1368" s="1">
        <v>0</v>
      </c>
      <c r="D1368" s="1">
        <v>0</v>
      </c>
      <c r="E1368" s="1">
        <v>0</v>
      </c>
      <c r="F1368" s="1">
        <v>2</v>
      </c>
      <c r="G1368" s="1">
        <v>6</v>
      </c>
      <c r="H1368" s="1">
        <v>1</v>
      </c>
      <c r="I1368" s="1">
        <v>2</v>
      </c>
      <c r="J1368" s="1">
        <v>1</v>
      </c>
      <c r="K1368" s="1">
        <v>1</v>
      </c>
      <c r="L1368" s="1">
        <v>13</v>
      </c>
      <c r="M1368" s="1">
        <v>72</v>
      </c>
      <c r="P1368">
        <v>0.14572046499053806</v>
      </c>
      <c r="Q1368">
        <v>0.37059799382716069</v>
      </c>
    </row>
    <row r="1369" spans="1:17">
      <c r="A1369" s="1">
        <v>72</v>
      </c>
      <c r="B1369" s="1">
        <v>1</v>
      </c>
      <c r="C1369" s="1">
        <v>1</v>
      </c>
      <c r="D1369" s="1">
        <v>1</v>
      </c>
      <c r="E1369" s="1">
        <v>0</v>
      </c>
      <c r="F1369" s="1">
        <v>24</v>
      </c>
      <c r="G1369" s="1">
        <v>18</v>
      </c>
      <c r="H1369" s="1">
        <v>3</v>
      </c>
      <c r="I1369" s="1">
        <v>2</v>
      </c>
      <c r="J1369" s="1">
        <v>6</v>
      </c>
      <c r="K1369" s="1">
        <v>7</v>
      </c>
      <c r="L1369" s="1">
        <v>13</v>
      </c>
      <c r="M1369" s="1">
        <v>72</v>
      </c>
      <c r="P1369">
        <v>0.21323600973236009</v>
      </c>
      <c r="Q1369">
        <v>0.41486111111111112</v>
      </c>
    </row>
    <row r="1370" spans="1:17">
      <c r="A1370" s="1">
        <v>73</v>
      </c>
      <c r="B1370" s="1">
        <v>1</v>
      </c>
      <c r="C1370" s="1">
        <v>1</v>
      </c>
      <c r="D1370" s="1">
        <v>1</v>
      </c>
      <c r="E1370" s="1">
        <v>0</v>
      </c>
      <c r="F1370" s="1">
        <v>14</v>
      </c>
      <c r="G1370" s="1">
        <v>6</v>
      </c>
      <c r="H1370" s="1">
        <v>3</v>
      </c>
      <c r="I1370" s="1">
        <v>2</v>
      </c>
      <c r="J1370" s="1">
        <v>5</v>
      </c>
      <c r="K1370" s="1">
        <v>5</v>
      </c>
      <c r="L1370" s="1">
        <v>13</v>
      </c>
      <c r="M1370" s="1">
        <v>72</v>
      </c>
      <c r="P1370">
        <v>0.13184644498513121</v>
      </c>
      <c r="Q1370">
        <v>0.3466242283950618</v>
      </c>
    </row>
    <row r="1371" spans="1:17">
      <c r="A1371" s="1">
        <v>74</v>
      </c>
      <c r="B1371" s="1">
        <v>1</v>
      </c>
      <c r="C1371" s="1">
        <v>1</v>
      </c>
      <c r="D1371" s="1">
        <v>1</v>
      </c>
      <c r="E1371" s="1">
        <v>0</v>
      </c>
      <c r="F1371" s="1">
        <v>13</v>
      </c>
      <c r="G1371" s="1">
        <v>6</v>
      </c>
      <c r="H1371" s="1">
        <v>3</v>
      </c>
      <c r="I1371" s="1">
        <v>2</v>
      </c>
      <c r="J1371" s="1">
        <v>5</v>
      </c>
      <c r="K1371" s="1">
        <v>5</v>
      </c>
      <c r="L1371" s="1">
        <v>13</v>
      </c>
      <c r="M1371" s="1">
        <v>72</v>
      </c>
      <c r="P1371">
        <v>0.22344958096782913</v>
      </c>
      <c r="Q1371">
        <v>0.40755401234567912</v>
      </c>
    </row>
    <row r="1372" spans="1:17">
      <c r="A1372" s="1">
        <v>75</v>
      </c>
      <c r="B1372" s="1">
        <v>0</v>
      </c>
      <c r="C1372" s="1">
        <v>1</v>
      </c>
      <c r="D1372" s="1">
        <v>0</v>
      </c>
      <c r="E1372" s="1">
        <v>1</v>
      </c>
      <c r="F1372" s="1">
        <v>6</v>
      </c>
      <c r="G1372" s="1">
        <v>6</v>
      </c>
      <c r="H1372" s="1">
        <v>1</v>
      </c>
      <c r="I1372" s="1">
        <v>2</v>
      </c>
      <c r="J1372" s="1">
        <v>2</v>
      </c>
      <c r="K1372" s="1">
        <v>2</v>
      </c>
      <c r="L1372" s="1">
        <v>13</v>
      </c>
      <c r="M1372" s="1">
        <v>72</v>
      </c>
      <c r="P1372">
        <v>0.14083130575831307</v>
      </c>
      <c r="Q1372">
        <v>0.20958912037037056</v>
      </c>
    </row>
    <row r="1373" spans="1:17">
      <c r="A1373" s="1">
        <v>76</v>
      </c>
      <c r="B1373" s="1">
        <v>1</v>
      </c>
      <c r="C1373" s="1">
        <v>0</v>
      </c>
      <c r="D1373" s="1">
        <v>0</v>
      </c>
      <c r="E1373" s="1">
        <v>0</v>
      </c>
      <c r="F1373" s="1">
        <v>1</v>
      </c>
      <c r="G1373" s="1">
        <v>6</v>
      </c>
      <c r="H1373" s="1">
        <v>1</v>
      </c>
      <c r="I1373" s="1">
        <v>2</v>
      </c>
      <c r="J1373" s="1">
        <v>1</v>
      </c>
      <c r="K1373" s="1">
        <v>1</v>
      </c>
      <c r="L1373" s="1">
        <v>13</v>
      </c>
      <c r="M1373" s="1">
        <v>72</v>
      </c>
      <c r="P1373">
        <v>0.17234928359015952</v>
      </c>
      <c r="Q1373">
        <v>0.3742052469135802</v>
      </c>
    </row>
    <row r="1374" spans="1:17">
      <c r="A1374" s="1">
        <v>77</v>
      </c>
      <c r="B1374" s="1">
        <v>0</v>
      </c>
      <c r="C1374" s="1">
        <v>0</v>
      </c>
      <c r="D1374" s="1">
        <v>0</v>
      </c>
      <c r="E1374" s="1">
        <v>1</v>
      </c>
      <c r="F1374" s="1">
        <v>0</v>
      </c>
      <c r="G1374" s="1">
        <v>0</v>
      </c>
      <c r="H1374" s="1">
        <v>0</v>
      </c>
      <c r="I1374" s="1">
        <v>2</v>
      </c>
      <c r="J1374" s="1">
        <v>0</v>
      </c>
      <c r="K1374" s="1">
        <v>0</v>
      </c>
      <c r="L1374" s="1">
        <v>13</v>
      </c>
      <c r="M1374" s="1">
        <v>72</v>
      </c>
      <c r="P1374">
        <v>0.13523790213571235</v>
      </c>
      <c r="Q1374">
        <v>0.22248649691358019</v>
      </c>
    </row>
    <row r="1375" spans="1:17">
      <c r="A1375" s="1">
        <v>78</v>
      </c>
      <c r="B1375" s="1">
        <v>1</v>
      </c>
      <c r="C1375" s="1">
        <v>0</v>
      </c>
      <c r="D1375" s="1">
        <v>0</v>
      </c>
      <c r="E1375" s="1">
        <v>1</v>
      </c>
      <c r="F1375" s="1">
        <v>1</v>
      </c>
      <c r="G1375" s="1">
        <v>6</v>
      </c>
      <c r="H1375" s="1">
        <v>1</v>
      </c>
      <c r="I1375" s="1">
        <v>2</v>
      </c>
      <c r="J1375" s="1">
        <v>1</v>
      </c>
      <c r="K1375" s="1">
        <v>1</v>
      </c>
      <c r="L1375" s="1">
        <v>13</v>
      </c>
      <c r="M1375" s="1">
        <v>72</v>
      </c>
      <c r="P1375">
        <v>0.28463098134630971</v>
      </c>
      <c r="Q1375">
        <v>0.55549768518518527</v>
      </c>
    </row>
    <row r="1376" spans="1:17">
      <c r="A1376" s="1">
        <v>79</v>
      </c>
      <c r="B1376" s="1">
        <v>1</v>
      </c>
      <c r="C1376" s="1">
        <v>1</v>
      </c>
      <c r="D1376" s="1">
        <v>1</v>
      </c>
      <c r="E1376" s="1">
        <v>0</v>
      </c>
      <c r="F1376" s="1">
        <v>16</v>
      </c>
      <c r="G1376" s="1">
        <v>6</v>
      </c>
      <c r="H1376" s="1">
        <v>3</v>
      </c>
      <c r="I1376" s="1">
        <v>2</v>
      </c>
      <c r="J1376" s="1">
        <v>5</v>
      </c>
      <c r="K1376" s="1">
        <v>6</v>
      </c>
      <c r="L1376" s="1">
        <v>13</v>
      </c>
      <c r="M1376" s="1">
        <v>72</v>
      </c>
      <c r="P1376">
        <v>0.19241416599080832</v>
      </c>
      <c r="Q1376">
        <v>0.43511959876543199</v>
      </c>
    </row>
    <row r="1377" spans="1:17">
      <c r="A1377" s="1">
        <v>80</v>
      </c>
      <c r="B1377" s="1">
        <v>1</v>
      </c>
      <c r="C1377" s="1">
        <v>1</v>
      </c>
      <c r="D1377" s="1">
        <v>1</v>
      </c>
      <c r="E1377" s="1">
        <v>1</v>
      </c>
      <c r="F1377" s="1">
        <v>23</v>
      </c>
      <c r="G1377" s="1">
        <v>18</v>
      </c>
      <c r="H1377" s="1">
        <v>3</v>
      </c>
      <c r="I1377" s="1">
        <v>2</v>
      </c>
      <c r="J1377" s="1">
        <v>6</v>
      </c>
      <c r="K1377" s="1">
        <v>7</v>
      </c>
      <c r="L1377" s="1">
        <v>13</v>
      </c>
      <c r="M1377" s="1">
        <v>72</v>
      </c>
      <c r="P1377">
        <v>0.23743173830765077</v>
      </c>
      <c r="Q1377">
        <v>0.46943672839506201</v>
      </c>
    </row>
    <row r="1378" spans="1:17">
      <c r="A1378" s="1">
        <v>81</v>
      </c>
      <c r="B1378" s="1">
        <v>1</v>
      </c>
      <c r="C1378" s="1">
        <v>1</v>
      </c>
      <c r="D1378" s="1">
        <v>0</v>
      </c>
      <c r="E1378" s="1">
        <v>0</v>
      </c>
      <c r="F1378" s="1">
        <v>7</v>
      </c>
      <c r="G1378" s="1">
        <v>6</v>
      </c>
      <c r="H1378" s="1">
        <v>2</v>
      </c>
      <c r="I1378" s="1">
        <v>2</v>
      </c>
      <c r="J1378" s="1">
        <v>3</v>
      </c>
      <c r="K1378" s="1">
        <v>3</v>
      </c>
      <c r="L1378" s="1">
        <v>13</v>
      </c>
      <c r="M1378" s="1">
        <v>72</v>
      </c>
      <c r="P1378">
        <v>0.27051094890510957</v>
      </c>
      <c r="Q1378">
        <v>0.51739583333333339</v>
      </c>
    </row>
    <row r="1379" spans="1:17">
      <c r="A1379" s="1">
        <v>82</v>
      </c>
      <c r="B1379" s="1">
        <v>1</v>
      </c>
      <c r="C1379" s="1">
        <v>1</v>
      </c>
      <c r="D1379" s="1">
        <v>1</v>
      </c>
      <c r="E1379" s="1">
        <v>1</v>
      </c>
      <c r="F1379" s="1">
        <v>21</v>
      </c>
      <c r="G1379" s="1">
        <v>18</v>
      </c>
      <c r="H1379" s="1">
        <v>3</v>
      </c>
      <c r="I1379" s="1">
        <v>2</v>
      </c>
      <c r="J1379" s="1">
        <v>6</v>
      </c>
      <c r="K1379" s="1">
        <v>7</v>
      </c>
      <c r="L1379" s="1">
        <v>13</v>
      </c>
      <c r="M1379" s="1">
        <v>72</v>
      </c>
      <c r="P1379">
        <v>0.17928359015950251</v>
      </c>
      <c r="Q1379">
        <v>0.33233410493827148</v>
      </c>
    </row>
    <row r="1380" spans="1:17">
      <c r="A1380" s="1">
        <v>83</v>
      </c>
      <c r="B1380" s="1">
        <v>1</v>
      </c>
      <c r="C1380" s="1">
        <v>1</v>
      </c>
      <c r="D1380" s="1">
        <v>1</v>
      </c>
      <c r="E1380" s="1">
        <v>1</v>
      </c>
      <c r="F1380" s="1">
        <v>18</v>
      </c>
      <c r="G1380" s="1">
        <v>6</v>
      </c>
      <c r="H1380" s="1">
        <v>3</v>
      </c>
      <c r="I1380" s="1">
        <v>2</v>
      </c>
      <c r="J1380" s="1">
        <v>5</v>
      </c>
      <c r="K1380" s="1">
        <v>6</v>
      </c>
      <c r="L1380" s="1">
        <v>13</v>
      </c>
      <c r="M1380" s="1">
        <v>72</v>
      </c>
      <c r="P1380">
        <v>0.20239929710732635</v>
      </c>
      <c r="Q1380">
        <v>0.34034529320987655</v>
      </c>
    </row>
    <row r="1381" spans="1:17">
      <c r="A1381" s="1">
        <v>84</v>
      </c>
      <c r="B1381" s="1">
        <v>1</v>
      </c>
      <c r="C1381" s="1">
        <v>1</v>
      </c>
      <c r="D1381" s="1">
        <v>1</v>
      </c>
      <c r="E1381" s="1">
        <v>1</v>
      </c>
      <c r="F1381" s="1">
        <v>24</v>
      </c>
      <c r="G1381" s="1">
        <v>18</v>
      </c>
      <c r="H1381" s="1">
        <v>3</v>
      </c>
      <c r="I1381" s="1">
        <v>2</v>
      </c>
      <c r="J1381" s="1">
        <v>6</v>
      </c>
      <c r="K1381" s="1">
        <v>7</v>
      </c>
      <c r="L1381" s="1">
        <v>13</v>
      </c>
      <c r="M1381" s="1">
        <v>72</v>
      </c>
      <c r="P1381">
        <v>0.18390916463909168</v>
      </c>
      <c r="Q1381">
        <v>0.29002314814814822</v>
      </c>
    </row>
    <row r="1382" spans="1:17">
      <c r="A1382" s="1">
        <v>85</v>
      </c>
      <c r="B1382" s="1">
        <v>1</v>
      </c>
      <c r="C1382" s="1">
        <v>1</v>
      </c>
      <c r="D1382" s="1">
        <v>1</v>
      </c>
      <c r="E1382" s="1">
        <v>1</v>
      </c>
      <c r="F1382" s="1">
        <v>20</v>
      </c>
      <c r="G1382" s="1">
        <v>18</v>
      </c>
      <c r="H1382" s="1">
        <v>3</v>
      </c>
      <c r="I1382" s="1">
        <v>2</v>
      </c>
      <c r="J1382" s="1">
        <v>6</v>
      </c>
      <c r="K1382" s="1">
        <v>7</v>
      </c>
      <c r="L1382" s="1">
        <v>13</v>
      </c>
      <c r="M1382" s="1">
        <v>72</v>
      </c>
      <c r="P1382">
        <v>0.22600297377669648</v>
      </c>
      <c r="Q1382">
        <v>0.40011766975308655</v>
      </c>
    </row>
    <row r="1383" spans="1:17">
      <c r="A1383" s="1">
        <v>86</v>
      </c>
      <c r="B1383" s="1">
        <v>1</v>
      </c>
      <c r="C1383" s="1">
        <v>1</v>
      </c>
      <c r="D1383" s="1">
        <v>1</v>
      </c>
      <c r="E1383" s="1">
        <v>1</v>
      </c>
      <c r="F1383" s="1">
        <v>17</v>
      </c>
      <c r="G1383" s="1">
        <v>6</v>
      </c>
      <c r="H1383" s="1">
        <v>3</v>
      </c>
      <c r="I1383" s="1">
        <v>2</v>
      </c>
      <c r="J1383" s="1">
        <v>5</v>
      </c>
      <c r="K1383" s="1">
        <v>6</v>
      </c>
      <c r="L1383" s="1">
        <v>13</v>
      </c>
      <c r="M1383" s="1">
        <v>72</v>
      </c>
      <c r="P1383">
        <v>0.2403595566369289</v>
      </c>
      <c r="Q1383">
        <v>0.4050038580246913</v>
      </c>
    </row>
    <row r="1384" spans="1:17">
      <c r="A1384" s="1">
        <v>87</v>
      </c>
      <c r="B1384" s="1">
        <v>0</v>
      </c>
      <c r="C1384" s="1">
        <v>1</v>
      </c>
      <c r="D1384" s="1">
        <v>1</v>
      </c>
      <c r="E1384" s="1">
        <v>0</v>
      </c>
      <c r="F1384" s="1">
        <v>12</v>
      </c>
      <c r="G1384" s="1">
        <v>6</v>
      </c>
      <c r="H1384" s="1">
        <v>2</v>
      </c>
      <c r="I1384" s="1">
        <v>2</v>
      </c>
      <c r="J1384" s="1">
        <v>4</v>
      </c>
      <c r="K1384" s="1">
        <v>4</v>
      </c>
      <c r="L1384" s="1">
        <v>13</v>
      </c>
      <c r="M1384" s="1">
        <v>72</v>
      </c>
      <c r="P1384">
        <v>0.15443633414436334</v>
      </c>
      <c r="Q1384">
        <v>0.2590162037037036</v>
      </c>
    </row>
    <row r="1385" spans="1:17">
      <c r="A1385" s="1">
        <v>88</v>
      </c>
      <c r="B1385" s="1">
        <v>1</v>
      </c>
      <c r="C1385" s="1">
        <v>1</v>
      </c>
      <c r="D1385" s="1">
        <v>1</v>
      </c>
      <c r="E1385" s="1">
        <v>1</v>
      </c>
      <c r="F1385" s="1">
        <v>15</v>
      </c>
      <c r="G1385" s="1">
        <v>6</v>
      </c>
      <c r="H1385" s="1">
        <v>3</v>
      </c>
      <c r="I1385" s="1">
        <v>2</v>
      </c>
      <c r="J1385" s="1">
        <v>5</v>
      </c>
      <c r="K1385" s="1">
        <v>5</v>
      </c>
      <c r="L1385" s="1">
        <v>13</v>
      </c>
      <c r="M1385" s="1">
        <v>72</v>
      </c>
      <c r="P1385">
        <v>0.23330629899972979</v>
      </c>
      <c r="Q1385">
        <v>0.38769290123456795</v>
      </c>
    </row>
    <row r="1386" spans="1:17">
      <c r="A1386" s="1">
        <v>89</v>
      </c>
      <c r="B1386" s="1">
        <v>1</v>
      </c>
      <c r="C1386" s="1">
        <v>0</v>
      </c>
      <c r="D1386" s="1">
        <v>0</v>
      </c>
      <c r="E1386" s="1">
        <v>0</v>
      </c>
      <c r="F1386" s="1">
        <v>3</v>
      </c>
      <c r="G1386" s="1">
        <v>6</v>
      </c>
      <c r="H1386" s="1">
        <v>1</v>
      </c>
      <c r="I1386" s="1">
        <v>2</v>
      </c>
      <c r="J1386" s="1">
        <v>1</v>
      </c>
      <c r="K1386" s="1">
        <v>1</v>
      </c>
      <c r="L1386" s="1">
        <v>13</v>
      </c>
      <c r="M1386" s="1">
        <v>72</v>
      </c>
      <c r="P1386">
        <v>0.25589078129224119</v>
      </c>
      <c r="Q1386">
        <v>0.42254243827160476</v>
      </c>
    </row>
    <row r="1387" spans="1:17">
      <c r="A1387" s="1">
        <v>90</v>
      </c>
      <c r="B1387" s="1">
        <v>1</v>
      </c>
      <c r="C1387" s="1">
        <v>1</v>
      </c>
      <c r="D1387" s="1">
        <v>1</v>
      </c>
      <c r="E1387" s="1">
        <v>1</v>
      </c>
      <c r="F1387" s="1">
        <v>16</v>
      </c>
      <c r="G1387" s="1">
        <v>6</v>
      </c>
      <c r="H1387" s="1">
        <v>3</v>
      </c>
      <c r="I1387" s="1">
        <v>2</v>
      </c>
      <c r="J1387" s="1">
        <v>5</v>
      </c>
      <c r="K1387" s="1">
        <v>6</v>
      </c>
      <c r="L1387" s="1">
        <v>13</v>
      </c>
      <c r="M1387" s="1">
        <v>72</v>
      </c>
      <c r="P1387">
        <v>0.14450121654501216</v>
      </c>
      <c r="Q1387">
        <v>0.26829861111111114</v>
      </c>
    </row>
    <row r="1388" spans="1:17">
      <c r="A1388" s="1">
        <v>91</v>
      </c>
      <c r="B1388" s="1">
        <v>1</v>
      </c>
      <c r="C1388" s="1">
        <v>1</v>
      </c>
      <c r="D1388" s="1">
        <v>1</v>
      </c>
      <c r="E1388" s="1">
        <v>0</v>
      </c>
      <c r="F1388" s="1">
        <v>22</v>
      </c>
      <c r="G1388" s="1">
        <v>18</v>
      </c>
      <c r="H1388" s="1">
        <v>3</v>
      </c>
      <c r="I1388" s="1">
        <v>2</v>
      </c>
      <c r="J1388" s="1">
        <v>6</v>
      </c>
      <c r="K1388" s="1">
        <v>7</v>
      </c>
      <c r="L1388" s="1">
        <v>13</v>
      </c>
      <c r="M1388" s="1">
        <v>72</v>
      </c>
      <c r="P1388">
        <v>0.21354960800216272</v>
      </c>
      <c r="Q1388">
        <v>0.35690200617283951</v>
      </c>
    </row>
    <row r="1389" spans="1:17">
      <c r="A1389" s="1">
        <v>92</v>
      </c>
      <c r="B1389" s="1">
        <v>1</v>
      </c>
      <c r="C1389" s="1">
        <v>1</v>
      </c>
      <c r="D1389" s="1">
        <v>0</v>
      </c>
      <c r="E1389" s="1">
        <v>1</v>
      </c>
      <c r="F1389" s="1">
        <v>7</v>
      </c>
      <c r="G1389" s="1">
        <v>6</v>
      </c>
      <c r="H1389" s="1">
        <v>2</v>
      </c>
      <c r="I1389" s="1">
        <v>2</v>
      </c>
      <c r="J1389" s="1">
        <v>3</v>
      </c>
      <c r="K1389" s="1">
        <v>3</v>
      </c>
      <c r="L1389" s="1">
        <v>13</v>
      </c>
      <c r="M1389" s="1">
        <v>72</v>
      </c>
      <c r="P1389">
        <v>0.19949175452825108</v>
      </c>
      <c r="Q1389">
        <v>0.30411265432098789</v>
      </c>
    </row>
    <row r="1390" spans="1:17">
      <c r="A1390" s="1">
        <v>93</v>
      </c>
      <c r="B1390" s="1">
        <v>0</v>
      </c>
      <c r="C1390" s="1">
        <v>1</v>
      </c>
      <c r="D1390" s="1">
        <v>1</v>
      </c>
      <c r="E1390" s="1">
        <v>1</v>
      </c>
      <c r="F1390" s="1">
        <v>11</v>
      </c>
      <c r="G1390" s="1">
        <v>6</v>
      </c>
      <c r="H1390" s="1">
        <v>2</v>
      </c>
      <c r="I1390" s="1">
        <v>2</v>
      </c>
      <c r="J1390" s="1">
        <v>4</v>
      </c>
      <c r="K1390" s="1">
        <v>4</v>
      </c>
      <c r="L1390" s="1">
        <v>13</v>
      </c>
      <c r="M1390" s="1">
        <v>72</v>
      </c>
      <c r="P1390">
        <v>6.7133008921330284E-2</v>
      </c>
      <c r="Q1390">
        <v>0.19129050925925947</v>
      </c>
    </row>
    <row r="1391" spans="1:17">
      <c r="A1391" s="1">
        <v>94</v>
      </c>
      <c r="B1391" s="1">
        <v>1</v>
      </c>
      <c r="C1391" s="1">
        <v>0</v>
      </c>
      <c r="D1391" s="1">
        <v>0</v>
      </c>
      <c r="E1391" s="1">
        <v>1</v>
      </c>
      <c r="F1391" s="1">
        <v>3</v>
      </c>
      <c r="G1391" s="1">
        <v>6</v>
      </c>
      <c r="H1391" s="1">
        <v>1</v>
      </c>
      <c r="I1391" s="1">
        <v>2</v>
      </c>
      <c r="J1391" s="1">
        <v>1</v>
      </c>
      <c r="K1391" s="1">
        <v>1</v>
      </c>
      <c r="L1391" s="1">
        <v>13</v>
      </c>
      <c r="M1391" s="1">
        <v>72</v>
      </c>
      <c r="P1391">
        <v>8.4409299810759647E-2</v>
      </c>
      <c r="Q1391">
        <v>0.21805169753086423</v>
      </c>
    </row>
    <row r="1392" spans="1:17">
      <c r="A1392" s="1">
        <v>95</v>
      </c>
      <c r="B1392" s="1">
        <v>1</v>
      </c>
      <c r="C1392" s="1">
        <v>1</v>
      </c>
      <c r="D1392" s="1">
        <v>0</v>
      </c>
      <c r="E1392" s="1">
        <v>1</v>
      </c>
      <c r="F1392" s="1">
        <v>8</v>
      </c>
      <c r="G1392" s="1">
        <v>6</v>
      </c>
      <c r="H1392" s="1">
        <v>2</v>
      </c>
      <c r="I1392" s="1">
        <v>2</v>
      </c>
      <c r="J1392" s="1">
        <v>3</v>
      </c>
      <c r="K1392" s="1">
        <v>3</v>
      </c>
      <c r="L1392" s="1">
        <v>13</v>
      </c>
      <c r="M1392" s="1">
        <v>72</v>
      </c>
      <c r="P1392">
        <v>0.20095566369288997</v>
      </c>
      <c r="Q1392">
        <v>0.2968962191358025</v>
      </c>
    </row>
    <row r="1393" spans="1:17">
      <c r="A1393" s="1">
        <v>96</v>
      </c>
      <c r="B1393" s="1">
        <v>1</v>
      </c>
      <c r="C1393" s="1">
        <v>1</v>
      </c>
      <c r="D1393" s="1">
        <v>0</v>
      </c>
      <c r="E1393" s="1">
        <v>1</v>
      </c>
      <c r="F1393" s="1">
        <v>9</v>
      </c>
      <c r="G1393" s="1">
        <v>6</v>
      </c>
      <c r="H1393" s="1">
        <v>2</v>
      </c>
      <c r="I1393" s="1">
        <v>2</v>
      </c>
      <c r="J1393" s="1">
        <v>3</v>
      </c>
      <c r="K1393" s="1">
        <v>3</v>
      </c>
      <c r="L1393" s="1">
        <v>13</v>
      </c>
      <c r="M1393" s="1">
        <v>72</v>
      </c>
      <c r="P1393">
        <v>0.31458231954582327</v>
      </c>
      <c r="Q1393">
        <v>0.49240740740740752</v>
      </c>
    </row>
    <row r="1394" spans="1:17">
      <c r="A1394" s="1">
        <v>97</v>
      </c>
      <c r="B1394" s="1">
        <v>1</v>
      </c>
      <c r="C1394" s="1">
        <v>1</v>
      </c>
      <c r="D1394" s="1">
        <v>1</v>
      </c>
      <c r="E1394" s="1">
        <v>1</v>
      </c>
      <c r="F1394" s="1">
        <v>19</v>
      </c>
      <c r="G1394" s="1">
        <v>6</v>
      </c>
      <c r="H1394" s="1">
        <v>3</v>
      </c>
      <c r="I1394" s="1">
        <v>2</v>
      </c>
      <c r="J1394" s="1">
        <v>5</v>
      </c>
      <c r="K1394" s="1">
        <v>6</v>
      </c>
      <c r="L1394" s="1">
        <v>13</v>
      </c>
      <c r="M1394" s="1">
        <v>72</v>
      </c>
      <c r="P1394">
        <v>0.2829535009462017</v>
      </c>
      <c r="Q1394">
        <v>0.42437692901234558</v>
      </c>
    </row>
    <row r="1395" spans="1:17">
      <c r="A1395" s="1">
        <v>98</v>
      </c>
      <c r="B1395" s="1">
        <v>1</v>
      </c>
      <c r="C1395" s="1">
        <v>1</v>
      </c>
      <c r="D1395" s="1">
        <v>1</v>
      </c>
      <c r="E1395" s="1">
        <v>1</v>
      </c>
      <c r="F1395" s="1">
        <v>25</v>
      </c>
      <c r="G1395" s="1">
        <v>18</v>
      </c>
      <c r="H1395" s="1">
        <v>3</v>
      </c>
      <c r="I1395" s="1">
        <v>2</v>
      </c>
      <c r="J1395" s="1">
        <v>6</v>
      </c>
      <c r="K1395" s="1">
        <v>7</v>
      </c>
      <c r="L1395" s="1">
        <v>13</v>
      </c>
      <c r="M1395" s="1">
        <v>72</v>
      </c>
      <c r="P1395">
        <v>0.2177480400108136</v>
      </c>
      <c r="Q1395">
        <v>0.32822145061728408</v>
      </c>
    </row>
    <row r="1396" spans="1:17">
      <c r="A1396" s="1">
        <v>99</v>
      </c>
      <c r="B1396" s="1">
        <v>1</v>
      </c>
      <c r="C1396" s="1">
        <v>1</v>
      </c>
      <c r="D1396" s="1">
        <v>1</v>
      </c>
      <c r="E1396" s="1">
        <v>0</v>
      </c>
      <c r="F1396" s="1">
        <v>26</v>
      </c>
      <c r="G1396" s="1">
        <v>18</v>
      </c>
      <c r="H1396" s="1">
        <v>3</v>
      </c>
      <c r="I1396" s="1">
        <v>2</v>
      </c>
      <c r="J1396" s="1">
        <v>6</v>
      </c>
      <c r="K1396" s="1">
        <v>7</v>
      </c>
      <c r="L1396" s="1">
        <v>13</v>
      </c>
      <c r="M1396" s="1">
        <v>72</v>
      </c>
      <c r="P1396">
        <v>0.23907542579075433</v>
      </c>
      <c r="Q1396">
        <v>0.39538194444444452</v>
      </c>
    </row>
    <row r="1397" spans="1:17">
      <c r="A1397" s="1">
        <v>100</v>
      </c>
      <c r="B1397" s="1">
        <v>1</v>
      </c>
      <c r="C1397" s="1">
        <v>1</v>
      </c>
      <c r="D1397" s="1">
        <v>1</v>
      </c>
      <c r="E1397" s="1">
        <v>1</v>
      </c>
      <c r="F1397" s="1">
        <v>22</v>
      </c>
      <c r="G1397" s="1">
        <v>18</v>
      </c>
      <c r="H1397" s="1">
        <v>3</v>
      </c>
      <c r="I1397" s="1">
        <v>2</v>
      </c>
      <c r="J1397" s="1">
        <v>6</v>
      </c>
      <c r="K1397" s="1">
        <v>7</v>
      </c>
      <c r="L1397" s="1">
        <v>13</v>
      </c>
      <c r="M1397" s="1">
        <v>72</v>
      </c>
      <c r="P1397">
        <v>0.22237361449040288</v>
      </c>
      <c r="Q1397">
        <v>0.34007716049382708</v>
      </c>
    </row>
    <row r="1398" spans="1:17">
      <c r="A1398" s="1">
        <v>101</v>
      </c>
      <c r="B1398" s="1">
        <v>1</v>
      </c>
      <c r="C1398" s="1">
        <v>1</v>
      </c>
      <c r="D1398" s="1">
        <v>1</v>
      </c>
      <c r="E1398" s="1">
        <v>1</v>
      </c>
      <c r="F1398" s="1">
        <v>13</v>
      </c>
      <c r="G1398" s="1">
        <v>6</v>
      </c>
      <c r="H1398" s="1">
        <v>3</v>
      </c>
      <c r="I1398" s="1">
        <v>2</v>
      </c>
      <c r="J1398" s="1">
        <v>5</v>
      </c>
      <c r="K1398" s="1">
        <v>5</v>
      </c>
      <c r="L1398" s="1">
        <v>13</v>
      </c>
      <c r="M1398" s="1">
        <v>72</v>
      </c>
      <c r="P1398">
        <v>0.18782508786158428</v>
      </c>
      <c r="Q1398">
        <v>0.29288001543209874</v>
      </c>
    </row>
    <row r="1399" spans="1:17">
      <c r="A1399" s="1">
        <v>102</v>
      </c>
      <c r="B1399" s="1">
        <v>0</v>
      </c>
      <c r="C1399" s="1">
        <v>1</v>
      </c>
      <c r="D1399" s="1">
        <v>0</v>
      </c>
      <c r="E1399" s="1">
        <v>1</v>
      </c>
      <c r="F1399" s="1">
        <v>4</v>
      </c>
      <c r="G1399" s="1">
        <v>6</v>
      </c>
      <c r="H1399" s="1">
        <v>1</v>
      </c>
      <c r="I1399" s="1">
        <v>2</v>
      </c>
      <c r="J1399" s="1">
        <v>2</v>
      </c>
      <c r="K1399" s="1">
        <v>2</v>
      </c>
      <c r="L1399" s="1">
        <v>13</v>
      </c>
      <c r="M1399" s="1">
        <v>72</v>
      </c>
      <c r="P1399">
        <v>0.12699918896999185</v>
      </c>
      <c r="Q1399">
        <v>0.28422453703703704</v>
      </c>
    </row>
    <row r="1400" spans="1:17">
      <c r="A1400" s="1">
        <v>103</v>
      </c>
      <c r="B1400" s="1">
        <v>0</v>
      </c>
      <c r="C1400" s="1">
        <v>1</v>
      </c>
      <c r="D1400" s="1">
        <v>1</v>
      </c>
      <c r="E1400" s="1">
        <v>1</v>
      </c>
      <c r="F1400" s="1">
        <v>10</v>
      </c>
      <c r="G1400" s="1">
        <v>6</v>
      </c>
      <c r="H1400" s="1">
        <v>2</v>
      </c>
      <c r="I1400" s="1">
        <v>2</v>
      </c>
      <c r="J1400" s="1">
        <v>4</v>
      </c>
      <c r="K1400" s="1">
        <v>4</v>
      </c>
      <c r="L1400" s="1">
        <v>13</v>
      </c>
      <c r="M1400" s="1">
        <v>72</v>
      </c>
      <c r="P1400">
        <v>0.16544336307110025</v>
      </c>
      <c r="Q1400">
        <v>0.29536072530864194</v>
      </c>
    </row>
    <row r="1401" spans="1:17">
      <c r="A1401" s="1">
        <v>104</v>
      </c>
      <c r="B1401" s="1">
        <v>0</v>
      </c>
      <c r="C1401" s="1">
        <v>1</v>
      </c>
      <c r="D1401" s="1">
        <v>1</v>
      </c>
      <c r="E1401" s="1">
        <v>1</v>
      </c>
      <c r="F1401" s="1">
        <v>12</v>
      </c>
      <c r="G1401" s="1">
        <v>6</v>
      </c>
      <c r="H1401" s="1">
        <v>2</v>
      </c>
      <c r="I1401" s="1">
        <v>2</v>
      </c>
      <c r="J1401" s="1">
        <v>4</v>
      </c>
      <c r="K1401" s="1">
        <v>4</v>
      </c>
      <c r="L1401" s="1">
        <v>13</v>
      </c>
      <c r="M1401" s="1">
        <v>72</v>
      </c>
      <c r="P1401">
        <v>0.27177074885104091</v>
      </c>
      <c r="Q1401">
        <v>0.41795524691358021</v>
      </c>
    </row>
    <row r="1402" spans="1:17">
      <c r="A1402" s="1">
        <v>105</v>
      </c>
      <c r="B1402" s="1">
        <v>1</v>
      </c>
      <c r="C1402" s="1">
        <v>1</v>
      </c>
      <c r="D1402" s="1">
        <v>1</v>
      </c>
      <c r="E1402" s="1">
        <v>1</v>
      </c>
      <c r="F1402" s="1">
        <v>14</v>
      </c>
      <c r="G1402" s="1">
        <v>6</v>
      </c>
      <c r="H1402" s="1">
        <v>3</v>
      </c>
      <c r="I1402" s="1">
        <v>2</v>
      </c>
      <c r="J1402" s="1">
        <v>5</v>
      </c>
      <c r="K1402" s="1">
        <v>5</v>
      </c>
      <c r="L1402" s="1">
        <v>13</v>
      </c>
      <c r="M1402" s="1">
        <v>72</v>
      </c>
      <c r="P1402">
        <v>0.2343025141930252</v>
      </c>
      <c r="Q1402">
        <v>0.37179976851851843</v>
      </c>
    </row>
    <row r="1403" spans="1:17">
      <c r="A1403" s="1">
        <v>106</v>
      </c>
      <c r="B1403" s="1">
        <v>1</v>
      </c>
      <c r="C1403" s="1">
        <v>1</v>
      </c>
      <c r="D1403" s="1">
        <v>1</v>
      </c>
      <c r="E1403" s="1">
        <v>0</v>
      </c>
      <c r="F1403" s="1">
        <v>19</v>
      </c>
      <c r="G1403" s="1">
        <v>6</v>
      </c>
      <c r="H1403" s="1">
        <v>3</v>
      </c>
      <c r="I1403" s="1">
        <v>2</v>
      </c>
      <c r="J1403" s="1">
        <v>5</v>
      </c>
      <c r="K1403" s="1">
        <v>6</v>
      </c>
      <c r="L1403" s="1">
        <v>13</v>
      </c>
      <c r="M1403" s="1">
        <v>72</v>
      </c>
      <c r="P1403">
        <v>0.26277912949445797</v>
      </c>
      <c r="Q1403">
        <v>0.38022376543209857</v>
      </c>
    </row>
    <row r="1404" spans="1:17">
      <c r="A1404" s="1">
        <v>107</v>
      </c>
      <c r="B1404" s="1">
        <v>1</v>
      </c>
      <c r="C1404" s="1">
        <v>1</v>
      </c>
      <c r="D1404" s="1">
        <v>1</v>
      </c>
      <c r="E1404" s="1">
        <v>1</v>
      </c>
      <c r="F1404" s="1">
        <v>26</v>
      </c>
      <c r="G1404" s="1">
        <v>18</v>
      </c>
      <c r="H1404" s="1">
        <v>3</v>
      </c>
      <c r="I1404" s="1">
        <v>2</v>
      </c>
      <c r="J1404" s="1">
        <v>6</v>
      </c>
      <c r="K1404" s="1">
        <v>7</v>
      </c>
      <c r="L1404" s="1">
        <v>13</v>
      </c>
      <c r="M1404" s="1">
        <v>72</v>
      </c>
      <c r="P1404">
        <v>0.22067991349013241</v>
      </c>
      <c r="Q1404">
        <v>0.33990547839506169</v>
      </c>
    </row>
    <row r="1405" spans="1:17">
      <c r="A1405" s="1">
        <v>108</v>
      </c>
      <c r="B1405" s="1">
        <v>1</v>
      </c>
      <c r="C1405" s="1">
        <v>0</v>
      </c>
      <c r="D1405" s="1">
        <v>0</v>
      </c>
      <c r="E1405" s="1">
        <v>1</v>
      </c>
      <c r="F1405" s="1">
        <v>2</v>
      </c>
      <c r="G1405" s="1">
        <v>6</v>
      </c>
      <c r="H1405" s="1">
        <v>1</v>
      </c>
      <c r="I1405" s="1">
        <v>2</v>
      </c>
      <c r="J1405" s="1">
        <v>1</v>
      </c>
      <c r="K1405" s="1">
        <v>1</v>
      </c>
      <c r="L1405" s="1">
        <v>13</v>
      </c>
      <c r="M1405" s="1">
        <v>72</v>
      </c>
      <c r="P1405">
        <v>0.14087591240875924</v>
      </c>
      <c r="Q1405">
        <v>0.34583333333333338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122"/>
  <sheetViews>
    <sheetView workbookViewId="0">
      <selection activeCell="AS36" sqref="AS36"/>
    </sheetView>
  </sheetViews>
  <sheetFormatPr baseColWidth="10" defaultColWidth="8.83203125" defaultRowHeight="15" x14ac:dyDescent="0"/>
  <cols>
    <col min="1" max="1" width="5" style="1" customWidth="1"/>
    <col min="2" max="2" width="4.1640625" style="1" customWidth="1"/>
    <col min="3" max="4" width="3.5" style="1" customWidth="1"/>
    <col min="5" max="5" width="3.1640625" style="1" customWidth="1"/>
    <col min="6" max="6" width="6.5" style="1" customWidth="1"/>
    <col min="7" max="7" width="4.6640625" style="1" customWidth="1"/>
    <col min="8" max="9" width="4.1640625" style="1" customWidth="1"/>
    <col min="10" max="10" width="7.33203125" style="1" customWidth="1"/>
    <col min="11" max="11" width="9.83203125" style="5" customWidth="1"/>
    <col min="12" max="12" width="8.5" style="5" customWidth="1"/>
    <col min="13" max="13" width="10.6640625" style="5" customWidth="1"/>
    <col min="14" max="14" width="9.83203125" style="5" customWidth="1"/>
    <col min="15" max="15" width="12" style="5" customWidth="1"/>
    <col min="16" max="16" width="12.6640625" style="5" customWidth="1"/>
    <col min="17" max="17" width="10.83203125" style="5" customWidth="1"/>
    <col min="18" max="18" width="9.83203125" style="5" customWidth="1"/>
    <col min="19" max="19" width="9.1640625" style="6" customWidth="1"/>
    <col min="20" max="20" width="10.1640625" style="6" customWidth="1"/>
    <col min="21" max="21" width="10.33203125" style="6" customWidth="1"/>
    <col min="22" max="23" width="9.1640625" style="6" customWidth="1"/>
    <col min="24" max="24" width="10.5" style="6" customWidth="1"/>
    <col min="25" max="25" width="11" style="6" customWidth="1"/>
    <col min="26" max="26" width="9.1640625" style="6" customWidth="1"/>
    <col min="28" max="28" width="9.6640625" customWidth="1"/>
    <col min="29" max="29" width="10.5" customWidth="1"/>
    <col min="31" max="35" width="9.1640625" style="6" customWidth="1"/>
    <col min="36" max="36" width="10.1640625" style="6" customWidth="1"/>
    <col min="37" max="37" width="10.33203125" style="6" customWidth="1"/>
    <col min="38" max="39" width="9.1640625" style="6" customWidth="1"/>
    <col min="40" max="40" width="10.5" style="6" customWidth="1"/>
    <col min="41" max="41" width="11" style="6" customWidth="1"/>
    <col min="42" max="42" width="9.1640625" style="6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6</v>
      </c>
      <c r="H1" s="1" t="s">
        <v>7</v>
      </c>
      <c r="I1" s="1" t="s">
        <v>100</v>
      </c>
      <c r="J1" s="1" t="s">
        <v>101</v>
      </c>
      <c r="K1" s="5" t="s">
        <v>146</v>
      </c>
      <c r="L1" s="5" t="s">
        <v>147</v>
      </c>
      <c r="M1" s="5" t="s">
        <v>148</v>
      </c>
      <c r="N1" s="5" t="s">
        <v>149</v>
      </c>
      <c r="O1" s="5" t="s">
        <v>150</v>
      </c>
      <c r="P1" s="5" t="s">
        <v>151</v>
      </c>
      <c r="Q1" s="5" t="s">
        <v>152</v>
      </c>
      <c r="R1" s="5" t="s">
        <v>153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  <c r="Z1" s="6" t="s">
        <v>162</v>
      </c>
      <c r="AA1" s="6" t="s">
        <v>166</v>
      </c>
      <c r="AB1" s="6" t="s">
        <v>167</v>
      </c>
      <c r="AC1" s="6" t="s">
        <v>168</v>
      </c>
      <c r="AD1" s="6" t="s">
        <v>169</v>
      </c>
      <c r="AE1" s="6" t="s">
        <v>170</v>
      </c>
      <c r="AF1" s="6" t="s">
        <v>171</v>
      </c>
      <c r="AG1" s="6" t="s">
        <v>172</v>
      </c>
      <c r="AH1" s="6" t="s">
        <v>173</v>
      </c>
      <c r="AI1" s="6" t="s">
        <v>174</v>
      </c>
      <c r="AJ1" s="6" t="s">
        <v>175</v>
      </c>
      <c r="AK1" s="6" t="s">
        <v>176</v>
      </c>
      <c r="AL1" s="6" t="s">
        <v>177</v>
      </c>
      <c r="AM1" s="6" t="s">
        <v>179</v>
      </c>
      <c r="AN1" s="6" t="s">
        <v>180</v>
      </c>
      <c r="AO1" s="6" t="s">
        <v>181</v>
      </c>
      <c r="AP1" s="6" t="s">
        <v>182</v>
      </c>
    </row>
    <row r="2" spans="1:43">
      <c r="A2" s="1">
        <v>1</v>
      </c>
      <c r="B2" s="1">
        <v>1</v>
      </c>
      <c r="C2" s="1">
        <v>1</v>
      </c>
      <c r="D2" s="1">
        <v>1</v>
      </c>
      <c r="E2" s="1">
        <v>0</v>
      </c>
      <c r="F2" s="1">
        <v>14</v>
      </c>
      <c r="G2" s="1">
        <v>6</v>
      </c>
      <c r="H2" s="1">
        <v>3</v>
      </c>
      <c r="I2" s="1">
        <v>1</v>
      </c>
      <c r="J2" s="1">
        <v>5</v>
      </c>
      <c r="K2" s="5">
        <v>1.9675479762188621</v>
      </c>
      <c r="L2" s="5">
        <v>1.7543483357110188</v>
      </c>
      <c r="M2" s="5">
        <v>1.9253120914996495</v>
      </c>
      <c r="N2" s="5">
        <v>2.2375437381428744</v>
      </c>
      <c r="O2" s="5">
        <v>3.0993658262064696</v>
      </c>
      <c r="P2" s="5">
        <v>3.1136063199683353</v>
      </c>
      <c r="Q2" s="5">
        <v>3.2066691051687592</v>
      </c>
      <c r="R2" s="5">
        <v>3.5911387790110609</v>
      </c>
      <c r="S2" s="5">
        <v>1.3898883621526987</v>
      </c>
      <c r="T2" s="5">
        <v>1.7449091657050388</v>
      </c>
      <c r="U2" s="5">
        <v>1.4762822564756</v>
      </c>
      <c r="V2" s="5">
        <v>1.4081985696462496</v>
      </c>
      <c r="W2" s="5">
        <v>3.4560424560251271</v>
      </c>
      <c r="X2" s="5">
        <v>3.3699773535442343</v>
      </c>
      <c r="Y2" s="5">
        <v>3.3509822683673427</v>
      </c>
      <c r="Z2" s="5">
        <v>3.175353258240408</v>
      </c>
      <c r="AA2">
        <v>2.5726241929057285</v>
      </c>
      <c r="AB2">
        <v>3.1253752003144801</v>
      </c>
      <c r="AC2">
        <v>2.8776152080449768</v>
      </c>
      <c r="AD2">
        <v>3.0726277642791331</v>
      </c>
      <c r="AE2" s="6">
        <v>373.78700000000003</v>
      </c>
      <c r="AF2" s="6">
        <v>1334.674</v>
      </c>
      <c r="AG2" s="6">
        <v>754.4235000000001</v>
      </c>
      <c r="AH2" s="6">
        <v>1182.028</v>
      </c>
      <c r="AI2" s="6">
        <v>24.540779999999998</v>
      </c>
      <c r="AJ2" s="6">
        <v>55.578800000000001</v>
      </c>
      <c r="AK2" s="6">
        <v>29.9421</v>
      </c>
      <c r="AL2" s="6">
        <v>25.597560000000001</v>
      </c>
      <c r="AM2" s="6">
        <v>2857.8699111111105</v>
      </c>
      <c r="AN2">
        <v>2344.1065777777767</v>
      </c>
      <c r="AO2" s="6">
        <v>2243.7903111111114</v>
      </c>
      <c r="AP2" s="6">
        <v>1497.4531999999995</v>
      </c>
      <c r="AQ2" s="6"/>
    </row>
    <row r="3" spans="1:43">
      <c r="A3" s="1">
        <v>2</v>
      </c>
      <c r="B3" s="1">
        <v>1</v>
      </c>
      <c r="C3" s="1">
        <v>1</v>
      </c>
      <c r="D3" s="1">
        <v>1</v>
      </c>
      <c r="E3" s="1">
        <v>0</v>
      </c>
      <c r="F3" s="1">
        <v>15</v>
      </c>
      <c r="G3" s="1">
        <v>6</v>
      </c>
      <c r="H3" s="1">
        <v>3</v>
      </c>
      <c r="I3" s="1">
        <v>1</v>
      </c>
      <c r="J3" s="1">
        <v>5</v>
      </c>
      <c r="K3" s="5">
        <v>1.9484129657786009</v>
      </c>
      <c r="L3" s="5">
        <v>2.1231980750319988</v>
      </c>
      <c r="M3" s="5">
        <v>1.7937903846908188</v>
      </c>
      <c r="N3" s="5">
        <v>1.7839035792727349</v>
      </c>
      <c r="O3" s="5">
        <v>3.0993658262064696</v>
      </c>
      <c r="P3" s="5">
        <v>3.8521192767226413</v>
      </c>
      <c r="Q3" s="5">
        <v>3.351129965210355</v>
      </c>
      <c r="R3" s="5">
        <v>3.2448153344536363</v>
      </c>
      <c r="S3" s="5">
        <v>2.1925038933956702</v>
      </c>
      <c r="T3" s="5">
        <v>2.2720487179341013</v>
      </c>
      <c r="U3" s="5">
        <v>1.490247912612424</v>
      </c>
      <c r="V3" s="5">
        <v>0.75398882355695729</v>
      </c>
      <c r="W3" s="5">
        <v>4.0320951612271152</v>
      </c>
      <c r="X3" s="5">
        <v>4.1321897854114091</v>
      </c>
      <c r="Y3" s="5">
        <v>3.4334243511182052</v>
      </c>
      <c r="Z3" s="5">
        <v>3.0323786731629889</v>
      </c>
      <c r="AA3">
        <v>3.8306669244507776</v>
      </c>
      <c r="AB3">
        <v>3.5111753518722559</v>
      </c>
      <c r="AC3">
        <v>3.330608147655413</v>
      </c>
      <c r="AD3">
        <v>3.4847154240124629</v>
      </c>
      <c r="AE3" s="6">
        <v>6771.22</v>
      </c>
      <c r="AF3" s="6">
        <v>3244.7060000000001</v>
      </c>
      <c r="AG3" s="6">
        <v>2140.9580000000001</v>
      </c>
      <c r="AH3" s="6">
        <v>3052.92</v>
      </c>
      <c r="AI3" s="6">
        <v>155.77719999999999</v>
      </c>
      <c r="AJ3" s="6">
        <v>187.08920000000001</v>
      </c>
      <c r="AK3" s="6">
        <v>30.920600000000004</v>
      </c>
      <c r="AL3" s="6">
        <v>5.6753</v>
      </c>
      <c r="AM3" s="6">
        <v>10767.011111111111</v>
      </c>
      <c r="AN3">
        <v>13557.817555555554</v>
      </c>
      <c r="AO3" s="6">
        <v>2712.8410666666664</v>
      </c>
      <c r="AP3" s="6">
        <v>1077.4042222222217</v>
      </c>
    </row>
    <row r="4" spans="1:43">
      <c r="A4" s="1">
        <v>3</v>
      </c>
      <c r="B4" s="1">
        <v>1</v>
      </c>
      <c r="C4" s="1">
        <v>1</v>
      </c>
      <c r="D4" s="1">
        <v>1</v>
      </c>
      <c r="E4" s="1">
        <v>0</v>
      </c>
      <c r="F4" s="1">
        <v>13</v>
      </c>
      <c r="G4" s="1">
        <v>6</v>
      </c>
      <c r="H4" s="1">
        <v>3</v>
      </c>
      <c r="I4" s="1">
        <v>1</v>
      </c>
      <c r="J4" s="1">
        <v>5</v>
      </c>
      <c r="K4" s="5">
        <v>1.1072099696478683</v>
      </c>
      <c r="L4" s="5">
        <v>2.0366288953621612</v>
      </c>
      <c r="M4" s="5">
        <v>2.0178677189635055</v>
      </c>
      <c r="N4" s="5">
        <v>1.8621313793130372</v>
      </c>
      <c r="O4" s="5">
        <v>2.3897082620192784</v>
      </c>
      <c r="P4" s="5">
        <v>3.1690217061732096</v>
      </c>
      <c r="Q4" s="5">
        <v>3.351129965210355</v>
      </c>
      <c r="R4" s="5">
        <v>3.0775381883965105</v>
      </c>
      <c r="S4" s="5">
        <v>1.2148348442882777</v>
      </c>
      <c r="T4" s="5">
        <v>1.9505556683224361</v>
      </c>
      <c r="U4" s="5">
        <v>1.7340705947224497</v>
      </c>
      <c r="V4" s="5">
        <v>2.0860788723171706</v>
      </c>
      <c r="W4" s="5">
        <v>3.0166695488648285</v>
      </c>
      <c r="X4" s="5">
        <v>3.5404857537451337</v>
      </c>
      <c r="Y4" s="5">
        <v>3.732269830599289</v>
      </c>
      <c r="Z4" s="5">
        <v>3.7362118050672875</v>
      </c>
      <c r="AA4">
        <v>3.1304399163952565</v>
      </c>
      <c r="AB4">
        <v>2.8690826254952264</v>
      </c>
      <c r="AC4">
        <v>3.1379279377878064</v>
      </c>
      <c r="AD4">
        <v>3.0444072568462728</v>
      </c>
      <c r="AE4" s="6">
        <v>1350.33</v>
      </c>
      <c r="AF4" s="6">
        <v>739.74599999999998</v>
      </c>
      <c r="AG4" s="6">
        <v>1373.8139999999999</v>
      </c>
      <c r="AH4" s="6">
        <v>1107.662</v>
      </c>
      <c r="AI4" s="6">
        <v>16.399660000000004</v>
      </c>
      <c r="AJ4" s="6">
        <v>89.239200000000011</v>
      </c>
      <c r="AK4" s="6">
        <v>54.2089</v>
      </c>
      <c r="AL4" s="6">
        <v>121.92110000000001</v>
      </c>
      <c r="AM4" s="6">
        <v>1039.1291999999999</v>
      </c>
      <c r="AN4">
        <v>3471.2488888888879</v>
      </c>
      <c r="AO4" s="6">
        <v>5398.4592888888883</v>
      </c>
      <c r="AP4" s="6">
        <v>5447.6827111111106</v>
      </c>
    </row>
    <row r="5" spans="1:43">
      <c r="A5" s="1">
        <v>4</v>
      </c>
      <c r="B5" s="1">
        <v>1</v>
      </c>
      <c r="C5" s="1">
        <v>0</v>
      </c>
      <c r="D5" s="1">
        <v>0</v>
      </c>
      <c r="E5" s="1">
        <v>0</v>
      </c>
      <c r="F5" s="1">
        <v>1</v>
      </c>
      <c r="G5" s="1">
        <v>6</v>
      </c>
      <c r="H5" s="1">
        <v>1</v>
      </c>
      <c r="I5" s="1">
        <v>1</v>
      </c>
      <c r="J5" s="1">
        <v>1</v>
      </c>
      <c r="K5" s="5">
        <v>1.631443769013172</v>
      </c>
      <c r="L5" s="5">
        <v>2.2008504980910777</v>
      </c>
      <c r="M5" s="5">
        <v>2.2046625117482188</v>
      </c>
      <c r="N5" s="5">
        <v>2.6926706991563689</v>
      </c>
      <c r="O5" s="5">
        <v>3.0303562634508796</v>
      </c>
      <c r="P5" s="5">
        <v>3.9060756805070711</v>
      </c>
      <c r="Q5" s="5">
        <v>3.9231204948490341</v>
      </c>
      <c r="R5" s="5">
        <v>3.3429159982786296</v>
      </c>
      <c r="S5" s="5">
        <v>1.9719263390725643</v>
      </c>
      <c r="T5" s="5">
        <v>2.2720487179341013</v>
      </c>
      <c r="U5" s="5">
        <v>2.2090963352105479</v>
      </c>
      <c r="V5" s="5">
        <v>2.174684184233691</v>
      </c>
      <c r="W5" s="5">
        <v>3.8663948653579627</v>
      </c>
      <c r="X5" s="5">
        <v>4.2072510067279412</v>
      </c>
      <c r="Y5" s="5">
        <v>4.2349473549825554</v>
      </c>
      <c r="Z5" s="5">
        <v>4.6195704467084582</v>
      </c>
      <c r="AA5">
        <v>3.2553786530035564</v>
      </c>
      <c r="AB5">
        <v>2.8848768926784585</v>
      </c>
      <c r="AC5">
        <v>3.5395640920198077</v>
      </c>
      <c r="AD5">
        <v>4.2096211624428816</v>
      </c>
      <c r="AE5" s="6">
        <v>1800.44</v>
      </c>
      <c r="AF5" s="6">
        <v>767.14400000000001</v>
      </c>
      <c r="AG5" s="6">
        <v>3463.89</v>
      </c>
      <c r="AH5" s="6">
        <v>16203.96</v>
      </c>
      <c r="AI5" s="6">
        <v>93.740300000000005</v>
      </c>
      <c r="AJ5" s="6">
        <v>187.08920000000001</v>
      </c>
      <c r="AK5" s="6">
        <v>161.84390000000002</v>
      </c>
      <c r="AL5" s="6">
        <v>149.51480000000001</v>
      </c>
      <c r="AM5" s="6">
        <v>7351.82</v>
      </c>
      <c r="AN5">
        <v>16115.768</v>
      </c>
      <c r="AO5" s="6">
        <v>17177.001555555551</v>
      </c>
      <c r="AP5" s="6">
        <v>41645.726888888894</v>
      </c>
    </row>
    <row r="6" spans="1:43">
      <c r="A6" s="1">
        <v>5</v>
      </c>
      <c r="B6" s="1">
        <v>1</v>
      </c>
      <c r="C6" s="1">
        <v>1</v>
      </c>
      <c r="D6" s="1">
        <v>0</v>
      </c>
      <c r="E6" s="1">
        <v>0</v>
      </c>
      <c r="F6" s="1">
        <v>8</v>
      </c>
      <c r="G6" s="1">
        <v>6</v>
      </c>
      <c r="H6" s="1">
        <v>2</v>
      </c>
      <c r="I6" s="1">
        <v>1</v>
      </c>
      <c r="J6" s="1">
        <v>3</v>
      </c>
      <c r="K6" s="5">
        <v>1.0334237554869496</v>
      </c>
      <c r="L6" s="5">
        <v>1.9768083373380663</v>
      </c>
      <c r="M6" s="5">
        <v>1.9921114877869497</v>
      </c>
      <c r="N6" s="5">
        <v>2.3360592778663491</v>
      </c>
      <c r="O6" s="5">
        <v>2.5047799267591442</v>
      </c>
      <c r="P6" s="5">
        <v>3.1690217061732096</v>
      </c>
      <c r="Q6" s="5">
        <v>3.2570996369552119</v>
      </c>
      <c r="R6" s="5">
        <v>3.9054613687118409</v>
      </c>
      <c r="S6" s="5">
        <v>0.9524563036618704</v>
      </c>
      <c r="T6" s="5">
        <v>1.714836699594809</v>
      </c>
      <c r="U6" s="5">
        <v>1.7539888235569572</v>
      </c>
      <c r="V6" s="5">
        <v>1.8914738977316889</v>
      </c>
      <c r="W6" s="5">
        <v>2.3924771520631447</v>
      </c>
      <c r="X6" s="5">
        <v>2.7765675020670297</v>
      </c>
      <c r="Y6" s="5">
        <v>2.929350841169553</v>
      </c>
      <c r="Z6" s="5">
        <v>2.8371767856517343</v>
      </c>
      <c r="AA6">
        <v>2.6672544396188864</v>
      </c>
      <c r="AB6">
        <v>2.1240997383642375</v>
      </c>
      <c r="AC6">
        <v>2.7967408039779071</v>
      </c>
      <c r="AD6">
        <v>3.2525370213918325</v>
      </c>
      <c r="AE6" s="6">
        <v>464.78750000000002</v>
      </c>
      <c r="AF6" s="6">
        <v>133.07600000000002</v>
      </c>
      <c r="AG6" s="6">
        <v>626.24</v>
      </c>
      <c r="AH6" s="6">
        <v>1788.6980000000003</v>
      </c>
      <c r="AI6" s="6">
        <v>8.9630600000000005</v>
      </c>
      <c r="AJ6" s="6">
        <v>51.860500000000002</v>
      </c>
      <c r="AK6" s="6">
        <v>56.753</v>
      </c>
      <c r="AL6" s="6">
        <v>77.888599999999997</v>
      </c>
      <c r="AM6" s="6">
        <v>246.87502222222193</v>
      </c>
      <c r="AN6">
        <v>597.81595555555509</v>
      </c>
      <c r="AO6" s="6">
        <v>849.86675555555576</v>
      </c>
      <c r="AP6" s="6">
        <v>687.34817777777801</v>
      </c>
    </row>
    <row r="7" spans="1:43">
      <c r="A7" s="1">
        <v>6</v>
      </c>
      <c r="B7" s="1">
        <v>1</v>
      </c>
      <c r="C7" s="1">
        <v>0</v>
      </c>
      <c r="D7" s="1">
        <v>0</v>
      </c>
      <c r="E7" s="1">
        <v>0</v>
      </c>
      <c r="F7" s="1">
        <v>2</v>
      </c>
      <c r="G7" s="1">
        <v>6</v>
      </c>
      <c r="H7" s="1">
        <v>1</v>
      </c>
      <c r="I7" s="1">
        <v>1</v>
      </c>
      <c r="J7" s="1">
        <v>1</v>
      </c>
      <c r="K7" s="5">
        <v>2.1667260555800518</v>
      </c>
      <c r="L7" s="5">
        <v>2.0366288953621612</v>
      </c>
      <c r="M7" s="5">
        <v>1.6253124509616739</v>
      </c>
      <c r="N7" s="5">
        <v>1.7839035792727349</v>
      </c>
      <c r="O7" s="5">
        <v>3.0993658262064696</v>
      </c>
      <c r="P7" s="5">
        <v>3.2716007434965833</v>
      </c>
      <c r="Q7" s="5">
        <v>3.1536512857562164</v>
      </c>
      <c r="R7" s="5">
        <v>3.0775381883965105</v>
      </c>
      <c r="S7" s="5">
        <v>2.2409808323029141</v>
      </c>
      <c r="T7" s="5">
        <v>1.7599381560701584</v>
      </c>
      <c r="U7" s="5">
        <v>1.0977707996418884</v>
      </c>
      <c r="V7" s="5">
        <v>0.93897379577262108</v>
      </c>
      <c r="W7" s="5">
        <v>4.6479223513435404</v>
      </c>
      <c r="X7" s="5">
        <v>3.8517092642810629</v>
      </c>
      <c r="Y7" s="5">
        <v>2.9731408925054281</v>
      </c>
      <c r="Z7" s="5">
        <v>3.057147023614609</v>
      </c>
      <c r="AA7">
        <v>3.5554635025232249</v>
      </c>
      <c r="AB7">
        <v>2.6570788105489007</v>
      </c>
      <c r="AC7">
        <v>3.8531691939589616</v>
      </c>
      <c r="AD7">
        <v>3.6033446867137555</v>
      </c>
      <c r="AE7" s="6">
        <v>3593.0520000000001</v>
      </c>
      <c r="AF7" s="6">
        <v>454.024</v>
      </c>
      <c r="AG7" s="6">
        <v>7131.308</v>
      </c>
      <c r="AH7" s="6">
        <v>4011.85</v>
      </c>
      <c r="AI7" s="6">
        <v>174.173</v>
      </c>
      <c r="AJ7" s="6">
        <v>57.535799999999995</v>
      </c>
      <c r="AK7" s="6">
        <v>12.524800000000001</v>
      </c>
      <c r="AL7" s="6">
        <v>8.6890800000000024</v>
      </c>
      <c r="AM7" s="6">
        <v>44455.177777777775</v>
      </c>
      <c r="AN7">
        <v>7107.3755555555545</v>
      </c>
      <c r="AO7" s="6">
        <v>940.02822222222221</v>
      </c>
      <c r="AP7" s="6">
        <v>1140.6358666666667</v>
      </c>
    </row>
    <row r="8" spans="1:43">
      <c r="A8" s="1">
        <v>7</v>
      </c>
      <c r="B8" s="1">
        <v>1</v>
      </c>
      <c r="C8" s="1">
        <v>1</v>
      </c>
      <c r="D8" s="1">
        <v>1</v>
      </c>
      <c r="E8" s="1">
        <v>0</v>
      </c>
      <c r="F8" s="1">
        <v>24</v>
      </c>
      <c r="G8" s="1">
        <v>18</v>
      </c>
      <c r="H8" s="1">
        <v>3</v>
      </c>
      <c r="I8" s="1">
        <v>1</v>
      </c>
      <c r="J8" s="1">
        <v>6</v>
      </c>
      <c r="K8" s="5">
        <v>1.3944516808262162</v>
      </c>
      <c r="L8" s="5">
        <v>1.8375884382355112</v>
      </c>
      <c r="M8" s="5">
        <v>2.3583156400821959</v>
      </c>
      <c r="N8" s="5">
        <v>2.3517963068970236</v>
      </c>
      <c r="O8" s="5">
        <v>3.1646432726681426</v>
      </c>
      <c r="P8" s="5">
        <v>3.1136063199683353</v>
      </c>
      <c r="Q8" s="5">
        <v>3.6924746638898602</v>
      </c>
      <c r="R8" s="5">
        <v>3.2448153344536363</v>
      </c>
      <c r="S8" s="5">
        <v>1.6663391716681051</v>
      </c>
      <c r="T8" s="5">
        <v>1.7554838146439085</v>
      </c>
      <c r="U8" s="5">
        <v>2.0624428373001455</v>
      </c>
      <c r="V8" s="5">
        <v>0.94286883965614521</v>
      </c>
      <c r="W8" s="5">
        <v>2.4891318309331183</v>
      </c>
      <c r="X8" s="5">
        <v>3.9676251980604906</v>
      </c>
      <c r="Y8" s="5">
        <v>4.2169911777462064</v>
      </c>
      <c r="Z8" s="5">
        <v>3.9301306759472614</v>
      </c>
      <c r="AA8">
        <v>2.8848768926784585</v>
      </c>
      <c r="AB8">
        <v>2.9710187222701201</v>
      </c>
      <c r="AC8">
        <v>3.6037681820977796</v>
      </c>
      <c r="AD8">
        <v>3.5210166735786963</v>
      </c>
      <c r="AE8" s="6">
        <v>767.14400000000001</v>
      </c>
      <c r="AF8" s="6">
        <v>935.44600000000003</v>
      </c>
      <c r="AG8" s="6">
        <v>4015.7639999999997</v>
      </c>
      <c r="AH8" s="6">
        <v>3319.0720000000006</v>
      </c>
      <c r="AI8" s="6">
        <v>46.380899999999997</v>
      </c>
      <c r="AJ8" s="6">
        <v>56.948700000000009</v>
      </c>
      <c r="AK8" s="6">
        <v>115.46300000000002</v>
      </c>
      <c r="AL8" s="6">
        <v>8.7673600000000018</v>
      </c>
      <c r="AM8" s="6">
        <v>308.41240000000067</v>
      </c>
      <c r="AN8">
        <v>9281.6502222222225</v>
      </c>
      <c r="AO8" s="6">
        <v>16481.289111111109</v>
      </c>
      <c r="AP8" s="6">
        <v>8513.9417777777762</v>
      </c>
    </row>
    <row r="9" spans="1:43">
      <c r="A9" s="1">
        <v>8</v>
      </c>
      <c r="B9" s="1">
        <v>1</v>
      </c>
      <c r="C9" s="1">
        <v>1</v>
      </c>
      <c r="D9" s="1">
        <v>1</v>
      </c>
      <c r="E9" s="1">
        <v>0</v>
      </c>
      <c r="F9" s="1">
        <v>26</v>
      </c>
      <c r="G9" s="1">
        <v>18</v>
      </c>
      <c r="H9" s="1">
        <v>3</v>
      </c>
      <c r="I9" s="1">
        <v>1</v>
      </c>
      <c r="J9" s="1">
        <v>6</v>
      </c>
      <c r="K9" s="5">
        <v>1.7058637122839193</v>
      </c>
      <c r="L9" s="5">
        <v>1.9385197251764918</v>
      </c>
      <c r="M9" s="5">
        <v>2.1212314551496214</v>
      </c>
      <c r="N9" s="5">
        <v>2.4635944021870002</v>
      </c>
      <c r="O9" s="5">
        <v>2.7959442012047799</v>
      </c>
      <c r="P9" s="5">
        <v>3.4084617383639233</v>
      </c>
      <c r="Q9" s="5">
        <v>3.6596585468140521</v>
      </c>
      <c r="R9" s="5">
        <v>3.9321973633828042</v>
      </c>
      <c r="S9" s="5">
        <v>1.3597766874041628</v>
      </c>
      <c r="T9" s="5">
        <v>1.8442590417701945</v>
      </c>
      <c r="U9" s="5">
        <v>2.1631637612038799</v>
      </c>
      <c r="V9" s="5">
        <v>2.1379279377878064</v>
      </c>
      <c r="W9" s="5">
        <v>3.6507963608732581</v>
      </c>
      <c r="X9" s="5">
        <v>3.6539337441709523</v>
      </c>
      <c r="Y9" s="5">
        <v>3.9708026843905744</v>
      </c>
      <c r="Z9" s="5">
        <v>3.5588884895367348</v>
      </c>
      <c r="AA9">
        <v>2.7148366995948092</v>
      </c>
      <c r="AB9">
        <v>2.8381334891361321</v>
      </c>
      <c r="AC9">
        <v>3.5415225822921963</v>
      </c>
      <c r="AD9">
        <v>3.1870133716974092</v>
      </c>
      <c r="AE9" s="6">
        <v>518.60500000000002</v>
      </c>
      <c r="AF9" s="6">
        <v>688.86399999999992</v>
      </c>
      <c r="AG9" s="6">
        <v>3479.5460000000003</v>
      </c>
      <c r="AH9" s="6">
        <v>1538.202</v>
      </c>
      <c r="AI9" s="6">
        <v>22.896900000000002</v>
      </c>
      <c r="AJ9" s="6">
        <v>69.86490000000002</v>
      </c>
      <c r="AK9" s="6">
        <v>145.60080000000002</v>
      </c>
      <c r="AL9" s="6">
        <v>137.38140000000001</v>
      </c>
      <c r="AM9" s="6">
        <v>4475.0342222222216</v>
      </c>
      <c r="AN9">
        <v>4507.4793333333328</v>
      </c>
      <c r="AO9" s="6">
        <v>9349.8078222222248</v>
      </c>
      <c r="AP9" s="6">
        <v>3621.5</v>
      </c>
    </row>
    <row r="10" spans="1:43">
      <c r="A10" s="1">
        <v>9</v>
      </c>
      <c r="B10" s="1">
        <v>1</v>
      </c>
      <c r="C10" s="1">
        <v>1</v>
      </c>
      <c r="D10" s="1">
        <v>1</v>
      </c>
      <c r="E10" s="1">
        <v>0</v>
      </c>
      <c r="F10" s="1">
        <v>21</v>
      </c>
      <c r="G10" s="1">
        <v>18</v>
      </c>
      <c r="H10" s="1">
        <v>3</v>
      </c>
      <c r="I10" s="1">
        <v>1</v>
      </c>
      <c r="J10" s="1">
        <v>6</v>
      </c>
      <c r="K10" s="5">
        <v>1.3180633349627615</v>
      </c>
      <c r="L10" s="5">
        <v>1.7543483357110188</v>
      </c>
      <c r="M10" s="5">
        <v>2.1589652603834102</v>
      </c>
      <c r="N10" s="5">
        <v>2.3360592778663491</v>
      </c>
      <c r="O10" s="5">
        <v>2.6098321260316748</v>
      </c>
      <c r="P10" s="5">
        <v>3.1690217061732096</v>
      </c>
      <c r="Q10" s="5">
        <v>4.0448634982738021</v>
      </c>
      <c r="R10" s="5">
        <v>3.7285796933481783</v>
      </c>
      <c r="S10" s="5">
        <v>1.9905608299940198</v>
      </c>
      <c r="T10" s="5">
        <v>2.1543183539759756</v>
      </c>
      <c r="U10" s="5">
        <v>2.2756678595608322</v>
      </c>
      <c r="V10" s="5">
        <v>1.578047295404984</v>
      </c>
      <c r="W10" s="5">
        <v>3.9118578359597027</v>
      </c>
      <c r="X10" s="5">
        <v>3.6163976688310533</v>
      </c>
      <c r="Y10" s="5">
        <v>4.3364001673445225</v>
      </c>
      <c r="Z10" s="5">
        <v>4.2799866116727605</v>
      </c>
      <c r="AA10">
        <v>2.7181020870225763</v>
      </c>
      <c r="AB10">
        <v>3.2210097513722937</v>
      </c>
      <c r="AC10">
        <v>3.4505560860414115</v>
      </c>
      <c r="AD10">
        <v>3.8759220500255318</v>
      </c>
      <c r="AE10" s="6">
        <v>522.51900000000001</v>
      </c>
      <c r="AF10" s="6">
        <v>1663.45</v>
      </c>
      <c r="AG10" s="6">
        <v>2821.9940000000001</v>
      </c>
      <c r="AH10" s="6">
        <v>7514.88</v>
      </c>
      <c r="AI10" s="6">
        <v>97.85</v>
      </c>
      <c r="AJ10" s="6">
        <v>142.6653</v>
      </c>
      <c r="AK10" s="6">
        <v>188.65480000000002</v>
      </c>
      <c r="AL10" s="6">
        <v>37.848380000000006</v>
      </c>
      <c r="AM10" s="6">
        <v>8163.1511111111131</v>
      </c>
      <c r="AN10">
        <v>4134.2588888888877</v>
      </c>
      <c r="AO10" s="6">
        <v>21697.023898412699</v>
      </c>
      <c r="AP10" s="6">
        <v>19054.019777777776</v>
      </c>
    </row>
    <row r="11" spans="1:43">
      <c r="A11" s="1">
        <v>10</v>
      </c>
      <c r="B11" s="1">
        <v>1</v>
      </c>
      <c r="C11" s="1">
        <v>1</v>
      </c>
      <c r="D11" s="1">
        <v>1</v>
      </c>
      <c r="E11" s="1">
        <v>0</v>
      </c>
      <c r="F11" s="1">
        <v>25</v>
      </c>
      <c r="G11" s="1">
        <v>18</v>
      </c>
      <c r="H11" s="1">
        <v>3</v>
      </c>
      <c r="I11" s="1">
        <v>1</v>
      </c>
      <c r="J11" s="1">
        <v>6</v>
      </c>
      <c r="K11" s="5">
        <v>1.5888317255942073</v>
      </c>
      <c r="L11" s="5">
        <v>1.958085848521085</v>
      </c>
      <c r="M11" s="5">
        <v>2.0652061280543119</v>
      </c>
      <c r="N11" s="5">
        <v>2.6462076122066853</v>
      </c>
      <c r="O11" s="5">
        <v>2.9571618138027489</v>
      </c>
      <c r="P11" s="5">
        <v>3.2215939976915293</v>
      </c>
      <c r="Q11" s="5">
        <v>3.5544538300829656</v>
      </c>
      <c r="R11" s="5">
        <v>3.6933247326331107</v>
      </c>
      <c r="S11" s="5">
        <v>1.8725158013336205</v>
      </c>
      <c r="T11" s="5">
        <v>2.1434604263877675</v>
      </c>
      <c r="U11" s="5">
        <v>2.1572868855740719</v>
      </c>
      <c r="V11" s="5">
        <v>2.2153527864867018</v>
      </c>
      <c r="W11" s="5">
        <v>3.4406657950377664</v>
      </c>
      <c r="X11" s="5">
        <v>3.5567464069531645</v>
      </c>
      <c r="Y11" s="5">
        <v>4.0319554483045525</v>
      </c>
      <c r="Z11" s="5">
        <v>4.5205231975110536</v>
      </c>
      <c r="AA11">
        <v>2.1666520890497014</v>
      </c>
      <c r="AB11">
        <v>2.7449091657050388</v>
      </c>
      <c r="AC11">
        <v>3.0881651588684309</v>
      </c>
      <c r="AD11">
        <v>3.2976287806553182</v>
      </c>
      <c r="AE11" s="6">
        <v>146.77500000000001</v>
      </c>
      <c r="AF11" s="6">
        <v>555.78800000000001</v>
      </c>
      <c r="AG11" s="6">
        <v>1225.0820000000001</v>
      </c>
      <c r="AH11" s="6">
        <v>1984.3980000000001</v>
      </c>
      <c r="AI11" s="6">
        <v>74.561700000000016</v>
      </c>
      <c r="AJ11" s="6">
        <v>139.14269999999999</v>
      </c>
      <c r="AK11" s="6">
        <v>143.64380000000003</v>
      </c>
      <c r="AL11" s="6">
        <v>164.19230000000005</v>
      </c>
      <c r="AM11" s="6">
        <v>2758.4543111111116</v>
      </c>
      <c r="AN11">
        <v>3603.6815555555559</v>
      </c>
      <c r="AO11" s="6">
        <v>10763.547911111109</v>
      </c>
      <c r="AP11" s="6">
        <v>33153.027777777781</v>
      </c>
    </row>
    <row r="12" spans="1:43">
      <c r="A12" s="1">
        <v>11</v>
      </c>
      <c r="B12" s="1">
        <v>1</v>
      </c>
      <c r="C12" s="1">
        <v>1</v>
      </c>
      <c r="D12" s="1">
        <v>1</v>
      </c>
      <c r="E12" s="1">
        <v>0</v>
      </c>
      <c r="F12" s="1">
        <v>20</v>
      </c>
      <c r="G12" s="1">
        <v>18</v>
      </c>
      <c r="H12" s="1">
        <v>3</v>
      </c>
      <c r="I12" s="1">
        <v>1</v>
      </c>
      <c r="J12" s="1">
        <v>6</v>
      </c>
      <c r="K12" s="5">
        <v>1.5888317255942073</v>
      </c>
      <c r="L12" s="5">
        <v>1.8500332576897689</v>
      </c>
      <c r="M12" s="5">
        <v>2.182414652434554</v>
      </c>
      <c r="N12" s="5">
        <v>2.6240757311456826</v>
      </c>
      <c r="O12" s="5">
        <v>3.3416433147050117</v>
      </c>
      <c r="P12" s="5">
        <v>3.2215939976915293</v>
      </c>
      <c r="Q12" s="5">
        <v>3.948643294481454</v>
      </c>
      <c r="R12" s="5">
        <v>3.5708021549933386</v>
      </c>
      <c r="S12" s="5">
        <v>1.9310773149265872</v>
      </c>
      <c r="T12" s="5">
        <v>1.9922945428030205</v>
      </c>
      <c r="U12" s="5">
        <v>2.0825793007468172</v>
      </c>
      <c r="V12" s="5">
        <v>2.086775415340425</v>
      </c>
      <c r="W12" s="5">
        <v>3.7065433317582022</v>
      </c>
      <c r="X12" s="5">
        <v>3.9891923190257614</v>
      </c>
      <c r="Y12" s="5">
        <v>3.8088252661422781</v>
      </c>
      <c r="Z12" s="5">
        <v>4.2921995059868179</v>
      </c>
      <c r="AA12">
        <v>2.9590437785479553</v>
      </c>
      <c r="AB12">
        <v>3.9230345946711731</v>
      </c>
      <c r="AC12">
        <v>3.5648236597010468</v>
      </c>
      <c r="AD12">
        <v>3.4929879499784526</v>
      </c>
      <c r="AE12" s="6">
        <v>910.005</v>
      </c>
      <c r="AF12" s="6">
        <v>8375.9599999999991</v>
      </c>
      <c r="AG12" s="6">
        <v>3671.3320000000003</v>
      </c>
      <c r="AH12" s="6">
        <v>3111.63</v>
      </c>
      <c r="AI12" s="6">
        <v>85.325200000000009</v>
      </c>
      <c r="AJ12" s="6">
        <v>98.241400000000013</v>
      </c>
      <c r="AK12" s="6">
        <v>120.9426</v>
      </c>
      <c r="AL12" s="6">
        <v>122.1168</v>
      </c>
      <c r="AM12" s="6">
        <v>5087.9558222222222</v>
      </c>
      <c r="AN12">
        <v>9754.2148888888914</v>
      </c>
      <c r="AO12" s="6">
        <v>6439.1014285714264</v>
      </c>
      <c r="AP12" s="6">
        <v>19597.44733333333</v>
      </c>
    </row>
    <row r="13" spans="1:43">
      <c r="A13" s="1">
        <v>12</v>
      </c>
      <c r="B13" s="1">
        <v>1</v>
      </c>
      <c r="C13" s="1">
        <v>1</v>
      </c>
      <c r="D13" s="1">
        <v>1</v>
      </c>
      <c r="E13" s="1">
        <v>1</v>
      </c>
      <c r="F13" s="1">
        <v>18</v>
      </c>
      <c r="G13" s="1">
        <v>6</v>
      </c>
      <c r="H13" s="1">
        <v>3</v>
      </c>
      <c r="I13" s="1">
        <v>1</v>
      </c>
      <c r="J13" s="1">
        <v>5</v>
      </c>
      <c r="K13" s="5">
        <v>1.8621313793130372</v>
      </c>
      <c r="L13" s="5">
        <v>1.8621313793130372</v>
      </c>
      <c r="M13" s="5">
        <v>1.7339992865383869</v>
      </c>
      <c r="N13" s="5">
        <v>1.7693773260761385</v>
      </c>
      <c r="O13" s="5">
        <v>3.0303562634508796</v>
      </c>
      <c r="P13" s="5">
        <v>3.2215939976915293</v>
      </c>
      <c r="Q13" s="5">
        <v>2.976023274209584</v>
      </c>
      <c r="R13" s="5">
        <v>2.948710528691965</v>
      </c>
      <c r="S13" s="5">
        <v>2.1131043540627741</v>
      </c>
      <c r="T13" s="5">
        <v>1.2106689180340751</v>
      </c>
      <c r="U13" s="5">
        <v>1.4779820413534943</v>
      </c>
      <c r="V13" s="5">
        <v>1.2693144309468489</v>
      </c>
      <c r="W13" s="5">
        <v>4.1195449706881631</v>
      </c>
      <c r="X13" s="5">
        <v>3.2715396888847259</v>
      </c>
      <c r="Y13" s="5">
        <v>3.0284330986888466</v>
      </c>
      <c r="Z13" s="5">
        <v>3.2971668882485132</v>
      </c>
      <c r="AA13">
        <v>2.8448668717951007</v>
      </c>
      <c r="AB13">
        <v>2.958108806212882</v>
      </c>
      <c r="AC13">
        <v>2.7539888235569574</v>
      </c>
      <c r="AD13">
        <v>3.7584584460121104</v>
      </c>
      <c r="AE13" s="6">
        <v>699.62750000000005</v>
      </c>
      <c r="AF13" s="6">
        <v>908.048</v>
      </c>
      <c r="AG13" s="6">
        <v>567.53</v>
      </c>
      <c r="AH13" s="6">
        <v>5734.01</v>
      </c>
      <c r="AI13" s="6">
        <v>129.7491</v>
      </c>
      <c r="AJ13" s="6">
        <v>16.243100000000002</v>
      </c>
      <c r="AK13" s="6">
        <v>30.059519999999999</v>
      </c>
      <c r="AL13" s="6">
        <v>18.5915</v>
      </c>
      <c r="AM13" s="6">
        <v>13168.762666666669</v>
      </c>
      <c r="AN13">
        <v>1868.700444444444</v>
      </c>
      <c r="AO13" s="6">
        <v>1067.6603111111117</v>
      </c>
      <c r="AP13" s="6">
        <v>1982.2886222222221</v>
      </c>
    </row>
    <row r="14" spans="1:43">
      <c r="A14" s="1">
        <v>13</v>
      </c>
      <c r="B14" s="1">
        <v>1</v>
      </c>
      <c r="C14" s="1">
        <v>1</v>
      </c>
      <c r="D14" s="1">
        <v>1</v>
      </c>
      <c r="E14" s="1">
        <v>1</v>
      </c>
      <c r="F14" s="1">
        <v>25</v>
      </c>
      <c r="G14" s="1">
        <v>18</v>
      </c>
      <c r="H14" s="1">
        <v>3</v>
      </c>
      <c r="I14" s="1">
        <v>1</v>
      </c>
      <c r="J14" s="1">
        <v>6</v>
      </c>
      <c r="K14" s="5">
        <v>1.4281347940287887</v>
      </c>
      <c r="L14" s="5">
        <v>1.631443769013172</v>
      </c>
      <c r="M14" s="5">
        <v>2.1528995963937474</v>
      </c>
      <c r="N14" s="5">
        <v>1.9858753573083936</v>
      </c>
      <c r="O14" s="5">
        <v>2.7064707814322841</v>
      </c>
      <c r="P14" s="5">
        <v>3.4084617383639233</v>
      </c>
      <c r="Q14" s="5">
        <v>3.097766277634352</v>
      </c>
      <c r="R14" s="5">
        <v>3.0151386036245422</v>
      </c>
      <c r="S14" s="5">
        <v>1.9636886835937186</v>
      </c>
      <c r="T14" s="5">
        <v>0.75993815607015847</v>
      </c>
      <c r="U14" s="5">
        <v>1.3940245313393376</v>
      </c>
      <c r="V14" s="5">
        <v>1.346203880214889</v>
      </c>
      <c r="W14" s="5">
        <v>3.7198205263928941</v>
      </c>
      <c r="X14" s="5">
        <v>3.107819318561921</v>
      </c>
      <c r="Y14" s="5">
        <v>2.9209649533983266</v>
      </c>
      <c r="Z14" s="5">
        <v>3.0851821278648397</v>
      </c>
      <c r="AA14">
        <v>2.6466590320068519</v>
      </c>
      <c r="AB14">
        <v>2.4847154240124629</v>
      </c>
      <c r="AC14">
        <v>2.9957413424978001</v>
      </c>
      <c r="AD14">
        <v>2.9428688396561453</v>
      </c>
      <c r="AE14" s="6">
        <v>443.26050000000004</v>
      </c>
      <c r="AF14" s="6">
        <v>305.29200000000003</v>
      </c>
      <c r="AG14" s="6">
        <v>990.24199999999996</v>
      </c>
      <c r="AH14" s="6">
        <v>876.7360000000001</v>
      </c>
      <c r="AI14" s="6">
        <v>91.978999999999999</v>
      </c>
      <c r="AJ14" s="6">
        <v>5.7535800000000004</v>
      </c>
      <c r="AK14" s="6">
        <v>24.775620000000004</v>
      </c>
      <c r="AL14" s="6">
        <v>22.19238</v>
      </c>
      <c r="AM14" s="6">
        <v>5245.9062666666669</v>
      </c>
      <c r="AN14">
        <v>1281.7972</v>
      </c>
      <c r="AO14" s="6">
        <v>833.61391111111084</v>
      </c>
      <c r="AP14" s="6">
        <v>1216.6961333333329</v>
      </c>
    </row>
    <row r="15" spans="1:43">
      <c r="A15" s="1">
        <v>14</v>
      </c>
      <c r="B15" s="1">
        <v>1</v>
      </c>
      <c r="C15" s="1">
        <v>1</v>
      </c>
      <c r="D15" s="1">
        <v>1</v>
      </c>
      <c r="E15" s="1">
        <v>1</v>
      </c>
      <c r="F15" s="1">
        <v>14</v>
      </c>
      <c r="G15" s="1">
        <v>6</v>
      </c>
      <c r="H15" s="1">
        <v>3</v>
      </c>
      <c r="I15" s="1">
        <v>1</v>
      </c>
      <c r="J15" s="1">
        <v>5</v>
      </c>
      <c r="K15" s="5">
        <v>1.3944516808262162</v>
      </c>
      <c r="L15" s="5">
        <v>1.7543483357110188</v>
      </c>
      <c r="M15" s="5">
        <v>1.5587085705331658</v>
      </c>
      <c r="N15" s="5">
        <v>2.1099158630237933</v>
      </c>
      <c r="O15" s="5">
        <v>2.7959442012047799</v>
      </c>
      <c r="P15" s="5">
        <v>3.4084617383639233</v>
      </c>
      <c r="Q15" s="5">
        <v>2.976023274209584</v>
      </c>
      <c r="R15" s="5">
        <v>3.0775381883965105</v>
      </c>
      <c r="S15" s="5">
        <v>1.7843512146848388</v>
      </c>
      <c r="T15" s="5">
        <v>1.0008607866338319</v>
      </c>
      <c r="U15" s="5">
        <v>1.3940245313393376</v>
      </c>
      <c r="V15" s="5">
        <v>1.6860425064842175</v>
      </c>
      <c r="W15" s="5">
        <v>3.7031412554156167</v>
      </c>
      <c r="X15" s="5">
        <v>3.36372207076439</v>
      </c>
      <c r="Y15" s="5">
        <v>2.9174141481443661</v>
      </c>
      <c r="Z15" s="5">
        <v>3.7750859330610043</v>
      </c>
      <c r="AA15">
        <v>2.7371950289315987</v>
      </c>
      <c r="AB15">
        <v>2.9957413424978001</v>
      </c>
      <c r="AC15">
        <v>3.8079939741054045</v>
      </c>
      <c r="AD15">
        <v>4.0957302579933517</v>
      </c>
      <c r="AE15" s="6">
        <v>546.00300000000004</v>
      </c>
      <c r="AF15" s="6">
        <v>990.24199999999996</v>
      </c>
      <c r="AG15" s="6">
        <v>6426.7880000000005</v>
      </c>
      <c r="AH15" s="6">
        <v>12466.09</v>
      </c>
      <c r="AI15" s="6">
        <v>60.862700000000011</v>
      </c>
      <c r="AJ15" s="6">
        <v>10.019840000000002</v>
      </c>
      <c r="AK15" s="6">
        <v>24.775620000000004</v>
      </c>
      <c r="AL15" s="6">
        <v>48.533600000000007</v>
      </c>
      <c r="AM15" s="6">
        <v>5048.2546666666658</v>
      </c>
      <c r="AN15">
        <v>2310.5856444444453</v>
      </c>
      <c r="AO15" s="6">
        <v>826.82604444444348</v>
      </c>
      <c r="AP15" s="6">
        <v>5957.800177777779</v>
      </c>
    </row>
    <row r="16" spans="1:43">
      <c r="A16" s="1">
        <v>15</v>
      </c>
      <c r="B16" s="1">
        <v>1</v>
      </c>
      <c r="C16" s="1">
        <v>1</v>
      </c>
      <c r="D16" s="1">
        <v>1</v>
      </c>
      <c r="E16" s="1">
        <v>0</v>
      </c>
      <c r="F16" s="1">
        <v>18</v>
      </c>
      <c r="G16" s="1">
        <v>6</v>
      </c>
      <c r="H16" s="1">
        <v>3</v>
      </c>
      <c r="I16" s="1">
        <v>1</v>
      </c>
      <c r="J16" s="1">
        <v>5</v>
      </c>
      <c r="K16" s="5">
        <v>1.4885507165004443</v>
      </c>
      <c r="L16" s="5">
        <v>2.1166077439882485</v>
      </c>
      <c r="M16" s="5">
        <v>1.9647309210536295</v>
      </c>
      <c r="N16" s="5">
        <v>2.3113299523037933</v>
      </c>
      <c r="O16" s="5">
        <v>3.0303562634508796</v>
      </c>
      <c r="P16" s="5">
        <v>3.4084617383639233</v>
      </c>
      <c r="Q16" s="5">
        <v>3.1536512857562164</v>
      </c>
      <c r="R16" s="5">
        <v>3.8208155098401546</v>
      </c>
      <c r="S16" s="5">
        <v>2.0166853467394703</v>
      </c>
      <c r="T16" s="5">
        <v>2.1202507221933211</v>
      </c>
      <c r="U16" s="5">
        <v>1.4659414231373811</v>
      </c>
      <c r="V16" s="5">
        <v>2.2549063370441127</v>
      </c>
      <c r="W16" s="5">
        <v>3.996424512647696</v>
      </c>
      <c r="X16" s="5">
        <v>3.8963884387989718</v>
      </c>
      <c r="Y16" s="5">
        <v>3.6907550323834344</v>
      </c>
      <c r="Z16" s="5">
        <v>4.31298682841377</v>
      </c>
      <c r="AA16">
        <v>3.1608225453889776</v>
      </c>
      <c r="AB16">
        <v>2.8454738523018754</v>
      </c>
      <c r="AC16">
        <v>4.0436392734774396</v>
      </c>
      <c r="AD16">
        <v>4.2174184002827433</v>
      </c>
      <c r="AE16" s="6">
        <v>1448.18</v>
      </c>
      <c r="AF16" s="6">
        <v>700.60600000000011</v>
      </c>
      <c r="AG16" s="6">
        <v>11057.05</v>
      </c>
      <c r="AH16" s="6">
        <v>16497.509999999998</v>
      </c>
      <c r="AI16" s="6">
        <v>103.91670000000002</v>
      </c>
      <c r="AJ16" s="6">
        <v>131.90180000000001</v>
      </c>
      <c r="AK16" s="6">
        <v>29.237579999999998</v>
      </c>
      <c r="AL16" s="6">
        <v>179.84830000000002</v>
      </c>
      <c r="AM16" s="6">
        <v>9918.0093333333334</v>
      </c>
      <c r="AN16">
        <v>7877.5004888888889</v>
      </c>
      <c r="AO16" s="6">
        <v>4906.3105333333333</v>
      </c>
      <c r="AP16" s="6">
        <v>20558.282444444441</v>
      </c>
    </row>
    <row r="17" spans="1:42">
      <c r="A17" s="1">
        <v>16</v>
      </c>
      <c r="B17" s="1">
        <v>1</v>
      </c>
      <c r="C17" s="1">
        <v>1</v>
      </c>
      <c r="D17" s="1">
        <v>1</v>
      </c>
      <c r="E17" s="1">
        <v>1</v>
      </c>
      <c r="F17" s="1">
        <v>21</v>
      </c>
      <c r="G17" s="1">
        <v>18</v>
      </c>
      <c r="H17" s="1">
        <v>3</v>
      </c>
      <c r="I17" s="1">
        <v>1</v>
      </c>
      <c r="J17" s="1">
        <v>6</v>
      </c>
      <c r="K17" s="5">
        <v>1.4281347940287887</v>
      </c>
      <c r="L17" s="5">
        <v>1.7839035792727349</v>
      </c>
      <c r="M17" s="5">
        <v>1.9148718175400503</v>
      </c>
      <c r="N17" s="5">
        <v>2.0203612826477078</v>
      </c>
      <c r="O17" s="5">
        <v>2.6098321260316748</v>
      </c>
      <c r="P17" s="5">
        <v>3.1690217061732096</v>
      </c>
      <c r="Q17" s="5">
        <v>2.9093149120410047</v>
      </c>
      <c r="R17" s="5">
        <v>2.948710528691965</v>
      </c>
      <c r="S17" s="5">
        <v>1.7584584460121107</v>
      </c>
      <c r="T17" s="5">
        <v>1.2270980914827141</v>
      </c>
      <c r="U17" s="5">
        <v>1.4212807178573021</v>
      </c>
      <c r="V17" s="5">
        <v>1.5199911843610059</v>
      </c>
      <c r="W17" s="5">
        <v>3.4891137122099454</v>
      </c>
      <c r="X17" s="5">
        <v>3.0914673120801655</v>
      </c>
      <c r="Y17" s="5">
        <v>2.5358802680650032</v>
      </c>
      <c r="Z17" s="5">
        <v>4.1314509941741022</v>
      </c>
      <c r="AA17">
        <v>2.4776992054712066</v>
      </c>
      <c r="AB17">
        <v>2.7857454196764442</v>
      </c>
      <c r="AC17">
        <v>3.6079805767311965</v>
      </c>
      <c r="AD17">
        <v>3.5771481346657747</v>
      </c>
      <c r="AE17" s="6">
        <v>300.39949999999999</v>
      </c>
      <c r="AF17" s="6">
        <v>610.58400000000006</v>
      </c>
      <c r="AG17" s="6">
        <v>4054.9039999999995</v>
      </c>
      <c r="AH17" s="6">
        <v>3777.01</v>
      </c>
      <c r="AI17" s="6">
        <v>57.340100000000007</v>
      </c>
      <c r="AJ17" s="6">
        <v>16.869340000000001</v>
      </c>
      <c r="AK17" s="6">
        <v>26.380360000000003</v>
      </c>
      <c r="AL17" s="6">
        <v>33.112440000000007</v>
      </c>
      <c r="AM17" s="6">
        <v>3083.9953333333333</v>
      </c>
      <c r="AN17">
        <v>1234.4324000000011</v>
      </c>
      <c r="AO17" s="6">
        <v>343.46324444444326</v>
      </c>
      <c r="AP17" s="6">
        <v>13534.773555555556</v>
      </c>
    </row>
    <row r="18" spans="1:42">
      <c r="A18" s="1">
        <v>17</v>
      </c>
      <c r="B18" s="1">
        <v>1</v>
      </c>
      <c r="C18" s="1">
        <v>0</v>
      </c>
      <c r="D18" s="1">
        <v>0</v>
      </c>
      <c r="E18" s="1">
        <v>1</v>
      </c>
      <c r="F18" s="1">
        <v>1</v>
      </c>
      <c r="G18" s="1">
        <v>6</v>
      </c>
      <c r="H18" s="1">
        <v>1</v>
      </c>
      <c r="I18" s="1">
        <v>1</v>
      </c>
      <c r="J18" s="1">
        <v>1</v>
      </c>
      <c r="K18" s="5">
        <v>1.7693773260761385</v>
      </c>
      <c r="L18" s="5">
        <v>1.631443769013172</v>
      </c>
      <c r="M18" s="5">
        <v>2.1528995963937474</v>
      </c>
      <c r="N18" s="5">
        <v>2.0599418880619549</v>
      </c>
      <c r="O18" s="5">
        <v>3.0303562634508796</v>
      </c>
      <c r="P18" s="5">
        <v>3.2716007434965833</v>
      </c>
      <c r="Q18" s="5">
        <v>3.1536512857562164</v>
      </c>
      <c r="R18" s="5">
        <v>3.6272574997505265</v>
      </c>
      <c r="S18" s="5">
        <v>1.9189566822507338</v>
      </c>
      <c r="T18" s="5">
        <v>0.90859116677890006</v>
      </c>
      <c r="U18" s="5">
        <v>0.47343441360277377</v>
      </c>
      <c r="V18" s="5">
        <v>1.5939217543424005</v>
      </c>
      <c r="W18" s="5">
        <v>4.3142307324317342</v>
      </c>
      <c r="X18" s="5">
        <v>3.1308879391285753</v>
      </c>
      <c r="Y18" s="5">
        <v>3.2129878513463015</v>
      </c>
      <c r="Z18" s="5">
        <v>3.4472977069372774</v>
      </c>
      <c r="AA18">
        <v>3.4251297340282187</v>
      </c>
      <c r="AB18">
        <v>2.4957108083139259</v>
      </c>
      <c r="AC18">
        <v>3.2260892769015688</v>
      </c>
      <c r="AD18">
        <v>4.1689621715277756</v>
      </c>
      <c r="AE18" s="6">
        <v>2661.52</v>
      </c>
      <c r="AF18" s="6">
        <v>313.12</v>
      </c>
      <c r="AG18" s="6">
        <v>1683.02</v>
      </c>
      <c r="AH18" s="6">
        <v>14755.78</v>
      </c>
      <c r="AI18" s="6">
        <v>82.976800000000011</v>
      </c>
      <c r="AJ18" s="6">
        <v>8.1019799999999993</v>
      </c>
      <c r="AK18" s="6">
        <v>2.9746400000000004</v>
      </c>
      <c r="AL18" s="6">
        <v>39.257419999999996</v>
      </c>
      <c r="AM18" s="6">
        <v>20617.249777777775</v>
      </c>
      <c r="AN18">
        <v>1351.7237333333326</v>
      </c>
      <c r="AO18" s="6">
        <v>1633.0062666666668</v>
      </c>
      <c r="AP18" s="6">
        <v>2800.9006666666678</v>
      </c>
    </row>
    <row r="19" spans="1:42">
      <c r="A19" s="1">
        <v>18</v>
      </c>
      <c r="B19" s="1">
        <v>1</v>
      </c>
      <c r="C19" s="1">
        <v>1</v>
      </c>
      <c r="D19" s="1">
        <v>1</v>
      </c>
      <c r="E19" s="1">
        <v>0</v>
      </c>
      <c r="F19" s="1">
        <v>22</v>
      </c>
      <c r="G19" s="1">
        <v>18</v>
      </c>
      <c r="H19" s="1">
        <v>3</v>
      </c>
      <c r="I19" s="1">
        <v>1</v>
      </c>
      <c r="J19" s="1">
        <v>6</v>
      </c>
      <c r="K19" s="5">
        <v>1.1702617153949575</v>
      </c>
      <c r="L19" s="5">
        <v>1.5658478186735176</v>
      </c>
      <c r="M19" s="5">
        <v>2.5081255360831993</v>
      </c>
      <c r="N19" s="5">
        <v>2.1031192535457137</v>
      </c>
      <c r="O19" s="5">
        <v>2.2625024382606016</v>
      </c>
      <c r="P19" s="5">
        <v>2.9928863669925154</v>
      </c>
      <c r="Q19" s="5">
        <v>3.755137538049051</v>
      </c>
      <c r="R19" s="5">
        <v>3.2950339732493896</v>
      </c>
      <c r="S19" s="5">
        <v>2.1984643603800715</v>
      </c>
      <c r="T19" s="5">
        <v>1.4523593875191294</v>
      </c>
      <c r="U19" s="5">
        <v>2.2316089806656643</v>
      </c>
      <c r="V19" s="5">
        <v>2.1354462482811623</v>
      </c>
      <c r="W19" s="5">
        <v>3.6737542136003754</v>
      </c>
      <c r="X19" s="5">
        <v>3.7125138558128508</v>
      </c>
      <c r="Y19" s="5">
        <v>4.0015627201571062</v>
      </c>
      <c r="Z19" s="5">
        <v>4.2290658409296729</v>
      </c>
      <c r="AA19">
        <v>2.8034741866368753</v>
      </c>
      <c r="AB19">
        <v>3.9270745724729132</v>
      </c>
      <c r="AC19">
        <v>3.876600105560462</v>
      </c>
      <c r="AD19">
        <v>3.5634324321945003</v>
      </c>
      <c r="AE19" s="6">
        <v>636.02499999999998</v>
      </c>
      <c r="AF19" s="6">
        <v>8454.24</v>
      </c>
      <c r="AG19" s="6">
        <v>7526.6219999999994</v>
      </c>
      <c r="AH19" s="6">
        <v>3659.59</v>
      </c>
      <c r="AI19" s="6">
        <v>157.9299</v>
      </c>
      <c r="AJ19" s="6">
        <v>28.337360000000004</v>
      </c>
      <c r="AK19" s="6">
        <v>170.4547</v>
      </c>
      <c r="AL19" s="6">
        <v>136.5986</v>
      </c>
      <c r="AM19" s="6">
        <v>4717.9595555555552</v>
      </c>
      <c r="AN19">
        <v>5158.3862222222206</v>
      </c>
      <c r="AO19" s="6">
        <v>10036.047777777778</v>
      </c>
      <c r="AP19" s="6">
        <v>16945.946888888891</v>
      </c>
    </row>
    <row r="20" spans="1:42">
      <c r="A20" s="1">
        <v>19</v>
      </c>
      <c r="B20" s="1">
        <v>1</v>
      </c>
      <c r="C20" s="1">
        <v>1</v>
      </c>
      <c r="D20" s="1">
        <v>1</v>
      </c>
      <c r="E20" s="1">
        <v>1</v>
      </c>
      <c r="F20" s="1">
        <v>26</v>
      </c>
      <c r="G20" s="1">
        <v>18</v>
      </c>
      <c r="H20" s="1">
        <v>3</v>
      </c>
      <c r="I20" s="1">
        <v>1</v>
      </c>
      <c r="J20" s="1">
        <v>6</v>
      </c>
      <c r="K20" s="5">
        <v>1.1072099696478683</v>
      </c>
      <c r="L20" s="5">
        <v>1.5658478186735176</v>
      </c>
      <c r="M20" s="5">
        <v>2.0008677215312267</v>
      </c>
      <c r="N20" s="5">
        <v>1.7839035792727349</v>
      </c>
      <c r="O20" s="5">
        <v>2.7064707814322841</v>
      </c>
      <c r="P20" s="5">
        <v>2.9928863669925154</v>
      </c>
      <c r="Q20" s="5">
        <v>2.7614028939787554</v>
      </c>
      <c r="R20" s="5">
        <v>3.0151386036245422</v>
      </c>
      <c r="S20" s="5">
        <v>1.8192207265293399</v>
      </c>
      <c r="T20" s="5">
        <v>0.72615972969219988</v>
      </c>
      <c r="U20" s="5">
        <v>1.3321931657720743</v>
      </c>
      <c r="V20" s="5">
        <v>1.6842877789176669</v>
      </c>
      <c r="W20" s="5">
        <v>3.7837566784497807</v>
      </c>
      <c r="X20" s="5">
        <v>2.8333500045341853</v>
      </c>
      <c r="Y20" s="5">
        <v>2.9503067281656778</v>
      </c>
      <c r="Z20" s="5">
        <v>3.349537348477182</v>
      </c>
      <c r="AA20">
        <v>3.01586669525879</v>
      </c>
      <c r="AB20">
        <v>2.7569736771064193</v>
      </c>
      <c r="AC20">
        <v>3.0175024579530492</v>
      </c>
      <c r="AD20">
        <v>3.03822502459558</v>
      </c>
      <c r="AE20" s="6">
        <v>1037.21</v>
      </c>
      <c r="AF20" s="6">
        <v>571.44399999999996</v>
      </c>
      <c r="AG20" s="6">
        <v>1041.124</v>
      </c>
      <c r="AH20" s="6">
        <v>1092.0060000000001</v>
      </c>
      <c r="AI20" s="6">
        <v>65.950900000000004</v>
      </c>
      <c r="AJ20" s="6">
        <v>5.3230400000000007</v>
      </c>
      <c r="AK20" s="6">
        <v>21.487860000000001</v>
      </c>
      <c r="AL20" s="6">
        <v>48.337900000000005</v>
      </c>
      <c r="AM20" s="6">
        <v>6077.9437777777775</v>
      </c>
      <c r="AN20">
        <v>681.31822222222263</v>
      </c>
      <c r="AO20" s="6">
        <v>891.88062222222175</v>
      </c>
      <c r="AP20" s="6">
        <v>2236.3375111111113</v>
      </c>
    </row>
    <row r="21" spans="1:42">
      <c r="A21" s="1">
        <v>20</v>
      </c>
      <c r="B21" s="1">
        <v>1</v>
      </c>
      <c r="C21" s="1">
        <v>1</v>
      </c>
      <c r="D21" s="1">
        <v>1</v>
      </c>
      <c r="E21" s="1">
        <v>0</v>
      </c>
      <c r="F21" s="1">
        <v>17</v>
      </c>
      <c r="G21" s="1">
        <v>6</v>
      </c>
      <c r="H21" s="1">
        <v>3</v>
      </c>
      <c r="I21" s="1">
        <v>1</v>
      </c>
      <c r="J21" s="1">
        <v>5</v>
      </c>
      <c r="K21" s="5">
        <v>1.3180633349627615</v>
      </c>
      <c r="L21" s="5">
        <v>1.8247764624755456</v>
      </c>
      <c r="M21" s="5">
        <v>2.0178677189635055</v>
      </c>
      <c r="N21" s="5">
        <v>2.0366288953621612</v>
      </c>
      <c r="O21" s="5">
        <v>2.7064707814322841</v>
      </c>
      <c r="P21" s="5">
        <v>3.0550226623772603</v>
      </c>
      <c r="Q21" s="5">
        <v>2.9093149120410047</v>
      </c>
      <c r="R21" s="5">
        <v>2.8776976892874249</v>
      </c>
      <c r="S21" s="5">
        <v>1.714836699594809</v>
      </c>
      <c r="T21" s="5">
        <v>1.8087867236079755</v>
      </c>
      <c r="U21" s="5">
        <v>1.2311100782766198</v>
      </c>
      <c r="V21" s="5">
        <v>1.5116989136980563</v>
      </c>
      <c r="W21" s="5">
        <v>3.6889995818793326</v>
      </c>
      <c r="X21" s="5">
        <v>3.9675420691081498</v>
      </c>
      <c r="Y21" s="5">
        <v>2.57286282848596</v>
      </c>
      <c r="Z21" s="5">
        <v>3.4031091916067733</v>
      </c>
      <c r="AA21">
        <v>3.2534862993258518</v>
      </c>
      <c r="AB21">
        <v>2.2915908256580013</v>
      </c>
      <c r="AC21">
        <v>2.7197256196867898</v>
      </c>
      <c r="AD21">
        <v>2.7164724622890684</v>
      </c>
      <c r="AE21" s="6">
        <v>1792.6120000000001</v>
      </c>
      <c r="AF21" s="6">
        <v>195.7</v>
      </c>
      <c r="AG21" s="6">
        <v>524.476</v>
      </c>
      <c r="AH21" s="6">
        <v>520.56200000000001</v>
      </c>
      <c r="AI21" s="6">
        <v>51.860500000000002</v>
      </c>
      <c r="AJ21" s="6">
        <v>64.385300000000001</v>
      </c>
      <c r="AK21" s="6">
        <v>17.0259</v>
      </c>
      <c r="AL21" s="6">
        <v>32.486199999999997</v>
      </c>
      <c r="AM21" s="6">
        <v>4886.5188888888879</v>
      </c>
      <c r="AN21">
        <v>9279.8737777777769</v>
      </c>
      <c r="AO21" s="6">
        <v>373.99244444444486</v>
      </c>
      <c r="AP21" s="6">
        <v>2529.9340000000002</v>
      </c>
    </row>
    <row r="22" spans="1:42">
      <c r="A22" s="1">
        <v>21</v>
      </c>
      <c r="B22" s="1">
        <v>1</v>
      </c>
      <c r="C22" s="1">
        <v>1</v>
      </c>
      <c r="D22" s="1">
        <v>1</v>
      </c>
      <c r="E22" s="1">
        <v>0</v>
      </c>
      <c r="F22" s="1">
        <v>19</v>
      </c>
      <c r="G22" s="1">
        <v>6</v>
      </c>
      <c r="H22" s="1">
        <v>3</v>
      </c>
      <c r="I22" s="1">
        <v>1</v>
      </c>
      <c r="J22" s="1">
        <v>5</v>
      </c>
      <c r="K22" s="5">
        <v>1.651278013998144</v>
      </c>
      <c r="L22" s="5">
        <v>1.5658478186735176</v>
      </c>
      <c r="M22" s="5">
        <v>1.9454685851318196</v>
      </c>
      <c r="N22" s="5">
        <v>1.8375884382355112</v>
      </c>
      <c r="O22" s="5">
        <v>2.9571618138027489</v>
      </c>
      <c r="P22" s="5">
        <v>3.3192807346649396</v>
      </c>
      <c r="Q22" s="5">
        <v>3.097766277634352</v>
      </c>
      <c r="R22" s="5">
        <v>3.0775381883965105</v>
      </c>
      <c r="S22" s="5">
        <v>1.9905608299940198</v>
      </c>
      <c r="T22" s="5">
        <v>1.9350435021441885</v>
      </c>
      <c r="U22" s="5">
        <v>0.64569926480540207</v>
      </c>
      <c r="V22" s="5">
        <v>0.80480842572594014</v>
      </c>
      <c r="W22" s="5">
        <v>3.9848761989180059</v>
      </c>
      <c r="X22" s="5">
        <v>4.1548324093938751</v>
      </c>
      <c r="Y22" s="5">
        <v>2.8325449604906798</v>
      </c>
      <c r="Z22" s="5">
        <v>3.6646280837596121</v>
      </c>
      <c r="AA22">
        <v>3.8759220500255318</v>
      </c>
      <c r="AB22">
        <v>3.6215985265307604</v>
      </c>
      <c r="AC22">
        <v>4.1483197160408833</v>
      </c>
      <c r="AD22">
        <v>4.2276016213732106</v>
      </c>
      <c r="AE22" s="6">
        <v>7514.88</v>
      </c>
      <c r="AF22" s="6">
        <v>4184.0659999999998</v>
      </c>
      <c r="AG22" s="6">
        <v>14070.83</v>
      </c>
      <c r="AH22" s="6">
        <v>16888.91</v>
      </c>
      <c r="AI22" s="6">
        <v>97.85</v>
      </c>
      <c r="AJ22" s="6">
        <v>86.108000000000004</v>
      </c>
      <c r="AK22" s="6">
        <v>4.4228199999999998</v>
      </c>
      <c r="AL22" s="6">
        <v>6.3798199999999996</v>
      </c>
      <c r="AM22" s="6">
        <v>9657.7553333333344</v>
      </c>
      <c r="AN22">
        <v>14283.426666666668</v>
      </c>
      <c r="AO22" s="6">
        <v>680.05644444444385</v>
      </c>
      <c r="AP22" s="6">
        <v>4619.8522222222227</v>
      </c>
    </row>
    <row r="23" spans="1:42">
      <c r="A23" s="1">
        <v>22</v>
      </c>
      <c r="B23" s="1">
        <v>1</v>
      </c>
      <c r="C23" s="1">
        <v>0</v>
      </c>
      <c r="D23" s="1">
        <v>0</v>
      </c>
      <c r="E23" s="1">
        <v>0</v>
      </c>
      <c r="F23" s="1">
        <v>3</v>
      </c>
      <c r="G23" s="1">
        <v>6</v>
      </c>
      <c r="H23" s="1">
        <v>1</v>
      </c>
      <c r="I23" s="1">
        <v>1</v>
      </c>
      <c r="J23" s="1">
        <v>1</v>
      </c>
      <c r="K23" s="5">
        <v>1.8115750058705933</v>
      </c>
      <c r="L23" s="5">
        <v>2.1953460583484197</v>
      </c>
      <c r="M23" s="5">
        <v>2.2971036501492565</v>
      </c>
      <c r="N23" s="5">
        <v>2.5450595846940027</v>
      </c>
      <c r="O23" s="5">
        <v>2.9571618138027489</v>
      </c>
      <c r="P23" s="5">
        <v>3.2716007434965833</v>
      </c>
      <c r="Q23" s="5">
        <v>3.4373149361279332</v>
      </c>
      <c r="R23" s="5">
        <v>3.6272574997505265</v>
      </c>
      <c r="S23" s="5">
        <v>1.8034741866368755</v>
      </c>
      <c r="T23" s="5">
        <v>2.1144124709611058</v>
      </c>
      <c r="U23" s="5">
        <v>1.9701092046981152</v>
      </c>
      <c r="V23" s="5">
        <v>1.1758195952906052</v>
      </c>
      <c r="W23" s="5">
        <v>4.0815529548024045</v>
      </c>
      <c r="X23" s="5">
        <v>4.1455388362668559</v>
      </c>
      <c r="Y23" s="5">
        <v>4.287746904875438</v>
      </c>
      <c r="Z23" s="5">
        <v>4.6857270569122358</v>
      </c>
      <c r="AA23">
        <v>3.3492569295678303</v>
      </c>
      <c r="AB23">
        <v>2.820507525935656</v>
      </c>
      <c r="AC23">
        <v>3.4618525410529584</v>
      </c>
      <c r="AD23">
        <v>4.0311631701080932</v>
      </c>
      <c r="AE23" s="6">
        <v>2234.8939999999998</v>
      </c>
      <c r="AF23" s="6">
        <v>661.46599999999989</v>
      </c>
      <c r="AG23" s="6">
        <v>2896.36</v>
      </c>
      <c r="AH23" s="6">
        <v>10743.93</v>
      </c>
      <c r="AI23" s="6">
        <v>63.602499999999999</v>
      </c>
      <c r="AJ23" s="6">
        <v>130.1405</v>
      </c>
      <c r="AK23" s="6">
        <v>93.348900000000015</v>
      </c>
      <c r="AL23" s="6">
        <v>14.990620000000002</v>
      </c>
      <c r="AM23" s="6">
        <v>12065.712</v>
      </c>
      <c r="AN23">
        <v>13981.019333333334</v>
      </c>
      <c r="AO23" s="6">
        <v>19397.551111111108</v>
      </c>
      <c r="AP23" s="6">
        <v>48498.36044444445</v>
      </c>
    </row>
    <row r="24" spans="1:42">
      <c r="A24" s="1">
        <v>23</v>
      </c>
      <c r="B24" s="1">
        <v>1</v>
      </c>
      <c r="C24" s="1">
        <v>1</v>
      </c>
      <c r="D24" s="1">
        <v>1</v>
      </c>
      <c r="E24" s="1">
        <v>1</v>
      </c>
      <c r="F24" s="1">
        <v>24</v>
      </c>
      <c r="G24" s="1">
        <v>18</v>
      </c>
      <c r="H24" s="1">
        <v>3</v>
      </c>
      <c r="I24" s="1">
        <v>1</v>
      </c>
      <c r="J24" s="1">
        <v>6</v>
      </c>
      <c r="K24" s="5">
        <v>1.3180633349627615</v>
      </c>
      <c r="L24" s="5">
        <v>1.8621313793130372</v>
      </c>
      <c r="M24" s="5">
        <v>2.0421815945157662</v>
      </c>
      <c r="N24" s="5">
        <v>1.9074113607745862</v>
      </c>
      <c r="O24" s="5">
        <v>2.5047799267591442</v>
      </c>
      <c r="P24" s="5">
        <v>2.9928863669925154</v>
      </c>
      <c r="Q24" s="5">
        <v>3.097766277634352</v>
      </c>
      <c r="R24" s="5">
        <v>3.1363700818248366</v>
      </c>
      <c r="S24" s="5">
        <v>1.5634324321945001</v>
      </c>
      <c r="T24" s="5">
        <v>1.3678670810622189</v>
      </c>
      <c r="U24" s="5">
        <v>1.5680526298312454</v>
      </c>
      <c r="V24" s="5">
        <v>1.2085708729783835</v>
      </c>
      <c r="W24" s="5">
        <v>2.6112110080506299</v>
      </c>
      <c r="X24" s="5">
        <v>3.4897384373722367</v>
      </c>
      <c r="Y24" s="5">
        <v>2.8571862593377353</v>
      </c>
      <c r="Z24" s="5">
        <v>4.1966031189035258</v>
      </c>
      <c r="AA24">
        <v>2.8262514014864455</v>
      </c>
      <c r="AB24">
        <v>2.5926208213219821</v>
      </c>
      <c r="AC24">
        <v>3.4401934804640946</v>
      </c>
      <c r="AD24">
        <v>3.6699887266061388</v>
      </c>
      <c r="AE24" s="6">
        <v>670.27250000000004</v>
      </c>
      <c r="AF24" s="6">
        <v>391.4</v>
      </c>
      <c r="AG24" s="6">
        <v>2755.4559999999997</v>
      </c>
      <c r="AH24" s="6">
        <v>4677.2299999999996</v>
      </c>
      <c r="AI24" s="6">
        <v>36.5959</v>
      </c>
      <c r="AJ24" s="6">
        <v>23.327440000000003</v>
      </c>
      <c r="AK24" s="6">
        <v>36.987299999999998</v>
      </c>
      <c r="AL24" s="6">
        <v>16.164820000000002</v>
      </c>
      <c r="AM24" s="6">
        <v>408.51782222222153</v>
      </c>
      <c r="AN24">
        <v>3088.4347999999991</v>
      </c>
      <c r="AO24" s="6">
        <v>719.75759999999946</v>
      </c>
      <c r="AP24" s="6">
        <v>15725.451333333336</v>
      </c>
    </row>
    <row r="25" spans="1:42">
      <c r="A25" s="1">
        <v>24</v>
      </c>
      <c r="B25" s="1">
        <v>1</v>
      </c>
      <c r="C25" s="1">
        <v>1</v>
      </c>
      <c r="D25" s="1">
        <v>1</v>
      </c>
      <c r="E25" s="1">
        <v>0</v>
      </c>
      <c r="F25" s="1">
        <v>16</v>
      </c>
      <c r="G25" s="1">
        <v>6</v>
      </c>
      <c r="H25" s="1">
        <v>3</v>
      </c>
      <c r="I25" s="1">
        <v>1</v>
      </c>
      <c r="J25" s="1">
        <v>5</v>
      </c>
      <c r="K25" s="5">
        <v>2.1667260555800518</v>
      </c>
      <c r="L25" s="5">
        <v>1.651278013998144</v>
      </c>
      <c r="M25" s="5">
        <v>2.589055531052344</v>
      </c>
      <c r="N25" s="5">
        <v>2.6462076122066853</v>
      </c>
      <c r="O25" s="5">
        <v>2.9571618138027489</v>
      </c>
      <c r="P25" s="5">
        <v>3.0550226623772603</v>
      </c>
      <c r="Q25" s="5">
        <v>3.6406308801113796</v>
      </c>
      <c r="R25" s="5">
        <v>3.5911387790110609</v>
      </c>
      <c r="S25" s="5">
        <v>1.8243452046504989</v>
      </c>
      <c r="T25" s="5">
        <v>1.4346056259120963</v>
      </c>
      <c r="U25" s="5">
        <v>2.1836854283484817</v>
      </c>
      <c r="V25" s="5">
        <v>2.0943645509499769</v>
      </c>
      <c r="W25" s="5">
        <v>3.5880776126077465</v>
      </c>
      <c r="X25" s="5">
        <v>3.712519588309855</v>
      </c>
      <c r="Y25" s="5">
        <v>3.9028553177229415</v>
      </c>
      <c r="Z25" s="5">
        <v>4.3003702019260794</v>
      </c>
      <c r="AA25">
        <v>2.7636155233582826</v>
      </c>
      <c r="AB25">
        <v>3.1004766930178134</v>
      </c>
      <c r="AC25">
        <v>3.2331022582924041</v>
      </c>
      <c r="AD25">
        <v>3.2600737742119361</v>
      </c>
      <c r="AE25" s="6">
        <v>580.25049999999999</v>
      </c>
      <c r="AF25" s="6">
        <v>1260.3080000000002</v>
      </c>
      <c r="AG25" s="6">
        <v>1710.4179999999999</v>
      </c>
      <c r="AH25" s="6">
        <v>1820.01</v>
      </c>
      <c r="AI25" s="6">
        <v>66.733699999999999</v>
      </c>
      <c r="AJ25" s="6">
        <v>27.202300000000005</v>
      </c>
      <c r="AK25" s="6">
        <v>152.64600000000002</v>
      </c>
      <c r="AL25" s="6">
        <v>124.26949999999999</v>
      </c>
      <c r="AM25" s="6">
        <v>3873.2685777777774</v>
      </c>
      <c r="AN25">
        <v>5158.4543111111116</v>
      </c>
      <c r="AO25" s="6">
        <v>7995.6783999999998</v>
      </c>
      <c r="AP25" s="6">
        <v>19969.638444444448</v>
      </c>
    </row>
    <row r="26" spans="1:42">
      <c r="A26" s="1">
        <v>25</v>
      </c>
      <c r="B26" s="1">
        <v>0</v>
      </c>
      <c r="C26" s="1">
        <v>1</v>
      </c>
      <c r="D26" s="1">
        <v>1</v>
      </c>
      <c r="E26" s="1">
        <v>0</v>
      </c>
      <c r="F26" s="1">
        <v>10</v>
      </c>
      <c r="G26" s="1">
        <v>6</v>
      </c>
      <c r="H26" s="1">
        <v>2</v>
      </c>
      <c r="I26" s="1">
        <v>1</v>
      </c>
      <c r="J26" s="1">
        <v>4</v>
      </c>
      <c r="K26" s="5">
        <v>2.3360592778663491</v>
      </c>
      <c r="L26" s="5">
        <v>2.4229179807676622</v>
      </c>
      <c r="M26" s="5">
        <v>2.0941215958405612</v>
      </c>
      <c r="N26" s="5">
        <v>2.0748164406451748</v>
      </c>
      <c r="O26" s="5">
        <v>3.0303562634508796</v>
      </c>
      <c r="P26" s="5">
        <v>3.9573331097831086</v>
      </c>
      <c r="Q26" s="5">
        <v>3.2570996369552119</v>
      </c>
      <c r="R26" s="5">
        <v>2.8383490496168919</v>
      </c>
      <c r="S26" s="5">
        <v>2.2409808323029141</v>
      </c>
      <c r="T26" s="5">
        <v>2.3077881791704402</v>
      </c>
      <c r="U26" s="5">
        <v>2.1712600312900547</v>
      </c>
      <c r="V26" s="5">
        <v>1.2863477702456294</v>
      </c>
      <c r="W26" s="5">
        <v>4.2261245014491298</v>
      </c>
      <c r="X26" s="5">
        <v>4.3081683290575041</v>
      </c>
      <c r="Y26" s="5">
        <v>3.9642627004787503</v>
      </c>
      <c r="Z26" s="5">
        <v>3.6883812558896767</v>
      </c>
      <c r="AA26">
        <v>3.7509833134172319</v>
      </c>
      <c r="AB26">
        <v>2.5882560159195322</v>
      </c>
      <c r="AC26">
        <v>3.4289449370287342</v>
      </c>
      <c r="AD26">
        <v>4.0327424245097863</v>
      </c>
      <c r="AE26" s="6">
        <v>5636.16</v>
      </c>
      <c r="AF26" s="6">
        <v>387.48600000000005</v>
      </c>
      <c r="AG26" s="6">
        <v>2685.0039999999999</v>
      </c>
      <c r="AH26" s="6">
        <v>10783.07</v>
      </c>
      <c r="AI26" s="6">
        <v>174.173</v>
      </c>
      <c r="AJ26" s="6">
        <v>203.13660000000002</v>
      </c>
      <c r="AK26" s="6">
        <v>148.34059999999999</v>
      </c>
      <c r="AL26" s="6">
        <v>19.335160000000002</v>
      </c>
      <c r="AM26" s="6">
        <v>16831.565111111111</v>
      </c>
      <c r="AN26">
        <v>20331.448888888888</v>
      </c>
      <c r="AO26" s="6">
        <v>9210.065111111111</v>
      </c>
      <c r="AP26" s="6">
        <v>4879.5666666666675</v>
      </c>
    </row>
    <row r="27" spans="1:42">
      <c r="A27" s="1">
        <v>26</v>
      </c>
      <c r="B27" s="1">
        <v>0</v>
      </c>
      <c r="C27" s="1">
        <v>1</v>
      </c>
      <c r="D27" s="1">
        <v>0</v>
      </c>
      <c r="E27" s="1">
        <v>0</v>
      </c>
      <c r="F27" s="1">
        <v>6</v>
      </c>
      <c r="G27" s="1">
        <v>6</v>
      </c>
      <c r="H27" s="1">
        <v>1</v>
      </c>
      <c r="I27" s="1">
        <v>1</v>
      </c>
      <c r="J27" s="1">
        <v>2</v>
      </c>
      <c r="K27" s="5">
        <v>1.3180633349627615</v>
      </c>
      <c r="L27" s="5">
        <v>1.4593924877592308</v>
      </c>
      <c r="M27" s="5">
        <v>1.9454685851318196</v>
      </c>
      <c r="N27" s="5">
        <v>2.129689892199301</v>
      </c>
      <c r="O27" s="5">
        <v>2.6098321260316748</v>
      </c>
      <c r="P27" s="5">
        <v>3.0550226623772603</v>
      </c>
      <c r="Q27" s="5">
        <v>3.0386861483687762</v>
      </c>
      <c r="R27" s="5">
        <v>3.0151386036245422</v>
      </c>
      <c r="S27" s="5">
        <v>1.8368979421238254</v>
      </c>
      <c r="T27" s="5">
        <v>2.0405536869141625</v>
      </c>
      <c r="U27" s="5">
        <v>1.8770515551665019</v>
      </c>
      <c r="V27" s="5">
        <v>1.7274351916424424</v>
      </c>
      <c r="W27" s="5">
        <v>3.1863214037812932</v>
      </c>
      <c r="X27" s="5">
        <v>3.1980881001387464</v>
      </c>
      <c r="Y27" s="5">
        <v>3.7078955763271226</v>
      </c>
      <c r="Z27" s="5">
        <v>4.1825918406448981</v>
      </c>
      <c r="AA27">
        <v>3.0977707996418884</v>
      </c>
      <c r="AB27">
        <v>1.8230697427002565</v>
      </c>
      <c r="AC27">
        <v>2.7569736771064193</v>
      </c>
      <c r="AD27">
        <v>2.6495256726584548</v>
      </c>
      <c r="AE27" s="6">
        <v>1252.48</v>
      </c>
      <c r="AF27" s="6">
        <v>66.538000000000011</v>
      </c>
      <c r="AG27" s="6">
        <v>571.44399999999996</v>
      </c>
      <c r="AH27" s="6">
        <v>446.19599999999997</v>
      </c>
      <c r="AI27" s="6">
        <v>68.690700000000007</v>
      </c>
      <c r="AJ27" s="6">
        <v>109.7877</v>
      </c>
      <c r="AK27" s="6">
        <v>75.344500000000011</v>
      </c>
      <c r="AL27" s="6">
        <v>53.386960000000002</v>
      </c>
      <c r="AM27" s="6">
        <v>1535.7531111111114</v>
      </c>
      <c r="AN27">
        <v>1577.9313333333321</v>
      </c>
      <c r="AO27" s="6">
        <v>5103.822666666666</v>
      </c>
      <c r="AP27" s="6">
        <v>15226.210888888891</v>
      </c>
    </row>
    <row r="28" spans="1:42">
      <c r="A28" s="1">
        <v>27</v>
      </c>
      <c r="B28" s="1">
        <v>1</v>
      </c>
      <c r="C28" s="1">
        <v>1</v>
      </c>
      <c r="D28" s="1">
        <v>0</v>
      </c>
      <c r="E28" s="1">
        <v>0</v>
      </c>
      <c r="F28" s="1">
        <v>9</v>
      </c>
      <c r="G28" s="1">
        <v>6</v>
      </c>
      <c r="H28" s="1">
        <v>2</v>
      </c>
      <c r="I28" s="1">
        <v>1</v>
      </c>
      <c r="J28" s="1">
        <v>3</v>
      </c>
      <c r="K28" s="5">
        <v>2.4575791469957626</v>
      </c>
      <c r="L28" s="5">
        <v>2.4665710723863543</v>
      </c>
      <c r="M28" s="5">
        <v>1.507855871695831</v>
      </c>
      <c r="N28" s="5">
        <v>1.8965262174895554</v>
      </c>
      <c r="O28" s="5">
        <v>2.8792419621940724</v>
      </c>
      <c r="P28" s="5">
        <v>3.9320247874585244</v>
      </c>
      <c r="Q28" s="5">
        <v>3.097766277634352</v>
      </c>
      <c r="R28" s="5">
        <v>3.1363700818248366</v>
      </c>
      <c r="S28" s="5">
        <v>2.1422370608410679</v>
      </c>
      <c r="T28" s="5">
        <v>2.2553786530035564</v>
      </c>
      <c r="U28" s="5">
        <v>1.5926208213219823</v>
      </c>
      <c r="V28" s="5">
        <v>1.2127568762957399</v>
      </c>
      <c r="W28" s="5">
        <v>4.108076592559069</v>
      </c>
      <c r="X28" s="5">
        <v>4.7493713806798334</v>
      </c>
      <c r="Y28" s="5">
        <v>3.5256450522795375</v>
      </c>
      <c r="Z28" s="5">
        <v>3.3376898032484772</v>
      </c>
      <c r="AA28">
        <v>2.8621337655398986</v>
      </c>
      <c r="AB28">
        <v>3.5189632679476373</v>
      </c>
      <c r="AC28">
        <v>3.7599381560701586</v>
      </c>
      <c r="AD28">
        <v>3.7843512146848388</v>
      </c>
      <c r="AE28" s="6">
        <v>728.00400000000013</v>
      </c>
      <c r="AF28" s="6">
        <v>3303.4159999999997</v>
      </c>
      <c r="AG28" s="6">
        <v>5753.58</v>
      </c>
      <c r="AH28" s="6">
        <v>6086.27</v>
      </c>
      <c r="AI28" s="6">
        <v>138.75130000000001</v>
      </c>
      <c r="AJ28" s="6">
        <v>180.04400000000001</v>
      </c>
      <c r="AK28" s="6">
        <v>39.14</v>
      </c>
      <c r="AL28" s="6">
        <v>16.321380000000001</v>
      </c>
      <c r="AM28" s="6">
        <v>12825.567555555554</v>
      </c>
      <c r="AN28">
        <v>56152.795333333335</v>
      </c>
      <c r="AO28" s="6">
        <v>3354.6332888888896</v>
      </c>
      <c r="AP28" s="6">
        <v>2176.1548888888888</v>
      </c>
    </row>
    <row r="29" spans="1:42">
      <c r="A29" s="1">
        <v>28</v>
      </c>
      <c r="B29" s="1">
        <v>1</v>
      </c>
      <c r="C29" s="1">
        <v>1</v>
      </c>
      <c r="D29" s="1">
        <v>0</v>
      </c>
      <c r="E29" s="1">
        <v>0</v>
      </c>
      <c r="F29" s="1">
        <v>7</v>
      </c>
      <c r="G29" s="1">
        <v>6</v>
      </c>
      <c r="H29" s="1">
        <v>2</v>
      </c>
      <c r="I29" s="1">
        <v>1</v>
      </c>
      <c r="J29" s="1">
        <v>3</v>
      </c>
      <c r="K29" s="5">
        <v>1.1072099696478683</v>
      </c>
      <c r="L29" s="5">
        <v>1.3579348470004537</v>
      </c>
      <c r="M29" s="5">
        <v>1.6253124509616739</v>
      </c>
      <c r="N29" s="5">
        <v>2.6322547766847135</v>
      </c>
      <c r="O29" s="5">
        <v>2.3897082620192784</v>
      </c>
      <c r="P29" s="5">
        <v>2.8560253721251745</v>
      </c>
      <c r="Q29" s="5">
        <v>3.2570996369552119</v>
      </c>
      <c r="R29" s="5">
        <v>3.6621516184156007</v>
      </c>
      <c r="S29" s="5">
        <v>2.0239845854809695</v>
      </c>
      <c r="T29" s="5">
        <v>1.3605184373400732</v>
      </c>
      <c r="U29" s="5">
        <v>2.1078321256497841</v>
      </c>
      <c r="V29" s="5">
        <v>2.2153527864867018</v>
      </c>
      <c r="W29" s="5">
        <v>2.3122016243292736</v>
      </c>
      <c r="X29" s="5">
        <v>2.4094698541982349</v>
      </c>
      <c r="Y29" s="5">
        <v>3.5464695291487867</v>
      </c>
      <c r="Z29" s="5">
        <v>4.1221223373748304</v>
      </c>
      <c r="AA29">
        <v>2.4298935238242825</v>
      </c>
      <c r="AB29">
        <v>2.4791115464944644</v>
      </c>
      <c r="AC29">
        <v>2.7912779082764052</v>
      </c>
      <c r="AD29">
        <v>2.9817869056865147</v>
      </c>
      <c r="AE29" s="6">
        <v>269.08749999999998</v>
      </c>
      <c r="AF29" s="6">
        <v>301.37800000000004</v>
      </c>
      <c r="AG29" s="6">
        <v>618.41200000000003</v>
      </c>
      <c r="AH29" s="6">
        <v>958.93</v>
      </c>
      <c r="AI29" s="6">
        <v>105.678</v>
      </c>
      <c r="AJ29" s="6">
        <v>22.936040000000006</v>
      </c>
      <c r="AK29" s="6">
        <v>128.18350000000001</v>
      </c>
      <c r="AL29" s="6">
        <v>164.19230000000005</v>
      </c>
      <c r="AM29" s="6">
        <v>205.21146666666618</v>
      </c>
      <c r="AN29">
        <v>256.72600000000034</v>
      </c>
      <c r="AO29" s="6">
        <v>3519.4072888888886</v>
      </c>
      <c r="AP29" s="6">
        <v>13247.146444444445</v>
      </c>
    </row>
    <row r="30" spans="1:42">
      <c r="A30" s="1">
        <v>29</v>
      </c>
      <c r="B30" s="1">
        <v>1</v>
      </c>
      <c r="C30" s="1">
        <v>1</v>
      </c>
      <c r="D30" s="1">
        <v>1</v>
      </c>
      <c r="E30" s="1">
        <v>0</v>
      </c>
      <c r="F30" s="1">
        <v>23</v>
      </c>
      <c r="G30" s="1">
        <v>18</v>
      </c>
      <c r="H30" s="1">
        <v>3</v>
      </c>
      <c r="I30" s="1">
        <v>1</v>
      </c>
      <c r="J30" s="1">
        <v>6</v>
      </c>
      <c r="K30" s="5">
        <v>1.9675479762188621</v>
      </c>
      <c r="L30" s="5">
        <v>2.2760019899620501</v>
      </c>
      <c r="M30" s="5">
        <v>1.0086001717619175</v>
      </c>
      <c r="N30" s="5">
        <v>2.514282047860378</v>
      </c>
      <c r="O30" s="5">
        <v>2.8792419621940724</v>
      </c>
      <c r="P30" s="5">
        <v>3.3192807346649396</v>
      </c>
      <c r="Q30" s="5">
        <v>2.9093149120410047</v>
      </c>
      <c r="R30" s="5">
        <v>3.6933247326331107</v>
      </c>
      <c r="S30" s="5">
        <v>2.0646455190222639</v>
      </c>
      <c r="T30" s="5">
        <v>1.9127671074330364</v>
      </c>
      <c r="U30" s="5">
        <v>1.1253752003144801</v>
      </c>
      <c r="V30" s="5">
        <v>2.1291792638935125</v>
      </c>
      <c r="W30" s="5">
        <v>3.9182074219578618</v>
      </c>
      <c r="X30" s="5">
        <v>4.0605241297856329</v>
      </c>
      <c r="Y30" s="5">
        <v>2.8759839208078448</v>
      </c>
      <c r="Z30" s="5">
        <v>3.5152978451802075</v>
      </c>
      <c r="AA30">
        <v>2.7953815087151823</v>
      </c>
      <c r="AB30">
        <v>2.938973795772621</v>
      </c>
      <c r="AC30">
        <v>3.9360294151258399</v>
      </c>
      <c r="AD30">
        <v>4.0489868544510257</v>
      </c>
      <c r="AE30" s="6">
        <v>624.28300000000002</v>
      </c>
      <c r="AF30" s="6">
        <v>868.90800000000013</v>
      </c>
      <c r="AG30" s="6">
        <v>8630.3700000000008</v>
      </c>
      <c r="AH30" s="6">
        <v>11194.04</v>
      </c>
      <c r="AI30" s="6">
        <v>116.0501</v>
      </c>
      <c r="AJ30" s="6">
        <v>81.802599999999998</v>
      </c>
      <c r="AK30" s="6">
        <v>13.34674</v>
      </c>
      <c r="AL30" s="6">
        <v>134.64160000000001</v>
      </c>
      <c r="AM30" s="6">
        <v>8283.3768888888881</v>
      </c>
      <c r="AN30">
        <v>11495.40111111111</v>
      </c>
      <c r="AO30" s="6">
        <v>751.59506666666687</v>
      </c>
      <c r="AP30" s="6">
        <v>3275.6526666666664</v>
      </c>
    </row>
    <row r="31" spans="1:42">
      <c r="A31" s="1">
        <v>30</v>
      </c>
      <c r="B31" s="1">
        <v>0</v>
      </c>
      <c r="C31" s="1">
        <v>1</v>
      </c>
      <c r="D31" s="1">
        <v>0</v>
      </c>
      <c r="E31" s="1">
        <v>0</v>
      </c>
      <c r="F31" s="1">
        <v>4</v>
      </c>
      <c r="G31" s="1">
        <v>6</v>
      </c>
      <c r="H31" s="1">
        <v>1</v>
      </c>
      <c r="I31" s="1">
        <v>1</v>
      </c>
      <c r="J31" s="1">
        <v>2</v>
      </c>
      <c r="K31" s="5">
        <v>1.4885507165004443</v>
      </c>
      <c r="L31" s="5">
        <v>2.5062343596121259</v>
      </c>
      <c r="M31" s="5">
        <v>2.4802944600030066</v>
      </c>
      <c r="N31" s="5">
        <v>2.5062343596121259</v>
      </c>
      <c r="O31" s="5">
        <v>2.5047799267591442</v>
      </c>
      <c r="P31" s="5">
        <v>3.2716007434965833</v>
      </c>
      <c r="Q31" s="5">
        <v>3.2066691051687592</v>
      </c>
      <c r="R31" s="5">
        <v>3.7909792781201457</v>
      </c>
      <c r="S31" s="5">
        <v>1.6645028286281078</v>
      </c>
      <c r="T31" s="5">
        <v>1.586057051819594</v>
      </c>
      <c r="U31" s="5">
        <v>2.2683991629960674</v>
      </c>
      <c r="V31" s="5">
        <v>2.2101453562082747</v>
      </c>
      <c r="W31" s="5">
        <v>3.4451001569603252</v>
      </c>
      <c r="X31" s="5">
        <v>3.844629631839938</v>
      </c>
      <c r="Y31" s="5">
        <v>3.6814791856605122</v>
      </c>
      <c r="Z31" s="5">
        <v>3.8131343229042298</v>
      </c>
      <c r="AA31">
        <v>2.6240292855736067</v>
      </c>
      <c r="AB31">
        <v>2.1240997383642375</v>
      </c>
      <c r="AC31">
        <v>2.8597925497249963</v>
      </c>
      <c r="AD31">
        <v>2.9817869056865147</v>
      </c>
      <c r="AE31" s="6">
        <v>420.755</v>
      </c>
      <c r="AF31" s="6">
        <v>133.07600000000002</v>
      </c>
      <c r="AG31" s="6">
        <v>724.09</v>
      </c>
      <c r="AH31" s="6">
        <v>958.93</v>
      </c>
      <c r="AI31" s="6">
        <v>46.185200000000009</v>
      </c>
      <c r="AJ31" s="6">
        <v>38.552900000000001</v>
      </c>
      <c r="AK31" s="6">
        <v>185.52359999999999</v>
      </c>
      <c r="AL31" s="6">
        <v>162.23530000000002</v>
      </c>
      <c r="AM31" s="6">
        <v>2786.7637777777772</v>
      </c>
      <c r="AN31">
        <v>6992.4542222222208</v>
      </c>
      <c r="AO31" s="6">
        <v>4802.630622222222</v>
      </c>
      <c r="AP31" s="6">
        <v>6503.308</v>
      </c>
    </row>
    <row r="32" spans="1:42">
      <c r="A32" s="1">
        <v>31</v>
      </c>
      <c r="B32" s="1">
        <v>1</v>
      </c>
      <c r="C32" s="1">
        <v>0</v>
      </c>
      <c r="D32" s="1">
        <v>0</v>
      </c>
      <c r="E32" s="1">
        <v>1</v>
      </c>
      <c r="F32" s="1">
        <v>3</v>
      </c>
      <c r="G32" s="1">
        <v>6</v>
      </c>
      <c r="H32" s="1">
        <v>1</v>
      </c>
      <c r="I32" s="1">
        <v>1</v>
      </c>
      <c r="J32" s="1">
        <v>1</v>
      </c>
      <c r="K32" s="5">
        <v>1.3579348470004537</v>
      </c>
      <c r="L32" s="5">
        <v>2.3360592778663491</v>
      </c>
      <c r="M32" s="5">
        <v>0.62324929039790045</v>
      </c>
      <c r="N32" s="5">
        <v>1.8375884382355112</v>
      </c>
      <c r="O32" s="5">
        <v>2.6098321260316748</v>
      </c>
      <c r="P32" s="5">
        <v>3.4905003091356637</v>
      </c>
      <c r="Q32" s="5">
        <v>2.9093149120410047</v>
      </c>
      <c r="R32" s="5">
        <v>2.948710528691965</v>
      </c>
      <c r="S32" s="5">
        <v>0.97643618730241366</v>
      </c>
      <c r="T32" s="5">
        <v>1.9800106476607118</v>
      </c>
      <c r="U32" s="5">
        <v>1.2693144309468489</v>
      </c>
      <c r="V32" s="5">
        <v>0.78295251949227396</v>
      </c>
      <c r="W32" s="5">
        <v>2.952632833493924</v>
      </c>
      <c r="X32" s="5">
        <v>4.7572992077884262</v>
      </c>
      <c r="Y32" s="5">
        <v>3.1764734758462043</v>
      </c>
      <c r="Z32" s="5">
        <v>3.5787021278180671</v>
      </c>
      <c r="AA32">
        <v>3.5882560159195322</v>
      </c>
      <c r="AB32">
        <v>2.8870870474835755</v>
      </c>
      <c r="AC32">
        <v>3.6479991526969826</v>
      </c>
      <c r="AD32">
        <v>3.3282197210201625</v>
      </c>
      <c r="AE32" s="6">
        <v>3874.86</v>
      </c>
      <c r="AF32" s="6">
        <v>771.05799999999999</v>
      </c>
      <c r="AG32" s="6">
        <v>4446.3040000000001</v>
      </c>
      <c r="AH32" s="6">
        <v>2129.2160000000003</v>
      </c>
      <c r="AI32" s="6">
        <v>9.4718800000000005</v>
      </c>
      <c r="AJ32" s="6">
        <v>95.501599999999996</v>
      </c>
      <c r="AK32" s="6">
        <v>18.5915</v>
      </c>
      <c r="AL32" s="6">
        <v>6.0667000000000009</v>
      </c>
      <c r="AM32" s="6">
        <v>896.6703999999994</v>
      </c>
      <c r="AN32">
        <v>57187.24933333334</v>
      </c>
      <c r="AO32" s="6">
        <v>1501.3207111111105</v>
      </c>
      <c r="AP32" s="6">
        <v>3790.5491111111114</v>
      </c>
    </row>
    <row r="33" spans="1:42">
      <c r="A33" s="1">
        <v>32</v>
      </c>
      <c r="B33" s="1">
        <v>1</v>
      </c>
      <c r="C33" s="1">
        <v>1</v>
      </c>
      <c r="D33" s="1">
        <v>1</v>
      </c>
      <c r="E33" s="1">
        <v>1</v>
      </c>
      <c r="F33" s="1">
        <v>13</v>
      </c>
      <c r="G33" s="1">
        <v>6</v>
      </c>
      <c r="H33" s="1">
        <v>3</v>
      </c>
      <c r="I33" s="1">
        <v>1</v>
      </c>
      <c r="J33" s="1">
        <v>5</v>
      </c>
      <c r="K33" s="5">
        <v>1.2741578492636798</v>
      </c>
      <c r="L33" s="5">
        <v>1.3180633349627615</v>
      </c>
      <c r="M33" s="5">
        <v>1.4183012913197455</v>
      </c>
      <c r="N33" s="5">
        <v>1.7058637122839193</v>
      </c>
      <c r="O33" s="5">
        <v>2.3897082620192784</v>
      </c>
      <c r="P33" s="5">
        <v>3.0550226623772603</v>
      </c>
      <c r="Q33" s="5">
        <v>2.976023274209584</v>
      </c>
      <c r="R33" s="5">
        <v>2.8776976892874249</v>
      </c>
      <c r="S33" s="5">
        <v>8.7470843002076387E-2</v>
      </c>
      <c r="T33" s="5">
        <v>1.0909313751115828</v>
      </c>
      <c r="U33" s="5">
        <v>1.1202507221933211</v>
      </c>
      <c r="V33" s="5">
        <v>0.87592205002553192</v>
      </c>
      <c r="W33" s="5">
        <v>2.1537683677952839</v>
      </c>
      <c r="X33" s="5">
        <v>2.677172440946475</v>
      </c>
      <c r="Y33" s="5">
        <v>2.8625876260274921</v>
      </c>
      <c r="Z33" s="5">
        <v>3.4274106041047725</v>
      </c>
      <c r="AA33">
        <v>2.7395236912501812</v>
      </c>
      <c r="AB33">
        <v>2.5703444266108302</v>
      </c>
      <c r="AC33">
        <v>2.7599381560701586</v>
      </c>
      <c r="AD33">
        <v>2.9250592812375875</v>
      </c>
      <c r="AE33" s="6">
        <v>548.93849999999998</v>
      </c>
      <c r="AF33" s="6">
        <v>371.83</v>
      </c>
      <c r="AG33" s="6">
        <v>575.35800000000006</v>
      </c>
      <c r="AH33" s="6">
        <v>841.51</v>
      </c>
      <c r="AI33" s="6">
        <v>1.223125</v>
      </c>
      <c r="AJ33" s="6">
        <v>12.3291</v>
      </c>
      <c r="AK33" s="6">
        <v>13.190180000000002</v>
      </c>
      <c r="AL33" s="6">
        <v>7.5148799999999998</v>
      </c>
      <c r="AM33" s="6">
        <v>142.48474444444531</v>
      </c>
      <c r="AN33">
        <v>475.52399999999943</v>
      </c>
      <c r="AO33" s="6">
        <v>728.76519999999982</v>
      </c>
      <c r="AP33" s="6">
        <v>2675.5347999999999</v>
      </c>
    </row>
    <row r="34" spans="1:42">
      <c r="A34" s="1">
        <v>33</v>
      </c>
      <c r="B34" s="1">
        <v>0</v>
      </c>
      <c r="C34" s="1">
        <v>1</v>
      </c>
      <c r="D34" s="1">
        <v>1</v>
      </c>
      <c r="E34" s="1">
        <v>0</v>
      </c>
      <c r="F34" s="1">
        <v>12</v>
      </c>
      <c r="G34" s="1">
        <v>6</v>
      </c>
      <c r="H34" s="1">
        <v>2</v>
      </c>
      <c r="I34" s="1">
        <v>1</v>
      </c>
      <c r="J34" s="1">
        <v>4</v>
      </c>
      <c r="K34" s="5">
        <v>2.4163075870598827</v>
      </c>
      <c r="L34" s="5">
        <v>1.9180303367848801</v>
      </c>
      <c r="M34" s="5">
        <v>1.4800069429571505</v>
      </c>
      <c r="N34" s="5">
        <v>2.2221960463017201</v>
      </c>
      <c r="O34" s="5">
        <v>2.3897082620192784</v>
      </c>
      <c r="P34" s="5">
        <v>3.2215939976915293</v>
      </c>
      <c r="Q34" s="5">
        <v>3.097766277634352</v>
      </c>
      <c r="R34" s="5">
        <v>3.432474887586507</v>
      </c>
      <c r="S34" s="5">
        <v>2.1825704226476903</v>
      </c>
      <c r="T34" s="5">
        <v>1.8848768926784585</v>
      </c>
      <c r="U34" s="5">
        <v>1.0580036727704005</v>
      </c>
      <c r="V34" s="5">
        <v>1.9064880416911358</v>
      </c>
      <c r="W34" s="5">
        <v>4.0924040735761693</v>
      </c>
      <c r="X34" s="5">
        <v>3.9671815937436055</v>
      </c>
      <c r="Y34" s="5">
        <v>3.2794422064376465</v>
      </c>
      <c r="Z34" s="5">
        <v>3.8571071141861322</v>
      </c>
      <c r="AA34">
        <v>3.0839825151562552</v>
      </c>
      <c r="AB34">
        <v>3.1925038933956702</v>
      </c>
      <c r="AC34">
        <v>3.8163762749792234</v>
      </c>
      <c r="AD34">
        <v>3.0008607866338322</v>
      </c>
      <c r="AE34" s="6">
        <v>1213.3399999999999</v>
      </c>
      <c r="AF34" s="6">
        <v>1557.7719999999999</v>
      </c>
      <c r="AG34" s="6">
        <v>6552.0359999999991</v>
      </c>
      <c r="AH34" s="6">
        <v>1001.984</v>
      </c>
      <c r="AI34" s="6">
        <v>152.25460000000001</v>
      </c>
      <c r="AJ34" s="6">
        <v>76.714400000000012</v>
      </c>
      <c r="AK34" s="6">
        <v>11.428879999999999</v>
      </c>
      <c r="AL34" s="6">
        <v>80.628400000000013</v>
      </c>
      <c r="AM34" s="6">
        <v>12370.979111111112</v>
      </c>
      <c r="AN34">
        <v>9272.174444444443</v>
      </c>
      <c r="AO34" s="6">
        <v>1903.0149777777769</v>
      </c>
      <c r="AP34" s="6">
        <v>7196.264444444445</v>
      </c>
    </row>
    <row r="35" spans="1:42">
      <c r="A35" s="1">
        <v>34</v>
      </c>
      <c r="B35" s="1">
        <v>0</v>
      </c>
      <c r="C35" s="1">
        <v>1</v>
      </c>
      <c r="D35" s="1">
        <v>1</v>
      </c>
      <c r="E35" s="1">
        <v>1</v>
      </c>
      <c r="F35" s="1">
        <v>10</v>
      </c>
      <c r="G35" s="1">
        <v>6</v>
      </c>
      <c r="H35" s="1">
        <v>2</v>
      </c>
      <c r="I35" s="1">
        <v>1</v>
      </c>
      <c r="J35" s="1">
        <v>4</v>
      </c>
      <c r="K35" s="5">
        <v>1.9385197251764918</v>
      </c>
      <c r="L35" s="5">
        <v>1.9180303367848801</v>
      </c>
      <c r="M35" s="5">
        <v>1.4502491083193612</v>
      </c>
      <c r="N35" s="5">
        <v>2.1667260555800518</v>
      </c>
      <c r="O35" s="5">
        <v>3.4466955139775424</v>
      </c>
      <c r="P35" s="5">
        <v>3.1136063199683353</v>
      </c>
      <c r="Q35" s="5">
        <v>3.0386861483687762</v>
      </c>
      <c r="R35" s="5">
        <v>3.0151386036245422</v>
      </c>
      <c r="S35" s="5">
        <v>2.2143162836512613</v>
      </c>
      <c r="T35" s="5">
        <v>1.3736577599431141</v>
      </c>
      <c r="U35" s="5">
        <v>1.1643296531306699</v>
      </c>
      <c r="V35" s="5">
        <v>1.3960779369703964</v>
      </c>
      <c r="W35" s="5">
        <v>3.5834443335294432</v>
      </c>
      <c r="X35" s="5">
        <v>3.9420843718479479</v>
      </c>
      <c r="Y35" s="5">
        <v>3.1756175232749357</v>
      </c>
      <c r="Z35" s="5">
        <v>3.1139630398771012</v>
      </c>
      <c r="AA35">
        <v>3.1031658315285946</v>
      </c>
      <c r="AB35">
        <v>2.9106841562847441</v>
      </c>
      <c r="AC35">
        <v>3.3193480303485545</v>
      </c>
      <c r="AD35">
        <v>3.6570788105489007</v>
      </c>
      <c r="AE35" s="6">
        <v>1268.136</v>
      </c>
      <c r="AF35" s="6">
        <v>814.11200000000008</v>
      </c>
      <c r="AG35" s="6">
        <v>2086.1619999999998</v>
      </c>
      <c r="AH35" s="6">
        <v>4540.24</v>
      </c>
      <c r="AI35" s="6">
        <v>163.80090000000001</v>
      </c>
      <c r="AJ35" s="6">
        <v>23.640560000000001</v>
      </c>
      <c r="AK35" s="6">
        <v>14.599220000000001</v>
      </c>
      <c r="AL35" s="6">
        <v>24.893040000000003</v>
      </c>
      <c r="AM35" s="6">
        <v>3832.1661777777781</v>
      </c>
      <c r="AN35">
        <v>8751.5377777777776</v>
      </c>
      <c r="AO35" s="6">
        <v>1498.3646666666668</v>
      </c>
      <c r="AP35" s="6">
        <v>1300.0589333333326</v>
      </c>
    </row>
    <row r="36" spans="1:42">
      <c r="A36" s="1">
        <v>35</v>
      </c>
      <c r="B36" s="1">
        <v>1</v>
      </c>
      <c r="C36" s="1">
        <v>1</v>
      </c>
      <c r="D36" s="1">
        <v>0</v>
      </c>
      <c r="E36" s="1">
        <v>1</v>
      </c>
      <c r="F36" s="1">
        <v>8</v>
      </c>
      <c r="G36" s="1">
        <v>6</v>
      </c>
      <c r="H36" s="1">
        <v>2</v>
      </c>
      <c r="I36" s="1">
        <v>1</v>
      </c>
      <c r="J36" s="1">
        <v>3</v>
      </c>
      <c r="K36" s="5">
        <v>1.3180633349627615</v>
      </c>
      <c r="L36" s="5">
        <v>1.4593924877592308</v>
      </c>
      <c r="M36" s="5">
        <v>1.5820633629117087</v>
      </c>
      <c r="N36" s="5">
        <v>1.9385197251764918</v>
      </c>
      <c r="O36" s="5">
        <v>2.3897082620192784</v>
      </c>
      <c r="P36" s="5">
        <v>2.9928863669925154</v>
      </c>
      <c r="Q36" s="5">
        <v>2.8380024404026898</v>
      </c>
      <c r="R36" s="5">
        <v>3.47449206528273</v>
      </c>
      <c r="S36" s="5">
        <v>1.2220304204247014</v>
      </c>
      <c r="T36" s="5">
        <v>0.17240441793879258</v>
      </c>
      <c r="U36" s="5">
        <v>1.0923079039403862</v>
      </c>
      <c r="V36" s="5">
        <v>1.1689621715277752</v>
      </c>
      <c r="W36" s="5">
        <v>2.8133543461714261</v>
      </c>
      <c r="X36" s="5">
        <v>2.5574376343616931</v>
      </c>
      <c r="Y36" s="5">
        <v>3.0041159024612489</v>
      </c>
      <c r="Z36" s="5">
        <v>3.2484824744847725</v>
      </c>
      <c r="AA36">
        <v>2.7912779082764052</v>
      </c>
      <c r="AB36">
        <v>1.9350435021441885</v>
      </c>
      <c r="AC36">
        <v>2.7418399339773623</v>
      </c>
      <c r="AD36">
        <v>2.9853177745816479</v>
      </c>
      <c r="AE36" s="6">
        <v>618.41200000000003</v>
      </c>
      <c r="AF36" s="6">
        <v>86.10799999999999</v>
      </c>
      <c r="AG36" s="6">
        <v>551.87400000000002</v>
      </c>
      <c r="AH36" s="6">
        <v>966.75800000000004</v>
      </c>
      <c r="AI36" s="6">
        <v>16.673640000000002</v>
      </c>
      <c r="AJ36" s="6">
        <v>1.4873200000000002</v>
      </c>
      <c r="AK36" s="6">
        <v>12.36824</v>
      </c>
      <c r="AL36" s="6">
        <v>14.755780000000001</v>
      </c>
      <c r="AM36" s="6">
        <v>650.66035555555561</v>
      </c>
      <c r="AN36">
        <v>360.94217777777737</v>
      </c>
      <c r="AO36" s="6">
        <v>1009.5222666666665</v>
      </c>
      <c r="AP36" s="6">
        <v>1772.0765333333334</v>
      </c>
    </row>
    <row r="37" spans="1:42">
      <c r="A37" s="1">
        <v>36</v>
      </c>
      <c r="B37" s="1">
        <v>1</v>
      </c>
      <c r="C37" s="1">
        <v>1</v>
      </c>
      <c r="D37" s="1">
        <v>1</v>
      </c>
      <c r="E37" s="1">
        <v>1</v>
      </c>
      <c r="F37" s="1">
        <v>20</v>
      </c>
      <c r="G37" s="1">
        <v>18</v>
      </c>
      <c r="H37" s="1">
        <v>3</v>
      </c>
      <c r="I37" s="1">
        <v>1</v>
      </c>
      <c r="J37" s="1">
        <v>6</v>
      </c>
      <c r="K37" s="5">
        <v>1.515873843711679</v>
      </c>
      <c r="L37" s="5">
        <v>1.6884198220027107</v>
      </c>
      <c r="M37" s="5">
        <v>1.2600713879850747</v>
      </c>
      <c r="N37" s="5">
        <v>1.9484129657786009</v>
      </c>
      <c r="O37" s="5">
        <v>2.7064707814322841</v>
      </c>
      <c r="P37" s="5">
        <v>3.1136063199683353</v>
      </c>
      <c r="Q37" s="5">
        <v>3.097766277634352</v>
      </c>
      <c r="R37" s="5">
        <v>3.0775381883965105</v>
      </c>
      <c r="S37" s="5">
        <v>2.0042405272852126</v>
      </c>
      <c r="T37" s="5">
        <v>0.39880079530586965</v>
      </c>
      <c r="U37" s="5">
        <v>0.6860425064842175</v>
      </c>
      <c r="V37" s="5">
        <v>1.7773122521395812</v>
      </c>
      <c r="W37" s="5">
        <v>3.9252526570584783</v>
      </c>
      <c r="X37" s="5">
        <v>-1</v>
      </c>
      <c r="Y37" s="5">
        <v>2.8417509238641396</v>
      </c>
      <c r="Z37" s="5">
        <v>3.6787893597930537</v>
      </c>
      <c r="AA37">
        <v>2.6240292855736067</v>
      </c>
      <c r="AB37">
        <v>2.9905608299940201</v>
      </c>
      <c r="AC37">
        <v>3.6814653840489866</v>
      </c>
      <c r="AD37">
        <v>3.6736078682328697</v>
      </c>
      <c r="AE37" s="6">
        <v>420.755</v>
      </c>
      <c r="AF37" s="6">
        <v>978.5</v>
      </c>
      <c r="AG37" s="6">
        <v>4802.4780000000001</v>
      </c>
      <c r="AH37" s="6">
        <v>4716.37</v>
      </c>
      <c r="AI37" s="6">
        <v>100.9812</v>
      </c>
      <c r="AJ37" s="6">
        <v>2.5049600000000005</v>
      </c>
      <c r="AK37" s="6">
        <v>4.8533600000000003</v>
      </c>
      <c r="AL37" s="6">
        <v>59.8842</v>
      </c>
      <c r="AM37" s="6">
        <v>8418.8477777777771</v>
      </c>
      <c r="AN37">
        <v>0.1</v>
      </c>
      <c r="AO37" s="6">
        <v>694.62582222222261</v>
      </c>
      <c r="AP37" s="6">
        <v>4772.9772000000003</v>
      </c>
    </row>
    <row r="38" spans="1:42">
      <c r="A38" s="1">
        <v>37</v>
      </c>
      <c r="B38" s="1">
        <v>1</v>
      </c>
      <c r="C38" s="1">
        <v>1</v>
      </c>
      <c r="D38" s="1">
        <v>1</v>
      </c>
      <c r="E38" s="1">
        <v>1</v>
      </c>
      <c r="F38" s="1">
        <v>23</v>
      </c>
      <c r="G38" s="1">
        <v>18</v>
      </c>
      <c r="H38" s="1">
        <v>3</v>
      </c>
      <c r="I38" s="1">
        <v>1</v>
      </c>
      <c r="J38" s="1">
        <v>6</v>
      </c>
      <c r="K38" s="5">
        <v>1.8500332576897689</v>
      </c>
      <c r="L38" s="5">
        <v>1.7839035792727349</v>
      </c>
      <c r="M38" s="5">
        <v>1.8819549713396004</v>
      </c>
      <c r="N38" s="5">
        <v>2.0203612826477078</v>
      </c>
      <c r="O38" s="5">
        <v>2.9571618138027489</v>
      </c>
      <c r="P38" s="5">
        <v>3.0550226623772603</v>
      </c>
      <c r="Q38" s="5">
        <v>3.0386861483687762</v>
      </c>
      <c r="R38" s="5">
        <v>3.1363700818248366</v>
      </c>
      <c r="S38" s="5">
        <v>1.6456992648054021</v>
      </c>
      <c r="T38" s="5">
        <v>0.78295251949227396</v>
      </c>
      <c r="U38" s="5">
        <v>1.3736577599431141</v>
      </c>
      <c r="V38" s="5">
        <v>1.3168966909227715</v>
      </c>
      <c r="W38" s="5">
        <v>3.9683608204358225</v>
      </c>
      <c r="X38" s="5">
        <v>2.8079793775161699</v>
      </c>
      <c r="Y38" s="5">
        <v>2.9460758443885999</v>
      </c>
      <c r="Z38" s="5">
        <v>3.197553604439423</v>
      </c>
      <c r="AA38">
        <v>2.7822514790141382</v>
      </c>
      <c r="AB38">
        <v>2.2360734978081696</v>
      </c>
      <c r="AC38">
        <v>3.1572868855740719</v>
      </c>
      <c r="AD38">
        <v>3.6075611711149187</v>
      </c>
      <c r="AE38" s="6">
        <v>605.69150000000013</v>
      </c>
      <c r="AF38" s="6">
        <v>172.21599999999998</v>
      </c>
      <c r="AG38" s="6">
        <v>1436.4380000000001</v>
      </c>
      <c r="AH38" s="6">
        <v>4050.99</v>
      </c>
      <c r="AI38" s="6">
        <v>44.228200000000008</v>
      </c>
      <c r="AJ38" s="6">
        <v>6.0667000000000009</v>
      </c>
      <c r="AK38" s="6">
        <v>23.640560000000001</v>
      </c>
      <c r="AL38" s="6">
        <v>20.744200000000003</v>
      </c>
      <c r="AM38" s="6">
        <v>9297.3851111111107</v>
      </c>
      <c r="AN38">
        <v>642.65719999999976</v>
      </c>
      <c r="AO38" s="6">
        <v>883.23413333333235</v>
      </c>
      <c r="AP38" s="6">
        <v>1575.9905333333338</v>
      </c>
    </row>
    <row r="39" spans="1:42">
      <c r="A39" s="1">
        <v>38</v>
      </c>
      <c r="B39" s="1">
        <v>0</v>
      </c>
      <c r="C39" s="1">
        <v>1</v>
      </c>
      <c r="D39" s="1">
        <v>0</v>
      </c>
      <c r="E39" s="1">
        <v>1</v>
      </c>
      <c r="F39" s="1">
        <v>4</v>
      </c>
      <c r="G39" s="1">
        <v>6</v>
      </c>
      <c r="H39" s="1">
        <v>1</v>
      </c>
      <c r="I39" s="1">
        <v>1</v>
      </c>
      <c r="J39" s="1">
        <v>2</v>
      </c>
      <c r="K39" s="5">
        <v>1.4593924877592308</v>
      </c>
      <c r="L39" s="5">
        <v>1.1702617153949575</v>
      </c>
      <c r="M39" s="5">
        <v>1.6042260530844701</v>
      </c>
      <c r="N39" s="5">
        <v>2.216957207361097</v>
      </c>
      <c r="O39" s="5">
        <v>2.3897082620192784</v>
      </c>
      <c r="P39" s="5">
        <v>2.7800695193686678</v>
      </c>
      <c r="Q39" s="5">
        <v>2.976023274209584</v>
      </c>
      <c r="R39" s="5">
        <v>3.0775381883965105</v>
      </c>
      <c r="S39" s="5">
        <v>1.5245869360501552</v>
      </c>
      <c r="T39" s="5">
        <v>0.82814926822953128</v>
      </c>
      <c r="U39" s="5">
        <v>1.6626586879297374</v>
      </c>
      <c r="V39" s="5">
        <v>1.7065641736288191</v>
      </c>
      <c r="W39" s="5">
        <v>2.797510948421853</v>
      </c>
      <c r="X39" s="5">
        <v>2.7254357884087392</v>
      </c>
      <c r="Y39" s="5">
        <v>3.4101142537598328</v>
      </c>
      <c r="Z39" s="5">
        <v>3.8145753628695718</v>
      </c>
      <c r="AA39">
        <v>2.4705677729511706</v>
      </c>
      <c r="AB39">
        <v>1.9350435021441885</v>
      </c>
      <c r="AC39">
        <v>2.5611037698759174</v>
      </c>
      <c r="AD39">
        <v>3.0535186640785303</v>
      </c>
      <c r="AE39" s="6">
        <v>295.50700000000001</v>
      </c>
      <c r="AF39" s="6">
        <v>86.10799999999999</v>
      </c>
      <c r="AG39" s="6">
        <v>364.00200000000007</v>
      </c>
      <c r="AH39" s="6">
        <v>1131.1460000000002</v>
      </c>
      <c r="AI39" s="6">
        <v>33.464700000000008</v>
      </c>
      <c r="AJ39" s="6">
        <v>6.7320800000000007</v>
      </c>
      <c r="AK39" s="6">
        <v>45.9895</v>
      </c>
      <c r="AL39" s="6">
        <v>50.882000000000005</v>
      </c>
      <c r="AM39" s="6">
        <v>627.35151111110997</v>
      </c>
      <c r="AN39">
        <v>531.41742222222308</v>
      </c>
      <c r="AO39" s="6">
        <v>2571.0720888888886</v>
      </c>
      <c r="AP39" s="6">
        <v>6524.9225777777774</v>
      </c>
    </row>
    <row r="40" spans="1:42">
      <c r="A40" s="1">
        <v>39</v>
      </c>
      <c r="B40" s="1">
        <v>1</v>
      </c>
      <c r="C40" s="1">
        <v>1</v>
      </c>
      <c r="D40" s="1">
        <v>1</v>
      </c>
      <c r="E40" s="1">
        <v>1</v>
      </c>
      <c r="F40" s="1">
        <v>22</v>
      </c>
      <c r="G40" s="1">
        <v>18</v>
      </c>
      <c r="H40" s="1">
        <v>3</v>
      </c>
      <c r="I40" s="1">
        <v>1</v>
      </c>
      <c r="J40" s="1">
        <v>6</v>
      </c>
      <c r="K40" s="5">
        <v>1.9180303367848801</v>
      </c>
      <c r="L40" s="5">
        <v>1.8621313793130372</v>
      </c>
      <c r="M40" s="5">
        <v>1.7007037171450194</v>
      </c>
      <c r="N40" s="5">
        <v>1.9283958522567137</v>
      </c>
      <c r="O40" s="5">
        <v>2.9571618138027489</v>
      </c>
      <c r="P40" s="5">
        <v>3.1136063199683353</v>
      </c>
      <c r="Q40" s="5">
        <v>3.1536512857562164</v>
      </c>
      <c r="R40" s="5">
        <v>3.1363700818248366</v>
      </c>
      <c r="S40" s="5">
        <v>2.0420992205093476</v>
      </c>
      <c r="T40" s="5">
        <v>0.70321053162123137</v>
      </c>
      <c r="U40" s="5">
        <v>1.5380894064538022</v>
      </c>
      <c r="V40" s="5">
        <v>1.2783625599242459</v>
      </c>
      <c r="W40" s="5">
        <v>3.722318560716424</v>
      </c>
      <c r="X40" s="5">
        <v>2.456459428457046</v>
      </c>
      <c r="Y40" s="5">
        <v>3.859012896432628</v>
      </c>
      <c r="Z40" s="5">
        <v>3.9658512545891473</v>
      </c>
      <c r="AA40">
        <v>2.5245869360501549</v>
      </c>
      <c r="AB40">
        <v>3.3843114703421002</v>
      </c>
      <c r="AC40">
        <v>3.271139200362096</v>
      </c>
      <c r="AD40">
        <v>3.1892179169484427</v>
      </c>
      <c r="AE40" s="6">
        <v>334.64699999999999</v>
      </c>
      <c r="AF40" s="6">
        <v>2422.7660000000005</v>
      </c>
      <c r="AG40" s="6">
        <v>1866.9779999999996</v>
      </c>
      <c r="AH40" s="6">
        <v>1546.03</v>
      </c>
      <c r="AI40" s="6">
        <v>110.17910000000001</v>
      </c>
      <c r="AJ40" s="6">
        <v>5.0490600000000008</v>
      </c>
      <c r="AK40" s="6">
        <v>34.521480000000004</v>
      </c>
      <c r="AL40" s="6">
        <v>18.982899999999997</v>
      </c>
      <c r="AM40" s="6">
        <v>5276.1673333333329</v>
      </c>
      <c r="AN40">
        <v>286.06151111111075</v>
      </c>
      <c r="AO40" s="6">
        <v>7227.912666666668</v>
      </c>
      <c r="AP40" s="6">
        <v>9243.8152000000009</v>
      </c>
    </row>
    <row r="41" spans="1:42">
      <c r="A41" s="1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5">
        <v>1.8247764624755456</v>
      </c>
      <c r="L41" s="5">
        <v>2.1547282074401557</v>
      </c>
      <c r="M41" s="5">
        <v>1.7649229846498886</v>
      </c>
      <c r="N41" s="5">
        <v>1.8375884382355112</v>
      </c>
      <c r="O41" s="5">
        <v>2.9571618138027489</v>
      </c>
      <c r="P41" s="5">
        <v>3.1136063199683353</v>
      </c>
      <c r="Q41" s="5">
        <v>3.2066691051687592</v>
      </c>
      <c r="R41" s="5">
        <v>3.1363700818248366</v>
      </c>
      <c r="S41" s="5">
        <v>1.7402971455630811</v>
      </c>
      <c r="T41" s="5">
        <v>2.0109221126417278</v>
      </c>
      <c r="U41" s="5">
        <v>1.5952188020418909</v>
      </c>
      <c r="V41" s="5">
        <v>1.136688865672258</v>
      </c>
      <c r="W41" s="5">
        <v>3.6188819086056006</v>
      </c>
      <c r="X41" s="5">
        <v>4.1849299402708322</v>
      </c>
      <c r="Y41" s="5">
        <v>3.642798421576475</v>
      </c>
      <c r="Z41" s="5">
        <v>4.0351503229170085</v>
      </c>
      <c r="AA41">
        <v>2.8725158013336203</v>
      </c>
      <c r="AB41">
        <v>3.7028737386753856</v>
      </c>
      <c r="AC41">
        <v>3.8914738977316889</v>
      </c>
      <c r="AD41">
        <v>4.0631783065392568</v>
      </c>
      <c r="AE41" s="6">
        <v>745.61699999999996</v>
      </c>
      <c r="AF41" s="6">
        <v>5045.1460000000006</v>
      </c>
      <c r="AG41" s="6">
        <v>7788.86</v>
      </c>
      <c r="AH41" s="6">
        <v>11565.87</v>
      </c>
      <c r="AI41" s="6">
        <v>54.991700000000009</v>
      </c>
      <c r="AJ41" s="6">
        <v>102.54680000000002</v>
      </c>
      <c r="AK41" s="6">
        <v>39.374840000000006</v>
      </c>
      <c r="AL41" s="6">
        <v>13.699000000000002</v>
      </c>
      <c r="AM41" s="6">
        <v>4157.9753333333329</v>
      </c>
      <c r="AN41">
        <v>15308.40488888889</v>
      </c>
      <c r="AO41" s="6">
        <v>4393.3764888888891</v>
      </c>
      <c r="AP41" s="6">
        <v>10843.0216</v>
      </c>
    </row>
    <row r="42" spans="1:42">
      <c r="A42" s="1">
        <v>41</v>
      </c>
      <c r="B42" s="1">
        <v>1</v>
      </c>
      <c r="C42" s="1">
        <v>1</v>
      </c>
      <c r="D42" s="1">
        <v>0</v>
      </c>
      <c r="E42" s="1">
        <v>1</v>
      </c>
      <c r="F42" s="1">
        <v>9</v>
      </c>
      <c r="G42" s="1">
        <v>6</v>
      </c>
      <c r="H42" s="1">
        <v>2</v>
      </c>
      <c r="I42" s="1">
        <v>1</v>
      </c>
      <c r="J42" s="1">
        <v>3</v>
      </c>
      <c r="K42" s="5">
        <v>1.885361220031512</v>
      </c>
      <c r="L42" s="5">
        <v>2.0203612826477078</v>
      </c>
      <c r="M42" s="5">
        <v>1.9041743682841634</v>
      </c>
      <c r="N42" s="5">
        <v>1.7543483357110188</v>
      </c>
      <c r="O42" s="5">
        <v>3.0303562634508796</v>
      </c>
      <c r="P42" s="5">
        <v>3.2716007434965833</v>
      </c>
      <c r="Q42" s="5">
        <v>2.976023274209584</v>
      </c>
      <c r="R42" s="5">
        <v>3.1363700818248366</v>
      </c>
      <c r="S42" s="5">
        <v>1.9974545379419204</v>
      </c>
      <c r="T42" s="5">
        <v>0.93897379577262108</v>
      </c>
      <c r="U42" s="5">
        <v>1.4511580188916215</v>
      </c>
      <c r="V42" s="5">
        <v>2.2752171127825358</v>
      </c>
      <c r="W42" s="5">
        <v>4.0214889369993543</v>
      </c>
      <c r="X42" s="5">
        <v>3.1245962907220037</v>
      </c>
      <c r="Y42" s="5">
        <v>2.7209344037318122</v>
      </c>
      <c r="Z42" s="5">
        <v>3.6304858313330888</v>
      </c>
      <c r="AA42">
        <v>2.9017184387339965</v>
      </c>
      <c r="AB42">
        <v>2.3168966909227713</v>
      </c>
      <c r="AC42">
        <v>3.4088621213137653</v>
      </c>
      <c r="AD42">
        <v>3.8217905238610834</v>
      </c>
      <c r="AE42" s="6">
        <v>797.47749999999996</v>
      </c>
      <c r="AF42" s="6">
        <v>207.44200000000004</v>
      </c>
      <c r="AG42" s="6">
        <v>2563.67</v>
      </c>
      <c r="AH42" s="6">
        <v>6634.23</v>
      </c>
      <c r="AI42" s="6">
        <v>99.415599999999998</v>
      </c>
      <c r="AJ42" s="6">
        <v>8.6890800000000024</v>
      </c>
      <c r="AK42" s="6">
        <v>28.259080000000001</v>
      </c>
      <c r="AL42" s="6">
        <v>188.45910000000001</v>
      </c>
      <c r="AM42" s="6">
        <v>10507.246888888891</v>
      </c>
      <c r="AN42">
        <v>1332.2823999999996</v>
      </c>
      <c r="AO42" s="6">
        <v>525.93782222222308</v>
      </c>
      <c r="AP42" s="6">
        <v>4270.5698666666658</v>
      </c>
    </row>
    <row r="43" spans="1:42">
      <c r="A43" s="1">
        <v>42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5">
        <v>1.9768083373380663</v>
      </c>
      <c r="L43" s="5">
        <v>1.9768083373380663</v>
      </c>
      <c r="M43" s="5">
        <v>2.0178677189635055</v>
      </c>
      <c r="N43" s="5">
        <v>2.5852350633657752</v>
      </c>
      <c r="O43" s="5">
        <v>2.9571618138027489</v>
      </c>
      <c r="P43" s="5">
        <v>3.1690217061732096</v>
      </c>
      <c r="Q43" s="5">
        <v>2.6786690810818303</v>
      </c>
      <c r="R43" s="5">
        <v>3.7285796933481783</v>
      </c>
      <c r="S43" s="5">
        <v>1.8702300356260735</v>
      </c>
      <c r="T43" s="5">
        <v>1.0668370853982376</v>
      </c>
      <c r="U43" s="5">
        <v>1.8230697427002562</v>
      </c>
      <c r="V43" s="5">
        <v>2.2434138609739134</v>
      </c>
      <c r="W43" s="5">
        <v>4.2226129447340206</v>
      </c>
      <c r="X43" s="5">
        <v>3.4656699329427045</v>
      </c>
      <c r="Y43" s="5">
        <v>4.4332742903144293</v>
      </c>
      <c r="Z43" s="5">
        <v>4.497240393984141</v>
      </c>
      <c r="AA43">
        <v>3.1903160072474948</v>
      </c>
      <c r="AB43">
        <v>2.8021358358646133</v>
      </c>
      <c r="AC43">
        <v>3.7940179456424339</v>
      </c>
      <c r="AD43">
        <v>3.9280787220113664</v>
      </c>
      <c r="AE43" s="6">
        <v>1549.9440000000002</v>
      </c>
      <c r="AF43" s="6">
        <v>634.06799999999998</v>
      </c>
      <c r="AG43" s="6">
        <v>6223.26</v>
      </c>
      <c r="AH43" s="6">
        <v>8473.81</v>
      </c>
      <c r="AI43" s="6">
        <v>74.170299999999997</v>
      </c>
      <c r="AJ43" s="6">
        <v>11.663720000000001</v>
      </c>
      <c r="AK43" s="6">
        <v>66.537999999999997</v>
      </c>
      <c r="AL43" s="6">
        <v>175.15150000000003</v>
      </c>
      <c r="AM43" s="6">
        <v>16696.019555555555</v>
      </c>
      <c r="AN43">
        <v>2921.930844444445</v>
      </c>
      <c r="AO43" s="6">
        <v>27119.038666666671</v>
      </c>
      <c r="AP43" s="6">
        <v>31422.475333333336</v>
      </c>
    </row>
    <row r="44" spans="1:42">
      <c r="A44" s="1">
        <v>43</v>
      </c>
      <c r="B44" s="1">
        <v>1</v>
      </c>
      <c r="C44" s="1">
        <v>1</v>
      </c>
      <c r="D44" s="1">
        <v>0</v>
      </c>
      <c r="E44" s="1">
        <v>1</v>
      </c>
      <c r="F44" s="1">
        <v>7</v>
      </c>
      <c r="G44" s="1">
        <v>6</v>
      </c>
      <c r="H44" s="1">
        <v>2</v>
      </c>
      <c r="I44" s="1">
        <v>1</v>
      </c>
      <c r="J44" s="1">
        <v>3</v>
      </c>
      <c r="K44" s="5">
        <v>1.5888317255942073</v>
      </c>
      <c r="L44" s="5">
        <v>1.4281347940287887</v>
      </c>
      <c r="M44" s="5">
        <v>1.7649229846498886</v>
      </c>
      <c r="N44" s="5">
        <v>1.9858753573083936</v>
      </c>
      <c r="O44" s="5">
        <v>2.7959442012047799</v>
      </c>
      <c r="P44" s="5">
        <v>2.9928863669925154</v>
      </c>
      <c r="Q44" s="5">
        <v>2.9093149120410047</v>
      </c>
      <c r="R44" s="5">
        <v>3.6272574997505265</v>
      </c>
      <c r="S44" s="5">
        <v>1.4438791700410576</v>
      </c>
      <c r="T44" s="5">
        <v>1.6379438001086399</v>
      </c>
      <c r="U44" s="5">
        <v>1.3793722434675435</v>
      </c>
      <c r="V44" s="5">
        <v>2.2153527864867018</v>
      </c>
      <c r="W44" s="5">
        <v>3.1385048656333878</v>
      </c>
      <c r="X44" s="5">
        <v>2.5881396861612336</v>
      </c>
      <c r="Y44" s="5">
        <v>3.1823449339824204</v>
      </c>
      <c r="Z44" s="5">
        <v>4.2327694110329741</v>
      </c>
      <c r="AA44">
        <v>2.6290500869486575</v>
      </c>
      <c r="AB44">
        <v>2.1724044179387927</v>
      </c>
      <c r="AC44">
        <v>3.0042405272852126</v>
      </c>
      <c r="AD44">
        <v>3.3560488148849195</v>
      </c>
      <c r="AE44" s="6">
        <v>425.64749999999998</v>
      </c>
      <c r="AF44" s="6">
        <v>148.732</v>
      </c>
      <c r="AG44" s="6">
        <v>1009.812</v>
      </c>
      <c r="AH44" s="6">
        <v>2270.12</v>
      </c>
      <c r="AI44" s="6">
        <v>27.789400000000001</v>
      </c>
      <c r="AJ44" s="6">
        <v>43.445400000000006</v>
      </c>
      <c r="AK44" s="6">
        <v>23.953680000000002</v>
      </c>
      <c r="AL44" s="6">
        <v>164.19230000000005</v>
      </c>
      <c r="AM44" s="6">
        <v>1375.6402222222223</v>
      </c>
      <c r="AN44">
        <v>387.38222222222305</v>
      </c>
      <c r="AO44" s="6">
        <v>1521.7556888888889</v>
      </c>
      <c r="AP44" s="6">
        <v>17091.076222222218</v>
      </c>
    </row>
    <row r="45" spans="1:42">
      <c r="A45" s="1">
        <v>44</v>
      </c>
      <c r="B45" s="1">
        <v>0</v>
      </c>
      <c r="C45" s="1">
        <v>1</v>
      </c>
      <c r="D45" s="1">
        <v>0</v>
      </c>
      <c r="E45" s="1">
        <v>0</v>
      </c>
      <c r="F45" s="1">
        <v>5</v>
      </c>
      <c r="G45" s="1">
        <v>6</v>
      </c>
      <c r="H45" s="1">
        <v>1</v>
      </c>
      <c r="I45" s="1">
        <v>1</v>
      </c>
      <c r="J45" s="1">
        <v>2</v>
      </c>
      <c r="K45" s="5">
        <v>1.8739015978644613</v>
      </c>
      <c r="L45" s="5">
        <v>1.651278013998144</v>
      </c>
      <c r="M45" s="5">
        <v>2.3308194664958366</v>
      </c>
      <c r="N45" s="5">
        <v>2.3155505344219049</v>
      </c>
      <c r="O45" s="5">
        <v>2.9571618138027489</v>
      </c>
      <c r="P45" s="5">
        <v>3.2215939976915293</v>
      </c>
      <c r="Q45" s="5">
        <v>3.097766277634352</v>
      </c>
      <c r="R45" s="5">
        <v>3.1125409919982285</v>
      </c>
      <c r="S45" s="5">
        <v>2.1403955267098049</v>
      </c>
      <c r="T45" s="5">
        <v>2.2859079783276379</v>
      </c>
      <c r="U45" s="5">
        <v>2.1935937170087305</v>
      </c>
      <c r="V45" s="5">
        <v>2.0311631701080932</v>
      </c>
      <c r="W45" s="5">
        <v>3.8443624809017667</v>
      </c>
      <c r="X45" s="5">
        <v>3.1732289508880278</v>
      </c>
      <c r="Y45" s="5">
        <v>3.6244956533936938</v>
      </c>
      <c r="Z45" s="5">
        <v>4.0344403508331448</v>
      </c>
      <c r="AA45">
        <v>3.3693220053103934</v>
      </c>
      <c r="AB45">
        <v>2.4377188613362391</v>
      </c>
      <c r="AC45">
        <v>2.5657486749216809</v>
      </c>
      <c r="AD45">
        <v>3.0697420760416447</v>
      </c>
      <c r="AE45" s="6">
        <v>2340.5720000000001</v>
      </c>
      <c r="AF45" s="6">
        <v>273.98</v>
      </c>
      <c r="AG45" s="6">
        <v>367.91599999999994</v>
      </c>
      <c r="AH45" s="6">
        <v>1174.2</v>
      </c>
      <c r="AI45" s="6">
        <v>138.16419999999999</v>
      </c>
      <c r="AJ45" s="6">
        <v>193.15590000000003</v>
      </c>
      <c r="AK45" s="6">
        <v>156.1686</v>
      </c>
      <c r="AL45" s="6">
        <v>107.4393</v>
      </c>
      <c r="AM45" s="6">
        <v>6988.1542222222233</v>
      </c>
      <c r="AN45">
        <v>1490.1464444444446</v>
      </c>
      <c r="AO45" s="6">
        <v>4212.0707111111115</v>
      </c>
      <c r="AP45" s="6">
        <v>10825.310222222221</v>
      </c>
    </row>
    <row r="46" spans="1:42">
      <c r="A46" s="1">
        <v>45</v>
      </c>
      <c r="B46" s="1">
        <v>0</v>
      </c>
      <c r="C46" s="1">
        <v>1</v>
      </c>
      <c r="D46" s="1">
        <v>0</v>
      </c>
      <c r="E46" s="1">
        <v>1</v>
      </c>
      <c r="F46" s="1">
        <v>5</v>
      </c>
      <c r="G46" s="1">
        <v>6</v>
      </c>
      <c r="H46" s="1">
        <v>1</v>
      </c>
      <c r="I46" s="1">
        <v>1</v>
      </c>
      <c r="J46" s="1">
        <v>2</v>
      </c>
      <c r="K46" s="5">
        <v>1.8500332576897689</v>
      </c>
      <c r="L46" s="5">
        <v>2.0523090996473234</v>
      </c>
      <c r="M46" s="5">
        <v>2.1708482036433092</v>
      </c>
      <c r="N46" s="5">
        <v>1.8965262174895554</v>
      </c>
      <c r="O46" s="5">
        <v>3.0993658262064696</v>
      </c>
      <c r="P46" s="5">
        <v>3.2215939976915293</v>
      </c>
      <c r="Q46" s="5">
        <v>3.2570996369552119</v>
      </c>
      <c r="R46" s="5">
        <v>2.948710528691965</v>
      </c>
      <c r="S46" s="5">
        <v>2.2984845336059014</v>
      </c>
      <c r="T46" s="5">
        <v>1.4918940086395862</v>
      </c>
      <c r="U46" s="5">
        <v>1.9210004247607202</v>
      </c>
      <c r="V46" s="5">
        <v>0.94480333943334482</v>
      </c>
      <c r="W46" s="5">
        <v>3.8674508307453781</v>
      </c>
      <c r="X46" s="5">
        <v>3.7402577969042454</v>
      </c>
      <c r="Y46" s="5">
        <v>3.8684514776286663</v>
      </c>
      <c r="Z46" s="5">
        <v>3.776728251101261</v>
      </c>
      <c r="AA46">
        <v>2.7808459940272616</v>
      </c>
      <c r="AB46">
        <v>2.0697420760416447</v>
      </c>
      <c r="AC46">
        <v>2.840594087683789</v>
      </c>
      <c r="AD46">
        <v>3.5926208213219826</v>
      </c>
      <c r="AE46" s="6">
        <v>603.73450000000003</v>
      </c>
      <c r="AF46" s="6">
        <v>117.42</v>
      </c>
      <c r="AG46" s="6">
        <v>692.77800000000002</v>
      </c>
      <c r="AH46" s="6">
        <v>3914</v>
      </c>
      <c r="AI46" s="6">
        <v>198.8312</v>
      </c>
      <c r="AJ46" s="6">
        <v>31.038020000000003</v>
      </c>
      <c r="AK46" s="6">
        <v>83.368200000000002</v>
      </c>
      <c r="AL46" s="6">
        <v>8.8064999999999998</v>
      </c>
      <c r="AM46" s="6">
        <v>7369.717333333333</v>
      </c>
      <c r="AN46">
        <v>5498.6717777777776</v>
      </c>
      <c r="AO46" s="6">
        <v>7386.7172888888872</v>
      </c>
      <c r="AP46" s="6">
        <v>5980.3727111111111</v>
      </c>
    </row>
    <row r="47" spans="1:42">
      <c r="A47" s="1">
        <v>46</v>
      </c>
      <c r="B47" s="1">
        <v>0</v>
      </c>
      <c r="C47" s="1">
        <v>1</v>
      </c>
      <c r="D47" s="1">
        <v>0</v>
      </c>
      <c r="E47" s="1">
        <v>1</v>
      </c>
      <c r="F47" s="1">
        <v>6</v>
      </c>
      <c r="G47" s="1">
        <v>6</v>
      </c>
      <c r="H47" s="1">
        <v>1</v>
      </c>
      <c r="I47" s="1">
        <v>1</v>
      </c>
      <c r="J47" s="1">
        <v>2</v>
      </c>
      <c r="K47" s="5">
        <v>1.4281347940287887</v>
      </c>
      <c r="L47" s="5">
        <v>1.515873843711679</v>
      </c>
      <c r="M47" s="5">
        <v>1.6253124509616739</v>
      </c>
      <c r="N47" s="5">
        <v>1.5658478186735176</v>
      </c>
      <c r="O47" s="5">
        <v>2.5047799267591442</v>
      </c>
      <c r="P47" s="5">
        <v>2.8560253721251745</v>
      </c>
      <c r="Q47" s="5">
        <v>3.0386861483687762</v>
      </c>
      <c r="R47" s="5">
        <v>2.948710528691965</v>
      </c>
      <c r="S47" s="5">
        <v>1.498955863127073</v>
      </c>
      <c r="T47" s="5">
        <v>1.1071685739822685</v>
      </c>
      <c r="U47" s="5">
        <v>0.86677867058566216</v>
      </c>
      <c r="V47" s="5">
        <v>0.29159082565800121</v>
      </c>
      <c r="W47" s="5">
        <v>2.7468959765958112</v>
      </c>
      <c r="X47" s="5">
        <v>2.5020202525843818</v>
      </c>
      <c r="Y47" s="5">
        <v>2.9167508868929524</v>
      </c>
      <c r="Z47" s="5">
        <v>3.2978445467903414</v>
      </c>
      <c r="AA47">
        <v>2.4647770940702753</v>
      </c>
      <c r="AB47">
        <v>1.8936508169859636</v>
      </c>
      <c r="AC47">
        <v>2.5838468970144772</v>
      </c>
      <c r="AD47">
        <v>3.1654924235224624</v>
      </c>
      <c r="AE47" s="6">
        <v>291.59300000000002</v>
      </c>
      <c r="AF47" s="6">
        <v>78.28</v>
      </c>
      <c r="AG47" s="6">
        <v>383.572</v>
      </c>
      <c r="AH47" s="6">
        <v>1463.836</v>
      </c>
      <c r="AI47" s="6">
        <v>31.546840000000003</v>
      </c>
      <c r="AJ47" s="6">
        <v>12.798780000000001</v>
      </c>
      <c r="AK47" s="6">
        <v>7.3583199999999991</v>
      </c>
      <c r="AL47" s="6">
        <v>1.9570000000000001</v>
      </c>
      <c r="AM47" s="6">
        <v>558.3364444444444</v>
      </c>
      <c r="AN47">
        <v>317.70222222222219</v>
      </c>
      <c r="AO47" s="6">
        <v>825.56426666666653</v>
      </c>
      <c r="AP47" s="6">
        <v>1985.3841333333335</v>
      </c>
    </row>
    <row r="48" spans="1:42">
      <c r="A48" s="1">
        <v>47</v>
      </c>
      <c r="B48" s="1">
        <v>1</v>
      </c>
      <c r="C48" s="1">
        <v>1</v>
      </c>
      <c r="D48" s="1">
        <v>1</v>
      </c>
      <c r="E48" s="1">
        <v>1</v>
      </c>
      <c r="F48" s="1">
        <v>16</v>
      </c>
      <c r="G48" s="1">
        <v>6</v>
      </c>
      <c r="H48" s="1">
        <v>3</v>
      </c>
      <c r="I48" s="1">
        <v>1</v>
      </c>
      <c r="J48" s="1">
        <v>5</v>
      </c>
      <c r="K48" s="5">
        <v>1.2741578492636798</v>
      </c>
      <c r="L48" s="5">
        <v>1.885361220031512</v>
      </c>
      <c r="M48" s="5">
        <v>1.7795964912578246</v>
      </c>
      <c r="N48" s="5">
        <v>1.9385197251764918</v>
      </c>
      <c r="O48" s="5">
        <v>2.5047799267591442</v>
      </c>
      <c r="P48" s="5">
        <v>3.2215939976915293</v>
      </c>
      <c r="Q48" s="5">
        <v>2.7614028939787554</v>
      </c>
      <c r="R48" s="5">
        <v>3.0775381883965105</v>
      </c>
      <c r="S48" s="5">
        <v>1.3530433047451944</v>
      </c>
      <c r="T48" s="5">
        <v>1.5122218451060934</v>
      </c>
      <c r="U48" s="5">
        <v>0.87137442227481132</v>
      </c>
      <c r="V48" s="5">
        <v>2.2385340963558265</v>
      </c>
      <c r="W48" s="5">
        <v>3.7222261706653192</v>
      </c>
      <c r="X48" s="5">
        <v>3.492749775913035</v>
      </c>
      <c r="Y48" s="5">
        <v>3.1978883715931188</v>
      </c>
      <c r="Z48" s="5">
        <v>4.0411597619031028</v>
      </c>
      <c r="AA48">
        <v>3.3779506563327493</v>
      </c>
      <c r="AB48">
        <v>3.0008607866338322</v>
      </c>
      <c r="AC48">
        <v>3.8354106308006588</v>
      </c>
      <c r="AD48">
        <v>3.7672620139824309</v>
      </c>
      <c r="AE48" s="6">
        <v>2387.54</v>
      </c>
      <c r="AF48" s="6">
        <v>1001.984</v>
      </c>
      <c r="AG48" s="6">
        <v>6845.5859999999993</v>
      </c>
      <c r="AH48" s="6">
        <v>5851.43</v>
      </c>
      <c r="AI48" s="6">
        <v>22.544640000000001</v>
      </c>
      <c r="AJ48" s="6">
        <v>32.52534</v>
      </c>
      <c r="AK48" s="6">
        <v>7.4366000000000003</v>
      </c>
      <c r="AL48" s="6">
        <v>173.19450000000001</v>
      </c>
      <c r="AM48" s="6">
        <v>5275.0450222222225</v>
      </c>
      <c r="AN48">
        <v>3109.9239999999991</v>
      </c>
      <c r="AO48" s="6">
        <v>1577.2058222222236</v>
      </c>
      <c r="AP48" s="6">
        <v>10994.102000000001</v>
      </c>
    </row>
    <row r="49" spans="1:42">
      <c r="A49" s="1">
        <v>48</v>
      </c>
      <c r="B49" s="1">
        <v>0</v>
      </c>
      <c r="C49" s="1">
        <v>1</v>
      </c>
      <c r="D49" s="1">
        <v>1</v>
      </c>
      <c r="E49" s="1">
        <v>1</v>
      </c>
      <c r="F49" s="1">
        <v>12</v>
      </c>
      <c r="G49" s="1">
        <v>6</v>
      </c>
      <c r="H49" s="1">
        <v>2</v>
      </c>
      <c r="I49" s="1">
        <v>1</v>
      </c>
      <c r="J49" s="1">
        <v>4</v>
      </c>
      <c r="K49" s="5">
        <v>2.0285712526925375</v>
      </c>
      <c r="L49" s="5">
        <v>1.7387805584843692</v>
      </c>
      <c r="M49" s="5">
        <v>2.0094508957986941</v>
      </c>
      <c r="N49" s="5">
        <v>1.885361220031512</v>
      </c>
      <c r="O49" s="5">
        <v>2.9571618138027489</v>
      </c>
      <c r="P49" s="5">
        <v>3.0550226623772603</v>
      </c>
      <c r="Q49" s="5">
        <v>3.0386861483687762</v>
      </c>
      <c r="R49" s="5">
        <v>3.1920202789882057</v>
      </c>
      <c r="S49" s="5">
        <v>2.0711873169158257</v>
      </c>
      <c r="T49" s="5">
        <v>0.97463786389685081</v>
      </c>
      <c r="U49" s="5">
        <v>1.5965119875588929</v>
      </c>
      <c r="V49" s="5">
        <v>1.7164724622890681</v>
      </c>
      <c r="W49" s="5">
        <v>4.3730933668744569</v>
      </c>
      <c r="X49" s="5">
        <v>2.6979955131490465</v>
      </c>
      <c r="Y49" s="5">
        <v>3.2568848159476804</v>
      </c>
      <c r="Z49" s="5">
        <v>3.3373701169437964</v>
      </c>
      <c r="AA49">
        <v>3.0397788526642016</v>
      </c>
      <c r="AB49">
        <v>3.6863926028207121</v>
      </c>
      <c r="AC49">
        <v>3.9220187006830249</v>
      </c>
      <c r="AD49">
        <v>4.01586669525879</v>
      </c>
      <c r="AE49" s="6">
        <v>1095.92</v>
      </c>
      <c r="AF49" s="6">
        <v>4857.2739999999994</v>
      </c>
      <c r="AG49" s="6">
        <v>8356.39</v>
      </c>
      <c r="AH49" s="6">
        <v>10372.1</v>
      </c>
      <c r="AI49" s="6">
        <v>117.81140000000001</v>
      </c>
      <c r="AJ49" s="6">
        <v>9.4327400000000008</v>
      </c>
      <c r="AK49" s="6">
        <v>39.492260000000002</v>
      </c>
      <c r="AL49" s="6">
        <v>52.056200000000004</v>
      </c>
      <c r="AM49" s="6">
        <v>23609.857555555554</v>
      </c>
      <c r="AN49">
        <v>498.87933333333393</v>
      </c>
      <c r="AO49" s="6">
        <v>1806.694888888889</v>
      </c>
      <c r="AP49" s="6">
        <v>2174.5536000000002</v>
      </c>
    </row>
    <row r="50" spans="1:42">
      <c r="A50" s="1">
        <v>49</v>
      </c>
      <c r="B50" s="1">
        <v>1</v>
      </c>
      <c r="C50" s="1">
        <v>0</v>
      </c>
      <c r="D50" s="1">
        <v>0</v>
      </c>
      <c r="E50" s="1">
        <v>1</v>
      </c>
      <c r="F50" s="1">
        <v>2</v>
      </c>
      <c r="G50" s="1">
        <v>6</v>
      </c>
      <c r="H50" s="1">
        <v>1</v>
      </c>
      <c r="I50" s="1">
        <v>1</v>
      </c>
      <c r="J50" s="1">
        <v>1</v>
      </c>
      <c r="K50" s="5">
        <v>1.3579348470004537</v>
      </c>
      <c r="L50" s="5">
        <v>1.885361220031512</v>
      </c>
      <c r="M50" s="5">
        <v>1.7339992865383869</v>
      </c>
      <c r="N50" s="5">
        <v>1.9180303367848801</v>
      </c>
      <c r="O50" s="5">
        <v>2.7064707814322841</v>
      </c>
      <c r="P50" s="5">
        <v>3.0550226623772603</v>
      </c>
      <c r="Q50" s="5">
        <v>2.9093149120410047</v>
      </c>
      <c r="R50" s="5">
        <v>3.1363700818248366</v>
      </c>
      <c r="S50" s="5">
        <v>1.460677183145024</v>
      </c>
      <c r="T50" s="5">
        <v>1.7433772611822915</v>
      </c>
      <c r="U50" s="5">
        <v>0.88487689267845848</v>
      </c>
      <c r="V50" s="5">
        <v>1.6699887266061388</v>
      </c>
      <c r="W50" s="5">
        <v>2.8909412642512136</v>
      </c>
      <c r="X50" s="5">
        <v>4.0093095585343095</v>
      </c>
      <c r="Y50" s="5">
        <v>3.0722637405550417</v>
      </c>
      <c r="Z50" s="5">
        <v>4.7414188927492251</v>
      </c>
      <c r="AA50">
        <v>3.5064346737056988</v>
      </c>
      <c r="AB50">
        <v>3.03822502459558</v>
      </c>
      <c r="AC50">
        <v>3.6877901727537377</v>
      </c>
      <c r="AD50">
        <v>3.6117371117690551</v>
      </c>
      <c r="AE50" s="6">
        <v>3209.48</v>
      </c>
      <c r="AF50" s="6">
        <v>1092.0060000000001</v>
      </c>
      <c r="AG50" s="6">
        <v>4872.93</v>
      </c>
      <c r="AH50" s="6">
        <v>4090.13</v>
      </c>
      <c r="AI50" s="6">
        <v>28.885320000000004</v>
      </c>
      <c r="AJ50" s="6">
        <v>55.383100000000006</v>
      </c>
      <c r="AK50" s="6">
        <v>7.6714400000000005</v>
      </c>
      <c r="AL50" s="6">
        <v>46.772300000000001</v>
      </c>
      <c r="AM50" s="6">
        <v>777.93133333333412</v>
      </c>
      <c r="AN50">
        <v>10216.674533333335</v>
      </c>
      <c r="AO50" s="6">
        <v>1181.0376444444446</v>
      </c>
      <c r="AP50" s="6">
        <v>55133.922666666665</v>
      </c>
    </row>
    <row r="51" spans="1:42">
      <c r="A51" s="1">
        <v>50</v>
      </c>
      <c r="B51" s="1">
        <v>1</v>
      </c>
      <c r="C51" s="1">
        <v>1</v>
      </c>
      <c r="D51" s="1">
        <v>1</v>
      </c>
      <c r="E51" s="1">
        <v>1</v>
      </c>
      <c r="F51" s="1">
        <v>17</v>
      </c>
      <c r="G51" s="1">
        <v>6</v>
      </c>
      <c r="H51" s="1">
        <v>3</v>
      </c>
      <c r="I51" s="1">
        <v>1</v>
      </c>
      <c r="J51" s="1">
        <v>5</v>
      </c>
      <c r="K51" s="5">
        <v>1.1702617153949575</v>
      </c>
      <c r="L51" s="5">
        <v>1.3579348470004537</v>
      </c>
      <c r="M51" s="5">
        <v>1.8463371121298053</v>
      </c>
      <c r="N51" s="5">
        <v>2.0285712526925375</v>
      </c>
      <c r="O51" s="5">
        <v>2.3897082620192784</v>
      </c>
      <c r="P51" s="5">
        <v>2.9928863669925154</v>
      </c>
      <c r="Q51" s="5">
        <v>2.976023274209584</v>
      </c>
      <c r="R51" s="5">
        <v>3.1920202789882057</v>
      </c>
      <c r="S51" s="5">
        <v>1.0624428373001455</v>
      </c>
      <c r="T51" s="5">
        <v>1.6075611711149189</v>
      </c>
      <c r="U51" s="5">
        <v>1.2525370213918328</v>
      </c>
      <c r="V51" s="5">
        <v>1.275667859560832</v>
      </c>
      <c r="W51" s="5">
        <v>2.409288695448303</v>
      </c>
      <c r="X51" s="5">
        <v>1.3302703377803724</v>
      </c>
      <c r="Y51" s="5">
        <v>2.4991820668404832</v>
      </c>
      <c r="Z51" s="5">
        <v>3.3253852368508889</v>
      </c>
      <c r="AA51">
        <v>2.6290500869486575</v>
      </c>
      <c r="AB51">
        <v>2.3001909974199188</v>
      </c>
      <c r="AC51">
        <v>2.7387488570002203</v>
      </c>
      <c r="AD51">
        <v>2.6054580460271546</v>
      </c>
      <c r="AE51" s="6">
        <v>425.64749999999998</v>
      </c>
      <c r="AF51" s="6">
        <v>199.614</v>
      </c>
      <c r="AG51" s="6">
        <v>547.96</v>
      </c>
      <c r="AH51" s="6">
        <v>403.142</v>
      </c>
      <c r="AI51" s="6">
        <v>11.546300000000002</v>
      </c>
      <c r="AJ51" s="6">
        <v>40.509900000000002</v>
      </c>
      <c r="AK51" s="6">
        <v>17.886980000000005</v>
      </c>
      <c r="AL51" s="6">
        <v>18.865480000000002</v>
      </c>
      <c r="AM51" s="6">
        <v>256.61893333333364</v>
      </c>
      <c r="AN51">
        <v>21.392933333332508</v>
      </c>
      <c r="AO51" s="6">
        <v>315.63275555555646</v>
      </c>
      <c r="AP51" s="6">
        <v>2115.3646222222233</v>
      </c>
    </row>
    <row r="52" spans="1:42">
      <c r="A52" s="1">
        <v>51</v>
      </c>
      <c r="B52" s="1">
        <v>0</v>
      </c>
      <c r="C52" s="1">
        <v>1</v>
      </c>
      <c r="D52" s="1">
        <v>1</v>
      </c>
      <c r="E52" s="1">
        <v>0</v>
      </c>
      <c r="F52" s="1">
        <v>11</v>
      </c>
      <c r="G52" s="1">
        <v>6</v>
      </c>
      <c r="H52" s="1">
        <v>2</v>
      </c>
      <c r="I52" s="1">
        <v>1</v>
      </c>
      <c r="J52" s="1">
        <v>4</v>
      </c>
      <c r="K52" s="5">
        <v>1.3180633349627615</v>
      </c>
      <c r="L52" s="5">
        <v>1.3579348470004537</v>
      </c>
      <c r="M52" s="5">
        <v>2.0499928569201424</v>
      </c>
      <c r="N52" s="5">
        <v>2.3070679506612985</v>
      </c>
      <c r="O52" s="5">
        <v>2.3897082620192784</v>
      </c>
      <c r="P52" s="5">
        <v>2.8560253721251745</v>
      </c>
      <c r="Q52" s="5">
        <v>2.976023274209584</v>
      </c>
      <c r="R52" s="5">
        <v>3.0775381883965105</v>
      </c>
      <c r="S52" s="5">
        <v>1.1440708192948577</v>
      </c>
      <c r="T52" s="5">
        <v>1.0075941692928003</v>
      </c>
      <c r="U52" s="5">
        <v>2.1038355224583705</v>
      </c>
      <c r="V52" s="5">
        <v>1.4219245941530072</v>
      </c>
      <c r="W52" s="5">
        <v>2.775181288830606</v>
      </c>
      <c r="X52" s="5">
        <v>3.233983451611786</v>
      </c>
      <c r="Y52" s="5">
        <v>4.291353016818344</v>
      </c>
      <c r="Z52" s="5">
        <v>4.1141007017255964</v>
      </c>
      <c r="AA52">
        <v>3.0550188192209382</v>
      </c>
      <c r="AB52">
        <v>3.1678086662496434</v>
      </c>
      <c r="AC52">
        <v>3.0535186640785303</v>
      </c>
      <c r="AD52">
        <v>3.7232761703440129</v>
      </c>
      <c r="AE52" s="6">
        <v>1135.06</v>
      </c>
      <c r="AF52" s="6">
        <v>1471.6639999999998</v>
      </c>
      <c r="AG52" s="6">
        <v>1131.1460000000002</v>
      </c>
      <c r="AH52" s="6">
        <v>5287.8139999999994</v>
      </c>
      <c r="AI52" s="6">
        <v>13.933840000000002</v>
      </c>
      <c r="AJ52" s="6">
        <v>10.176400000000001</v>
      </c>
      <c r="AK52" s="6">
        <v>127.00930000000001</v>
      </c>
      <c r="AL52" s="6">
        <v>26.419499999999999</v>
      </c>
      <c r="AM52" s="6">
        <v>595.91084444444448</v>
      </c>
      <c r="AN52">
        <v>1713.8919999999991</v>
      </c>
      <c r="AO52" s="6">
        <v>19559.286888888892</v>
      </c>
      <c r="AP52" s="6">
        <v>13004.710888888889</v>
      </c>
    </row>
    <row r="53" spans="1:42">
      <c r="A53" s="1">
        <v>52</v>
      </c>
      <c r="B53" s="1">
        <v>0</v>
      </c>
      <c r="C53" s="1">
        <v>1</v>
      </c>
      <c r="D53" s="1">
        <v>1</v>
      </c>
      <c r="E53" s="1">
        <v>1</v>
      </c>
      <c r="F53" s="1">
        <v>11</v>
      </c>
      <c r="G53" s="1">
        <v>6</v>
      </c>
      <c r="H53" s="1">
        <v>2</v>
      </c>
      <c r="I53" s="1">
        <v>1</v>
      </c>
      <c r="J53" s="1">
        <v>4</v>
      </c>
      <c r="K53" s="5">
        <v>1.2741578492636798</v>
      </c>
      <c r="L53" s="5">
        <v>2.38524868240322</v>
      </c>
      <c r="M53" s="5">
        <v>2.246005904076029</v>
      </c>
      <c r="N53" s="5">
        <v>2.3439990690571615</v>
      </c>
      <c r="O53" s="5">
        <v>2.7064707814322841</v>
      </c>
      <c r="P53" s="5">
        <v>3.7951637925911834</v>
      </c>
      <c r="Q53" s="5">
        <v>2.9093149120410047</v>
      </c>
      <c r="R53" s="5">
        <v>3.1363700818248366</v>
      </c>
      <c r="S53" s="5">
        <v>1.1990021864325873</v>
      </c>
      <c r="T53" s="5">
        <v>2.0631783065392564</v>
      </c>
      <c r="U53" s="5">
        <v>1.9826723177809698</v>
      </c>
      <c r="V53" s="5">
        <v>2.0335299033872003</v>
      </c>
      <c r="W53" s="5">
        <v>2.9904893367673488</v>
      </c>
      <c r="X53" s="5">
        <v>4.4355725461776343</v>
      </c>
      <c r="Y53" s="5">
        <v>-1</v>
      </c>
      <c r="Z53" s="5">
        <v>4.2813853391286605</v>
      </c>
      <c r="AA53">
        <v>3.0594884416760917</v>
      </c>
      <c r="AB53">
        <v>2.9853177745816479</v>
      </c>
      <c r="AC53">
        <v>3.180331786340894</v>
      </c>
      <c r="AD53">
        <v>3.8163762749792234</v>
      </c>
      <c r="AE53" s="6">
        <v>1146.8020000000001</v>
      </c>
      <c r="AF53" s="6">
        <v>966.75800000000004</v>
      </c>
      <c r="AG53" s="6">
        <v>1514.7180000000001</v>
      </c>
      <c r="AH53" s="6">
        <v>6552.0359999999991</v>
      </c>
      <c r="AI53" s="6">
        <v>15.81256</v>
      </c>
      <c r="AJ53" s="6">
        <v>115.65870000000001</v>
      </c>
      <c r="AK53" s="6">
        <v>96.088700000000017</v>
      </c>
      <c r="AL53" s="6">
        <v>108.02640000000002</v>
      </c>
      <c r="AM53" s="6">
        <v>978.33893333333322</v>
      </c>
      <c r="AN53">
        <v>27262.931111111109</v>
      </c>
      <c r="AO53" s="6">
        <v>0.1</v>
      </c>
      <c r="AP53" s="6">
        <v>19115.48577777778</v>
      </c>
    </row>
    <row r="54" spans="1:42">
      <c r="A54" s="1">
        <v>53</v>
      </c>
      <c r="B54" s="1">
        <v>1</v>
      </c>
      <c r="C54" s="1">
        <v>1</v>
      </c>
      <c r="D54" s="1">
        <v>1</v>
      </c>
      <c r="E54" s="1">
        <v>1</v>
      </c>
      <c r="F54" s="1">
        <v>15</v>
      </c>
      <c r="G54" s="1">
        <v>6</v>
      </c>
      <c r="H54" s="1">
        <v>3</v>
      </c>
      <c r="I54" s="1">
        <v>1</v>
      </c>
      <c r="J54" s="1">
        <v>5</v>
      </c>
      <c r="K54" s="5">
        <v>1.8739015978644613</v>
      </c>
      <c r="L54" s="5">
        <v>2.1667260555800518</v>
      </c>
      <c r="M54" s="5">
        <v>1.983175072037813</v>
      </c>
      <c r="N54" s="5">
        <v>1.9484129657786009</v>
      </c>
      <c r="O54" s="5">
        <v>2.9571618138027489</v>
      </c>
      <c r="P54" s="5">
        <v>3.3192807346649396</v>
      </c>
      <c r="Q54" s="5">
        <v>3.097766277634352</v>
      </c>
      <c r="R54" s="5">
        <v>3.1363700818248366</v>
      </c>
      <c r="S54" s="5">
        <v>2.1084946650336613</v>
      </c>
      <c r="T54" s="5">
        <v>1.0366656172400586</v>
      </c>
      <c r="U54" s="5">
        <v>1.3010417214566952</v>
      </c>
      <c r="V54" s="5">
        <v>1.2915908256580011</v>
      </c>
      <c r="W54" s="5">
        <v>3.9996027091120632</v>
      </c>
      <c r="X54" s="5">
        <v>3.2089202018263512</v>
      </c>
      <c r="Y54" s="5">
        <v>2.7628438698871691</v>
      </c>
      <c r="Z54" s="5">
        <v>3.2853558016322366</v>
      </c>
      <c r="AA54">
        <v>3.3329835108162262</v>
      </c>
      <c r="AB54">
        <v>2.7569736771064193</v>
      </c>
      <c r="AC54">
        <v>3.5917513626093536</v>
      </c>
      <c r="AD54">
        <v>3.4951676006359738</v>
      </c>
      <c r="AE54" s="6">
        <v>2152.6999999999998</v>
      </c>
      <c r="AF54" s="6">
        <v>571.44399999999996</v>
      </c>
      <c r="AG54" s="6">
        <v>3906.1720000000005</v>
      </c>
      <c r="AH54" s="6">
        <v>3127.2860000000001</v>
      </c>
      <c r="AI54" s="6">
        <v>128.3792</v>
      </c>
      <c r="AJ54" s="6">
        <v>10.88092</v>
      </c>
      <c r="AK54" s="6">
        <v>20.000540000000001</v>
      </c>
      <c r="AL54" s="6">
        <v>19.57</v>
      </c>
      <c r="AM54" s="6">
        <v>9990.8562222222226</v>
      </c>
      <c r="AN54">
        <v>1617.782755555555</v>
      </c>
      <c r="AO54" s="6">
        <v>579.22042758620591</v>
      </c>
      <c r="AP54" s="6">
        <v>1929.1047111111113</v>
      </c>
    </row>
    <row r="55" spans="1:42">
      <c r="A55" s="1">
        <v>54</v>
      </c>
      <c r="B55" s="1">
        <v>1</v>
      </c>
      <c r="C55" s="1">
        <v>1</v>
      </c>
      <c r="D55" s="1">
        <v>1</v>
      </c>
      <c r="E55" s="1">
        <v>1</v>
      </c>
      <c r="F55" s="1">
        <v>19</v>
      </c>
      <c r="G55" s="1">
        <v>6</v>
      </c>
      <c r="H55" s="1">
        <v>3</v>
      </c>
      <c r="I55" s="1">
        <v>1</v>
      </c>
      <c r="J55" s="1">
        <v>5</v>
      </c>
      <c r="K55" s="5">
        <v>1.3944516808262162</v>
      </c>
      <c r="L55" s="5">
        <v>1.7543483357110188</v>
      </c>
      <c r="M55" s="5">
        <v>2.0178677189635055</v>
      </c>
      <c r="N55" s="5">
        <v>1.9858753573083936</v>
      </c>
      <c r="O55" s="5">
        <v>2.7959442012047799</v>
      </c>
      <c r="P55" s="5">
        <v>3.2716007434965833</v>
      </c>
      <c r="Q55" s="5">
        <v>3.2066691051687592</v>
      </c>
      <c r="R55" s="5">
        <v>3.0775381883965105</v>
      </c>
      <c r="S55" s="5">
        <v>1.6437733437693636</v>
      </c>
      <c r="T55" s="5">
        <v>1.5143072968055846</v>
      </c>
      <c r="U55" s="5">
        <v>1.1914113280850975</v>
      </c>
      <c r="V55" s="5">
        <v>1.2158701117198829</v>
      </c>
      <c r="W55" s="5">
        <v>3.7706689641580353</v>
      </c>
      <c r="X55" s="5">
        <v>3.0694880777143005</v>
      </c>
      <c r="Y55" s="5">
        <v>4.3995431120495372</v>
      </c>
      <c r="Z55" s="5">
        <v>3.0581733380243281</v>
      </c>
      <c r="AA55">
        <v>3.551662213643076</v>
      </c>
      <c r="AB55">
        <v>3.7203733371549554</v>
      </c>
      <c r="AC55">
        <v>3.4847154240124629</v>
      </c>
      <c r="AD55">
        <v>2.9728320630335885</v>
      </c>
      <c r="AE55" s="6">
        <v>3561.74</v>
      </c>
      <c r="AF55" s="6">
        <v>5252.5879999999997</v>
      </c>
      <c r="AG55" s="6">
        <v>3052.92</v>
      </c>
      <c r="AH55" s="6">
        <v>939.36</v>
      </c>
      <c r="AI55" s="6">
        <v>44.032499999999999</v>
      </c>
      <c r="AJ55" s="6">
        <v>32.681900000000006</v>
      </c>
      <c r="AK55" s="6">
        <v>15.538580000000003</v>
      </c>
      <c r="AL55" s="6">
        <v>16.438800000000001</v>
      </c>
      <c r="AM55" s="6">
        <v>5897.5137777777772</v>
      </c>
      <c r="AN55">
        <v>1173.5134666666659</v>
      </c>
      <c r="AO55" s="6">
        <v>25092.452577777782</v>
      </c>
      <c r="AP55" s="6">
        <v>1143.3345777777783</v>
      </c>
    </row>
    <row r="56" spans="1:42">
      <c r="A56" s="1">
        <v>55</v>
      </c>
      <c r="B56" s="1">
        <v>0</v>
      </c>
      <c r="C56" s="1">
        <v>1</v>
      </c>
      <c r="D56" s="1">
        <v>1</v>
      </c>
      <c r="E56" s="1">
        <v>0</v>
      </c>
      <c r="F56" s="1">
        <v>11</v>
      </c>
      <c r="G56" s="1">
        <v>6</v>
      </c>
      <c r="H56" s="1">
        <v>2</v>
      </c>
      <c r="I56" s="1">
        <v>2</v>
      </c>
      <c r="J56" s="1">
        <v>4</v>
      </c>
      <c r="K56" s="5">
        <v>1.2741578492636798</v>
      </c>
      <c r="L56" s="5">
        <v>2.0203612826477078</v>
      </c>
      <c r="M56" s="5">
        <v>1.7497363155690611</v>
      </c>
      <c r="N56" s="5">
        <v>1.8115750058705933</v>
      </c>
      <c r="O56" s="5">
        <v>2.7064707814322841</v>
      </c>
      <c r="P56" s="5">
        <v>3.2215939976915293</v>
      </c>
      <c r="Q56" s="5">
        <v>2.976023274209584</v>
      </c>
      <c r="R56" s="5">
        <v>3.0151386036245422</v>
      </c>
      <c r="S56" s="5">
        <v>0.88042255125220847</v>
      </c>
      <c r="T56" s="5">
        <v>1.9719263390725643</v>
      </c>
      <c r="U56" s="5">
        <v>1.1712600312900547</v>
      </c>
      <c r="V56" s="5">
        <v>0.93701309500709307</v>
      </c>
      <c r="W56" s="5">
        <v>2.9906035545987018</v>
      </c>
      <c r="X56" s="5">
        <v>4.3797099858246531</v>
      </c>
      <c r="Y56" s="5">
        <v>3.1988813229144442</v>
      </c>
      <c r="Z56" s="5">
        <v>3.4397210233374333</v>
      </c>
      <c r="AA56">
        <v>3.1780815508304832</v>
      </c>
      <c r="AB56">
        <v>3.3484956769944736</v>
      </c>
      <c r="AC56">
        <v>3.01586669525879</v>
      </c>
      <c r="AD56">
        <v>3.6125675030008249</v>
      </c>
      <c r="AE56" s="6">
        <v>1506.89</v>
      </c>
      <c r="AF56" s="6">
        <v>2230.98</v>
      </c>
      <c r="AG56" s="6">
        <v>1037.21</v>
      </c>
      <c r="AH56" s="6">
        <v>4097.9580000000005</v>
      </c>
      <c r="AI56" s="6">
        <v>7.593160000000001</v>
      </c>
      <c r="AJ56" s="6">
        <v>93.740300000000005</v>
      </c>
      <c r="AK56" s="6">
        <v>14.834060000000001</v>
      </c>
      <c r="AL56" s="6">
        <v>8.6499399999999991</v>
      </c>
      <c r="AM56" s="6">
        <v>978.59626666666736</v>
      </c>
      <c r="AN56">
        <v>23972.315555555557</v>
      </c>
      <c r="AO56" s="6">
        <v>1580.8159999999991</v>
      </c>
      <c r="AP56" s="6">
        <v>2752.4600444444445</v>
      </c>
    </row>
    <row r="57" spans="1:42">
      <c r="A57" s="1">
        <v>56</v>
      </c>
      <c r="B57" s="1">
        <v>0</v>
      </c>
      <c r="C57" s="1">
        <v>1</v>
      </c>
      <c r="D57" s="1">
        <v>1</v>
      </c>
      <c r="E57" s="1">
        <v>0</v>
      </c>
      <c r="F57" s="1">
        <v>10</v>
      </c>
      <c r="G57" s="1">
        <v>6</v>
      </c>
      <c r="H57" s="1">
        <v>2</v>
      </c>
      <c r="I57" s="1">
        <v>2</v>
      </c>
      <c r="J57" s="1">
        <v>4</v>
      </c>
      <c r="K57" s="5">
        <v>2.2619761913978125</v>
      </c>
      <c r="L57" s="5">
        <v>1.8739015978644613</v>
      </c>
      <c r="M57" s="5">
        <v>1.833784374656479</v>
      </c>
      <c r="N57" s="5">
        <v>1.8621313793130372</v>
      </c>
      <c r="O57" s="5">
        <v>3.3416433147050117</v>
      </c>
      <c r="P57" s="5">
        <v>3.2716007434965833</v>
      </c>
      <c r="Q57" s="5">
        <v>2.976023274209584</v>
      </c>
      <c r="R57" s="5">
        <v>2.8776976892874249</v>
      </c>
      <c r="S57" s="5">
        <v>2.2311100782766196</v>
      </c>
      <c r="T57" s="5">
        <v>1.8356588700082768</v>
      </c>
      <c r="U57" s="5">
        <v>0.88042255125220847</v>
      </c>
      <c r="V57" s="5">
        <v>0.16082254538897736</v>
      </c>
      <c r="W57" s="5">
        <v>4.2367755654354298</v>
      </c>
      <c r="X57" s="5">
        <v>3.8547839009254652</v>
      </c>
      <c r="Y57" s="5">
        <v>3.5791556559163729</v>
      </c>
      <c r="Z57" s="5">
        <v>3.3280300335726269</v>
      </c>
      <c r="AA57">
        <v>3.0682920096464121</v>
      </c>
      <c r="AB57">
        <v>3.204344129329324</v>
      </c>
      <c r="AC57">
        <v>3.8163762749792234</v>
      </c>
      <c r="AD57">
        <v>3.5657486749216809</v>
      </c>
      <c r="AE57" s="6">
        <v>1170.2860000000001</v>
      </c>
      <c r="AF57" s="6">
        <v>1600.8259999999998</v>
      </c>
      <c r="AG57" s="6">
        <v>6552.0359999999991</v>
      </c>
      <c r="AH57" s="6">
        <v>3679.16</v>
      </c>
      <c r="AI57" s="6">
        <v>170.25900000000001</v>
      </c>
      <c r="AJ57" s="6">
        <v>68.495000000000005</v>
      </c>
      <c r="AK57" s="6">
        <v>7.593160000000001</v>
      </c>
      <c r="AL57" s="6">
        <v>1.44818</v>
      </c>
      <c r="AM57" s="6">
        <v>17249.462444444449</v>
      </c>
      <c r="AN57">
        <v>7157.8715555555546</v>
      </c>
      <c r="AO57" s="6">
        <v>3794.5095999999999</v>
      </c>
      <c r="AP57" s="6">
        <v>2128.2862222222225</v>
      </c>
    </row>
    <row r="58" spans="1:42">
      <c r="A58" s="1">
        <v>57</v>
      </c>
      <c r="B58" s="1">
        <v>1</v>
      </c>
      <c r="C58" s="1">
        <v>1</v>
      </c>
      <c r="D58" s="1">
        <v>1</v>
      </c>
      <c r="E58" s="1">
        <v>0</v>
      </c>
      <c r="F58" s="1">
        <v>20</v>
      </c>
      <c r="G58" s="1">
        <v>18</v>
      </c>
      <c r="H58" s="1">
        <v>3</v>
      </c>
      <c r="I58" s="1">
        <v>2</v>
      </c>
      <c r="J58" s="1">
        <v>6</v>
      </c>
      <c r="K58" s="5">
        <v>1.8965262174895554</v>
      </c>
      <c r="L58" s="5">
        <v>2.1667260555800518</v>
      </c>
      <c r="M58" s="5">
        <v>2.1528995963937474</v>
      </c>
      <c r="N58" s="5">
        <v>2.1099158630237933</v>
      </c>
      <c r="O58" s="5">
        <v>3.0303562634508796</v>
      </c>
      <c r="P58" s="5">
        <v>3.2716007434965833</v>
      </c>
      <c r="Q58" s="5">
        <v>3.351129965210355</v>
      </c>
      <c r="R58" s="5">
        <v>3.1363700818248366</v>
      </c>
      <c r="S58" s="5">
        <v>1.9001168592351954</v>
      </c>
      <c r="T58" s="5">
        <v>1.9800106476607118</v>
      </c>
      <c r="U58" s="5">
        <v>2.2534862993258518</v>
      </c>
      <c r="V58" s="5">
        <v>1.4852718551992827</v>
      </c>
      <c r="W58" s="5">
        <v>4.0404674690233824</v>
      </c>
      <c r="X58" s="5">
        <v>4.1492455733538671</v>
      </c>
      <c r="Y58" s="5">
        <v>4.0271785386347068</v>
      </c>
      <c r="Z58" s="5">
        <v>3.4258167460415212</v>
      </c>
      <c r="AA58">
        <v>3.0881651588684309</v>
      </c>
      <c r="AB58">
        <v>3.55118470454395</v>
      </c>
      <c r="AC58">
        <v>3.5802870862482572</v>
      </c>
      <c r="AD58">
        <v>3.2032809844118622</v>
      </c>
      <c r="AE58" s="6">
        <v>1225.0820000000001</v>
      </c>
      <c r="AF58" s="6">
        <v>3557.826</v>
      </c>
      <c r="AG58" s="6">
        <v>3804.4080000000004</v>
      </c>
      <c r="AH58" s="6">
        <v>1596.912</v>
      </c>
      <c r="AI58" s="6">
        <v>79.454200000000014</v>
      </c>
      <c r="AJ58" s="6">
        <v>95.501599999999996</v>
      </c>
      <c r="AK58" s="6">
        <v>179.2612</v>
      </c>
      <c r="AL58" s="6">
        <v>30.568340000000003</v>
      </c>
      <c r="AM58" s="6">
        <v>10976.590666666667</v>
      </c>
      <c r="AN58">
        <v>14100.859111111109</v>
      </c>
      <c r="AO58" s="6">
        <v>10645.805777777776</v>
      </c>
      <c r="AP58" s="6">
        <v>2665.7336000000005</v>
      </c>
    </row>
    <row r="59" spans="1:42">
      <c r="A59" s="1">
        <v>58</v>
      </c>
      <c r="B59" s="1">
        <v>1</v>
      </c>
      <c r="C59" s="1">
        <v>1</v>
      </c>
      <c r="D59" s="1">
        <v>1</v>
      </c>
      <c r="E59" s="1">
        <v>0</v>
      </c>
      <c r="F59" s="1">
        <v>25</v>
      </c>
      <c r="G59" s="1">
        <v>18</v>
      </c>
      <c r="H59" s="1">
        <v>3</v>
      </c>
      <c r="I59" s="1">
        <v>2</v>
      </c>
      <c r="J59" s="1">
        <v>6</v>
      </c>
      <c r="K59" s="5">
        <v>1.9180303367848801</v>
      </c>
      <c r="L59" s="5">
        <v>2.0445397603924111</v>
      </c>
      <c r="M59" s="5">
        <v>2.1528995963937474</v>
      </c>
      <c r="N59" s="5">
        <v>2.5007851729174559</v>
      </c>
      <c r="O59" s="5">
        <v>2.7959442012047799</v>
      </c>
      <c r="P59" s="5">
        <v>3.1690217061732096</v>
      </c>
      <c r="Q59" s="5">
        <v>3.3951204707621057</v>
      </c>
      <c r="R59" s="5">
        <v>3.47449206528273</v>
      </c>
      <c r="S59" s="5">
        <v>1.9158729214936694</v>
      </c>
      <c r="T59" s="5">
        <v>1.6736078682328697</v>
      </c>
      <c r="U59" s="5">
        <v>1.9418983487899377</v>
      </c>
      <c r="V59" s="5">
        <v>2.0797591967991687</v>
      </c>
      <c r="W59" s="5">
        <v>3.3984919645451583</v>
      </c>
      <c r="X59" s="5">
        <v>3.7678056913298694</v>
      </c>
      <c r="Y59" s="5">
        <v>3.7151830892326307</v>
      </c>
      <c r="Z59" s="5">
        <v>3.7131625021655648</v>
      </c>
      <c r="AA59">
        <v>2.4267234770347761</v>
      </c>
      <c r="AB59">
        <v>3.0711873169158257</v>
      </c>
      <c r="AC59">
        <v>3.383609296410798</v>
      </c>
      <c r="AD59">
        <v>3.0223731013243902</v>
      </c>
      <c r="AE59" s="6">
        <v>267.13049999999998</v>
      </c>
      <c r="AF59" s="6">
        <v>1178.114</v>
      </c>
      <c r="AG59" s="6">
        <v>2418.8519999999999</v>
      </c>
      <c r="AH59" s="6">
        <v>1052.866</v>
      </c>
      <c r="AI59" s="6">
        <v>82.389700000000005</v>
      </c>
      <c r="AJ59" s="6">
        <v>47.163700000000006</v>
      </c>
      <c r="AK59" s="6">
        <v>87.47790000000002</v>
      </c>
      <c r="AL59" s="6">
        <v>120.1598</v>
      </c>
      <c r="AM59" s="6">
        <v>2503.1793333333339</v>
      </c>
      <c r="AN59">
        <v>5858.7597777777801</v>
      </c>
      <c r="AO59" s="6">
        <v>5190.1880000000001</v>
      </c>
      <c r="AP59" s="6">
        <v>5166.0963555555554</v>
      </c>
    </row>
    <row r="60" spans="1:42">
      <c r="A60" s="1">
        <v>59</v>
      </c>
      <c r="B60" s="1">
        <v>1</v>
      </c>
      <c r="C60" s="1">
        <v>1</v>
      </c>
      <c r="D60" s="1">
        <v>1</v>
      </c>
      <c r="E60" s="1">
        <v>0</v>
      </c>
      <c r="F60" s="1">
        <v>17</v>
      </c>
      <c r="G60" s="1">
        <v>6</v>
      </c>
      <c r="H60" s="1">
        <v>3</v>
      </c>
      <c r="I60" s="1">
        <v>2</v>
      </c>
      <c r="J60" s="1">
        <v>5</v>
      </c>
      <c r="K60" s="5">
        <v>1.7979596437371961</v>
      </c>
      <c r="L60" s="5">
        <v>1.8500332576897689</v>
      </c>
      <c r="M60" s="5">
        <v>1.7007037171450194</v>
      </c>
      <c r="N60" s="5">
        <v>2.0748164406451748</v>
      </c>
      <c r="O60" s="5">
        <v>2.7064707814322841</v>
      </c>
      <c r="P60" s="5">
        <v>3.1690217061732096</v>
      </c>
      <c r="Q60" s="5">
        <v>2.9093149120410047</v>
      </c>
      <c r="R60" s="5">
        <v>3.0151386036245422</v>
      </c>
      <c r="S60" s="5">
        <v>1.8679321758637941</v>
      </c>
      <c r="T60" s="5">
        <v>1.3988007953058696</v>
      </c>
      <c r="U60" s="5">
        <v>1.6754061916384324</v>
      </c>
      <c r="V60" s="5">
        <v>1.5721691960260775</v>
      </c>
      <c r="W60" s="5">
        <v>2.9698319895203347</v>
      </c>
      <c r="X60" s="5">
        <v>3.0429078062753416</v>
      </c>
      <c r="Y60" s="5">
        <v>3.0105221929471235</v>
      </c>
      <c r="Z60" s="5">
        <v>3.670440779911726</v>
      </c>
      <c r="AA60">
        <v>2.5816254370205192</v>
      </c>
      <c r="AB60">
        <v>2.2553786530035564</v>
      </c>
      <c r="AC60">
        <v>2.626044576808932</v>
      </c>
      <c r="AD60">
        <v>2.5564086486675377</v>
      </c>
      <c r="AE60" s="6">
        <v>381.61500000000001</v>
      </c>
      <c r="AF60" s="6">
        <v>180.04400000000001</v>
      </c>
      <c r="AG60" s="6">
        <v>422.71199999999999</v>
      </c>
      <c r="AH60" s="6">
        <v>360.08800000000002</v>
      </c>
      <c r="AI60" s="6">
        <v>73.778900000000007</v>
      </c>
      <c r="AJ60" s="6">
        <v>25.049600000000002</v>
      </c>
      <c r="AK60" s="6">
        <v>47.359400000000001</v>
      </c>
      <c r="AL60" s="6">
        <v>37.339559999999999</v>
      </c>
      <c r="AM60" s="6">
        <v>932.89333333333298</v>
      </c>
      <c r="AN60">
        <v>1103.8442666666658</v>
      </c>
      <c r="AO60" s="6">
        <v>1024.5241333333333</v>
      </c>
      <c r="AP60" s="6">
        <v>4682.101022222223</v>
      </c>
    </row>
    <row r="61" spans="1:42">
      <c r="A61" s="1">
        <v>60</v>
      </c>
      <c r="B61" s="1">
        <v>1</v>
      </c>
      <c r="C61" s="1">
        <v>1</v>
      </c>
      <c r="D61" s="1">
        <v>1</v>
      </c>
      <c r="E61" s="1">
        <v>0</v>
      </c>
      <c r="F61" s="1">
        <v>23</v>
      </c>
      <c r="G61" s="1">
        <v>18</v>
      </c>
      <c r="H61" s="1">
        <v>3</v>
      </c>
      <c r="I61" s="1">
        <v>2</v>
      </c>
      <c r="J61" s="1">
        <v>6</v>
      </c>
      <c r="K61" s="5">
        <v>1.8621313793130372</v>
      </c>
      <c r="L61" s="5">
        <v>1.5658478186735176</v>
      </c>
      <c r="M61" s="5">
        <v>1.9454685851318196</v>
      </c>
      <c r="N61" s="5">
        <v>2.5425764762605296</v>
      </c>
      <c r="O61" s="5">
        <v>3.0303562634508796</v>
      </c>
      <c r="P61" s="5">
        <v>3.1136063199683353</v>
      </c>
      <c r="Q61" s="5">
        <v>2.976023274209584</v>
      </c>
      <c r="R61" s="5">
        <v>3.1920202789882057</v>
      </c>
      <c r="S61" s="5">
        <v>1.8936508169859636</v>
      </c>
      <c r="T61" s="5">
        <v>1.0158666952587903</v>
      </c>
      <c r="U61" s="5">
        <v>1.4819225238282927</v>
      </c>
      <c r="V61" s="5">
        <v>2.2270980914827141</v>
      </c>
      <c r="W61" s="5">
        <v>4.0394566695778344</v>
      </c>
      <c r="X61" s="5">
        <v>2.7815042806666064</v>
      </c>
      <c r="Y61" s="5">
        <v>3.3972250233986427</v>
      </c>
      <c r="Z61" s="5">
        <v>3.8800491966195199</v>
      </c>
      <c r="AA61">
        <v>3.2819296804456024</v>
      </c>
      <c r="AB61">
        <v>2.7628825367169396</v>
      </c>
      <c r="AC61">
        <v>3.6567042572855786</v>
      </c>
      <c r="AD61">
        <v>3.7926500878757525</v>
      </c>
      <c r="AE61" s="6">
        <v>1913.9459999999999</v>
      </c>
      <c r="AF61" s="6">
        <v>579.27199999999993</v>
      </c>
      <c r="AG61" s="6">
        <v>4536.326</v>
      </c>
      <c r="AH61" s="6">
        <v>6203.69</v>
      </c>
      <c r="AI61" s="6">
        <v>78.28</v>
      </c>
      <c r="AJ61" s="6">
        <v>10.372100000000001</v>
      </c>
      <c r="AK61" s="6">
        <v>30.333500000000001</v>
      </c>
      <c r="AL61" s="6">
        <v>168.6934</v>
      </c>
      <c r="AM61" s="6">
        <v>10951.072888888886</v>
      </c>
      <c r="AN61">
        <v>604.65031111110989</v>
      </c>
      <c r="AO61" s="6">
        <v>2495.8875999999987</v>
      </c>
      <c r="AP61" s="6">
        <v>7586.6351111111135</v>
      </c>
    </row>
    <row r="62" spans="1:42">
      <c r="A62" s="1">
        <v>61</v>
      </c>
      <c r="B62" s="1">
        <v>0</v>
      </c>
      <c r="C62" s="1">
        <v>1</v>
      </c>
      <c r="D62" s="1">
        <v>0</v>
      </c>
      <c r="E62" s="1">
        <v>0</v>
      </c>
      <c r="F62" s="1">
        <v>6</v>
      </c>
      <c r="G62" s="1">
        <v>6</v>
      </c>
      <c r="H62" s="1">
        <v>1</v>
      </c>
      <c r="I62" s="1">
        <v>2</v>
      </c>
      <c r="J62" s="1">
        <v>2</v>
      </c>
      <c r="K62" s="5">
        <v>0.44715803134221921</v>
      </c>
      <c r="L62" s="5">
        <v>0.83250891270623628</v>
      </c>
      <c r="M62" s="5">
        <v>2.4219328132785085</v>
      </c>
      <c r="N62" s="5">
        <v>2.5548524343720547</v>
      </c>
      <c r="O62" s="5">
        <v>2.1202984258568813</v>
      </c>
      <c r="P62" s="5">
        <v>2.7800695193686678</v>
      </c>
      <c r="Q62" s="5">
        <v>3.3051836958453342</v>
      </c>
      <c r="R62" s="5">
        <v>3.2448153344536363</v>
      </c>
      <c r="S62" s="5">
        <v>1.0335299033872001</v>
      </c>
      <c r="T62" s="5">
        <v>1.551662213643076</v>
      </c>
      <c r="U62" s="5">
        <v>2.0991258537268545</v>
      </c>
      <c r="V62" s="5">
        <v>1.897972190768606</v>
      </c>
      <c r="W62" s="5">
        <v>2.5871166362068134</v>
      </c>
      <c r="X62" s="5">
        <v>3.2682417211125192</v>
      </c>
      <c r="Y62" s="5">
        <v>3.7597672401744573</v>
      </c>
      <c r="Z62" s="5">
        <v>4.0115620348454772</v>
      </c>
      <c r="AA62">
        <v>2.5504674550301325</v>
      </c>
      <c r="AB62">
        <v>1.8713744222748112</v>
      </c>
      <c r="AC62">
        <v>2.7539888235569574</v>
      </c>
      <c r="AD62">
        <v>2.840594087683789</v>
      </c>
      <c r="AE62" s="6">
        <v>355.19550000000004</v>
      </c>
      <c r="AF62" s="6">
        <v>74.366</v>
      </c>
      <c r="AG62" s="6">
        <v>567.53</v>
      </c>
      <c r="AH62" s="6">
        <v>692.77800000000002</v>
      </c>
      <c r="AI62" s="6">
        <v>10.80264</v>
      </c>
      <c r="AJ62" s="6">
        <v>35.617399999999996</v>
      </c>
      <c r="AK62" s="6">
        <v>125.63940000000001</v>
      </c>
      <c r="AL62" s="6">
        <v>79.062799999999996</v>
      </c>
      <c r="AM62" s="6">
        <v>386.47075555555614</v>
      </c>
      <c r="AN62">
        <v>1854.5635555555566</v>
      </c>
      <c r="AO62" s="6">
        <v>5751.3161333333319</v>
      </c>
      <c r="AP62" s="6">
        <v>10269.801155555555</v>
      </c>
    </row>
    <row r="63" spans="1:42">
      <c r="A63" s="1">
        <v>62</v>
      </c>
      <c r="B63" s="1">
        <v>0</v>
      </c>
      <c r="C63" s="1">
        <v>1</v>
      </c>
      <c r="D63" s="1">
        <v>0</v>
      </c>
      <c r="E63" s="1">
        <v>0</v>
      </c>
      <c r="F63" s="1">
        <v>5</v>
      </c>
      <c r="G63" s="1">
        <v>6</v>
      </c>
      <c r="H63" s="1">
        <v>1</v>
      </c>
      <c r="I63" s="1">
        <v>2</v>
      </c>
      <c r="J63" s="1">
        <v>2</v>
      </c>
      <c r="K63" s="5">
        <v>1.9675479762188621</v>
      </c>
      <c r="L63" s="5">
        <v>2.1231980750319988</v>
      </c>
      <c r="M63" s="5">
        <v>2.288249225571986</v>
      </c>
      <c r="N63" s="5">
        <v>2.4665710723863543</v>
      </c>
      <c r="O63" s="5">
        <v>2.7959442012047799</v>
      </c>
      <c r="P63" s="5">
        <v>3.2215939976915293</v>
      </c>
      <c r="Q63" s="5">
        <v>3.3051836958453342</v>
      </c>
      <c r="R63" s="5">
        <v>3.47449206528273</v>
      </c>
      <c r="S63" s="5">
        <v>1.5256016432451804</v>
      </c>
      <c r="T63" s="5">
        <v>2.1084946650336613</v>
      </c>
      <c r="U63" s="5">
        <v>2.2801497825366166</v>
      </c>
      <c r="V63" s="5">
        <v>1.0609681517341396</v>
      </c>
      <c r="W63" s="5">
        <v>3.8186720885444143</v>
      </c>
      <c r="X63" s="5">
        <v>3.3832348740328477</v>
      </c>
      <c r="Y63" s="5">
        <v>3.8868043993446526</v>
      </c>
      <c r="Z63" s="5">
        <v>4.008982608250097</v>
      </c>
      <c r="AA63">
        <v>2.2600737742119366</v>
      </c>
      <c r="AB63">
        <v>1.7967408039779071</v>
      </c>
      <c r="AC63">
        <v>2.4121647568638509</v>
      </c>
      <c r="AD63">
        <v>2.9817869056865147</v>
      </c>
      <c r="AE63" s="6">
        <v>182.00100000000003</v>
      </c>
      <c r="AF63" s="6">
        <v>62.624000000000002</v>
      </c>
      <c r="AG63" s="6">
        <v>258.32400000000001</v>
      </c>
      <c r="AH63" s="6">
        <v>958.93</v>
      </c>
      <c r="AI63" s="6">
        <v>33.54298</v>
      </c>
      <c r="AJ63" s="6">
        <v>128.3792</v>
      </c>
      <c r="AK63" s="6">
        <v>190.61180000000002</v>
      </c>
      <c r="AL63" s="6">
        <v>11.507160000000001</v>
      </c>
      <c r="AM63" s="6">
        <v>6586.7637777777772</v>
      </c>
      <c r="AN63">
        <v>2416.7675111111112</v>
      </c>
      <c r="AO63" s="6">
        <v>7705.5634222222225</v>
      </c>
      <c r="AP63" s="6">
        <v>10208.986000000001</v>
      </c>
    </row>
    <row r="64" spans="1:42">
      <c r="A64" s="1">
        <v>63</v>
      </c>
      <c r="B64" s="1">
        <v>0</v>
      </c>
      <c r="C64" s="1">
        <v>1</v>
      </c>
      <c r="D64" s="1">
        <v>0</v>
      </c>
      <c r="E64" s="1">
        <v>1</v>
      </c>
      <c r="F64" s="1">
        <v>5</v>
      </c>
      <c r="G64" s="1">
        <v>6</v>
      </c>
      <c r="H64" s="1">
        <v>1</v>
      </c>
      <c r="I64" s="1">
        <v>2</v>
      </c>
      <c r="J64" s="1">
        <v>2</v>
      </c>
      <c r="K64" s="5">
        <v>2.4061994236633129</v>
      </c>
      <c r="L64" s="5">
        <v>1.9484129657786009</v>
      </c>
      <c r="M64" s="5">
        <v>1.9647309210536295</v>
      </c>
      <c r="N64" s="5">
        <v>2.0119931146592571</v>
      </c>
      <c r="O64" s="5">
        <v>3.2265716499651464</v>
      </c>
      <c r="P64" s="5">
        <v>3.2215939976915293</v>
      </c>
      <c r="Q64" s="5">
        <v>3.097766277634352</v>
      </c>
      <c r="R64" s="5">
        <v>3.0151386036245422</v>
      </c>
      <c r="S64" s="5">
        <v>1.9791197868726356</v>
      </c>
      <c r="T64" s="5">
        <v>1.5245869360501552</v>
      </c>
      <c r="U64" s="5">
        <v>1.7418399339773623</v>
      </c>
      <c r="V64" s="5">
        <v>1.4880433673613902</v>
      </c>
      <c r="W64" s="5">
        <v>3.6869073853398349</v>
      </c>
      <c r="X64" s="5">
        <v>2.7894868242194764</v>
      </c>
      <c r="Y64" s="5">
        <v>3.7724187665617808</v>
      </c>
      <c r="Z64" s="5">
        <v>3.765982113562123</v>
      </c>
      <c r="AA64">
        <v>2.4121647568638509</v>
      </c>
      <c r="AB64">
        <v>2.4055341779648378</v>
      </c>
      <c r="AC64">
        <v>2.370772071705626</v>
      </c>
      <c r="AD64">
        <v>3.8502993961911667</v>
      </c>
      <c r="AE64" s="6">
        <v>258.32400000000001</v>
      </c>
      <c r="AF64" s="6">
        <v>254.41</v>
      </c>
      <c r="AG64" s="6">
        <v>234.84</v>
      </c>
      <c r="AH64" s="6">
        <v>7084.34</v>
      </c>
      <c r="AI64" s="6">
        <v>95.305900000000008</v>
      </c>
      <c r="AJ64" s="6">
        <v>33.464700000000008</v>
      </c>
      <c r="AK64" s="6">
        <v>55.187400000000004</v>
      </c>
      <c r="AL64" s="6">
        <v>30.764040000000001</v>
      </c>
      <c r="AM64" s="6">
        <v>4863.0348888888875</v>
      </c>
      <c r="AN64">
        <v>615.86684444444393</v>
      </c>
      <c r="AO64" s="6">
        <v>5921.3231999999998</v>
      </c>
      <c r="AP64" s="6">
        <v>5834.2107555555558</v>
      </c>
    </row>
    <row r="65" spans="1:42">
      <c r="A65" s="1">
        <v>64</v>
      </c>
      <c r="B65" s="1">
        <v>1</v>
      </c>
      <c r="C65" s="1">
        <v>1</v>
      </c>
      <c r="D65" s="1">
        <v>0</v>
      </c>
      <c r="E65" s="1">
        <v>0</v>
      </c>
      <c r="F65" s="1">
        <v>9</v>
      </c>
      <c r="G65" s="1">
        <v>6</v>
      </c>
      <c r="H65" s="1">
        <v>2</v>
      </c>
      <c r="I65" s="1">
        <v>2</v>
      </c>
      <c r="J65" s="1">
        <v>3</v>
      </c>
      <c r="K65" s="5">
        <v>2.4575791469957626</v>
      </c>
      <c r="L65" s="5">
        <v>1.8965262174895554</v>
      </c>
      <c r="M65" s="5">
        <v>2.269979676645324</v>
      </c>
      <c r="N65" s="5">
        <v>1.670245853074124</v>
      </c>
      <c r="O65" s="5">
        <v>3.0993658262064696</v>
      </c>
      <c r="P65" s="5">
        <v>4.0061487630923569</v>
      </c>
      <c r="Q65" s="5">
        <v>3.097766277634352</v>
      </c>
      <c r="R65" s="5">
        <v>3.0151386036245422</v>
      </c>
      <c r="S65" s="5">
        <v>2.1689621715277752</v>
      </c>
      <c r="T65" s="5">
        <v>1.6699887266061388</v>
      </c>
      <c r="U65" s="5">
        <v>1.9043746823777368</v>
      </c>
      <c r="V65" s="5">
        <v>0.93701309500709307</v>
      </c>
      <c r="W65" s="5">
        <v>4.2911202515579907</v>
      </c>
      <c r="X65" s="5">
        <v>4.0206323742212247</v>
      </c>
      <c r="Y65" s="5">
        <v>4.422389792914986</v>
      </c>
      <c r="Z65" s="5">
        <v>3.7572019870843305</v>
      </c>
      <c r="AA65">
        <v>3.6340135064802075</v>
      </c>
      <c r="AB65">
        <v>3.1071685739822685</v>
      </c>
      <c r="AC65">
        <v>3.6552028055501453</v>
      </c>
      <c r="AD65">
        <v>3.6340135064802075</v>
      </c>
      <c r="AE65" s="6">
        <v>4305.3999999999996</v>
      </c>
      <c r="AF65" s="6">
        <v>1279.8780000000002</v>
      </c>
      <c r="AG65" s="6">
        <v>4520.67</v>
      </c>
      <c r="AH65" s="6">
        <v>4305.3999999999996</v>
      </c>
      <c r="AI65" s="6">
        <v>147.55780000000001</v>
      </c>
      <c r="AJ65" s="6">
        <v>46.772300000000001</v>
      </c>
      <c r="AK65" s="6">
        <v>80.237000000000009</v>
      </c>
      <c r="AL65" s="6">
        <v>8.6499399999999991</v>
      </c>
      <c r="AM65" s="6">
        <v>19548.806666666664</v>
      </c>
      <c r="AN65">
        <v>10486.543777777777</v>
      </c>
      <c r="AO65" s="6">
        <v>26447.814666666673</v>
      </c>
      <c r="AP65" s="6">
        <v>5717.4448888888892</v>
      </c>
    </row>
    <row r="66" spans="1:42">
      <c r="A66" s="1">
        <v>65</v>
      </c>
      <c r="B66" s="1">
        <v>1</v>
      </c>
      <c r="C66" s="1">
        <v>1</v>
      </c>
      <c r="D66" s="1">
        <v>1</v>
      </c>
      <c r="E66" s="1">
        <v>0</v>
      </c>
      <c r="F66" s="1">
        <v>15</v>
      </c>
      <c r="G66" s="1">
        <v>6</v>
      </c>
      <c r="H66" s="1">
        <v>3</v>
      </c>
      <c r="I66" s="1">
        <v>2</v>
      </c>
      <c r="J66" s="1">
        <v>5</v>
      </c>
      <c r="K66" s="5">
        <v>1.7693773260761385</v>
      </c>
      <c r="L66" s="5">
        <v>2.3027637084729817</v>
      </c>
      <c r="M66" s="5">
        <v>2.2258259914618934</v>
      </c>
      <c r="N66" s="5">
        <v>2.0748164406451748</v>
      </c>
      <c r="O66" s="5">
        <v>3.0303562634508796</v>
      </c>
      <c r="P66" s="5">
        <v>3.879452495940205</v>
      </c>
      <c r="Q66" s="5">
        <v>3.5907249504879988</v>
      </c>
      <c r="R66" s="5">
        <v>3.2950339732493896</v>
      </c>
      <c r="S66" s="5">
        <v>1.8306669244507778</v>
      </c>
      <c r="T66" s="5">
        <v>2.1769520456895131</v>
      </c>
      <c r="U66" s="5">
        <v>2.241955680034124</v>
      </c>
      <c r="V66" s="5">
        <v>1.6495256726584551</v>
      </c>
      <c r="W66" s="5">
        <v>4.364968034593609</v>
      </c>
      <c r="X66" s="5">
        <v>4.1746117093423543</v>
      </c>
      <c r="Y66" s="5">
        <v>4.4779211604015492</v>
      </c>
      <c r="Z66" s="5">
        <v>4.3389742171938535</v>
      </c>
      <c r="AA66">
        <v>3.6495256726584548</v>
      </c>
      <c r="AB66">
        <v>3.3940245313393373</v>
      </c>
      <c r="AC66">
        <v>3.7967408039779071</v>
      </c>
      <c r="AD66">
        <v>3.440809938313381</v>
      </c>
      <c r="AE66" s="6">
        <v>4461.96</v>
      </c>
      <c r="AF66" s="6">
        <v>2477.5619999999999</v>
      </c>
      <c r="AG66" s="6">
        <v>6262.4</v>
      </c>
      <c r="AH66" s="6">
        <v>2759.37</v>
      </c>
      <c r="AI66" s="6">
        <v>67.71220000000001</v>
      </c>
      <c r="AJ66" s="6">
        <v>150.29759999999999</v>
      </c>
      <c r="AK66" s="6">
        <v>174.56440000000001</v>
      </c>
      <c r="AL66" s="6">
        <v>44.619600000000005</v>
      </c>
      <c r="AM66" s="6">
        <v>23172.240888888889</v>
      </c>
      <c r="AN66">
        <v>14948.985111111109</v>
      </c>
      <c r="AO66" s="6">
        <v>30055.306444444446</v>
      </c>
      <c r="AP66" s="6">
        <v>21826.00333333333</v>
      </c>
    </row>
    <row r="67" spans="1:42">
      <c r="A67" s="1">
        <v>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2</v>
      </c>
      <c r="J67" s="1">
        <v>0</v>
      </c>
      <c r="K67" s="5">
        <v>1.0334237554869496</v>
      </c>
      <c r="L67" s="5">
        <v>1.1702617153949575</v>
      </c>
      <c r="M67" s="5">
        <v>1.833784374656479</v>
      </c>
      <c r="N67" s="5">
        <v>1.9858753573083936</v>
      </c>
      <c r="O67" s="5">
        <v>2.6098321260316748</v>
      </c>
      <c r="P67" s="5">
        <v>3.0550226623772603</v>
      </c>
      <c r="Q67" s="5">
        <v>2.976023274209584</v>
      </c>
      <c r="R67" s="5">
        <v>3.0775381883965105</v>
      </c>
      <c r="S67" s="5">
        <v>0.87137442227481132</v>
      </c>
      <c r="T67" s="5">
        <v>1.5064346737056991</v>
      </c>
      <c r="U67" s="5">
        <v>1.3864112060128011</v>
      </c>
      <c r="V67" s="5">
        <v>1.6304455719103244</v>
      </c>
      <c r="W67" s="5">
        <v>3.1125767774335511</v>
      </c>
      <c r="X67" s="5">
        <v>3.4997767420405812</v>
      </c>
      <c r="Y67" s="5">
        <v>3.7301990937392748</v>
      </c>
      <c r="Z67" s="5">
        <v>4.1909311337003938</v>
      </c>
      <c r="AA67">
        <v>3.4571319023803744</v>
      </c>
      <c r="AB67">
        <v>3.2993386036587413</v>
      </c>
      <c r="AC67">
        <v>4.1631637612038794</v>
      </c>
      <c r="AD67">
        <v>4.0295781519914318</v>
      </c>
      <c r="AE67" s="6">
        <v>2865.0479999999998</v>
      </c>
      <c r="AF67" s="6">
        <v>1992.2260000000001</v>
      </c>
      <c r="AG67" s="6">
        <v>14560.08</v>
      </c>
      <c r="AH67" s="6">
        <v>10704.79</v>
      </c>
      <c r="AI67" s="6">
        <v>7.4366000000000003</v>
      </c>
      <c r="AJ67" s="6">
        <v>32.094799999999999</v>
      </c>
      <c r="AK67" s="6">
        <v>24.345079999999999</v>
      </c>
      <c r="AL67" s="6">
        <v>42.701740000000001</v>
      </c>
      <c r="AM67" s="6">
        <v>1295.9157777777768</v>
      </c>
      <c r="AN67">
        <v>3160.6524444444435</v>
      </c>
      <c r="AO67" s="6">
        <v>5372.7804444444446</v>
      </c>
      <c r="AP67" s="6">
        <v>15521.408666666668</v>
      </c>
    </row>
    <row r="68" spans="1:42">
      <c r="A68" s="1">
        <v>67</v>
      </c>
      <c r="B68" s="1">
        <v>1</v>
      </c>
      <c r="C68" s="1">
        <v>1</v>
      </c>
      <c r="D68" s="1">
        <v>1</v>
      </c>
      <c r="E68" s="1">
        <v>0</v>
      </c>
      <c r="F68" s="1">
        <v>18</v>
      </c>
      <c r="G68" s="1">
        <v>6</v>
      </c>
      <c r="H68" s="1">
        <v>3</v>
      </c>
      <c r="I68" s="1">
        <v>2</v>
      </c>
      <c r="J68" s="1">
        <v>5</v>
      </c>
      <c r="K68" s="5">
        <v>1.9385197251764918</v>
      </c>
      <c r="L68" s="5">
        <v>2.3238706065405088</v>
      </c>
      <c r="M68" s="5">
        <v>1.8208579894396999</v>
      </c>
      <c r="N68" s="5">
        <v>2.3155505344219049</v>
      </c>
      <c r="O68" s="5">
        <v>3.4466955139775424</v>
      </c>
      <c r="P68" s="5">
        <v>3.4905003091356637</v>
      </c>
      <c r="Q68" s="5">
        <v>3.097766277634352</v>
      </c>
      <c r="R68" s="5">
        <v>3.2448153344536363</v>
      </c>
      <c r="S68" s="5">
        <v>2.0617061204451028</v>
      </c>
      <c r="T68" s="5">
        <v>1.8356588700082768</v>
      </c>
      <c r="U68" s="5">
        <v>1.4728625972174627</v>
      </c>
      <c r="V68" s="5">
        <v>2.2179332722836564</v>
      </c>
      <c r="W68" s="5">
        <v>4.1208288106563966</v>
      </c>
      <c r="X68" s="5">
        <v>4.0862185551985242</v>
      </c>
      <c r="Y68" s="5">
        <v>3.8614533482659983</v>
      </c>
      <c r="Z68" s="5">
        <v>4.09504286242941</v>
      </c>
      <c r="AA68">
        <v>2.9618366787321251</v>
      </c>
      <c r="AB68">
        <v>2.6300473192626059</v>
      </c>
      <c r="AC68">
        <v>3.8990458488726696</v>
      </c>
      <c r="AD68">
        <v>3.3953945466139581</v>
      </c>
      <c r="AE68" s="6">
        <v>915.87599999999998</v>
      </c>
      <c r="AF68" s="6">
        <v>426.62600000000003</v>
      </c>
      <c r="AG68" s="6">
        <v>7925.85</v>
      </c>
      <c r="AH68" s="6">
        <v>2485.39</v>
      </c>
      <c r="AI68" s="6">
        <v>115.26730000000001</v>
      </c>
      <c r="AJ68" s="6">
        <v>68.495000000000005</v>
      </c>
      <c r="AK68" s="6">
        <v>29.707260000000005</v>
      </c>
      <c r="AL68" s="6">
        <v>165.17080000000001</v>
      </c>
      <c r="AM68" s="6">
        <v>13207.749111111112</v>
      </c>
      <c r="AN68">
        <v>12196.032000000003</v>
      </c>
      <c r="AO68" s="6">
        <v>7268.6431555555555</v>
      </c>
      <c r="AP68" s="6">
        <v>12446.374444444446</v>
      </c>
    </row>
    <row r="69" spans="1:42">
      <c r="A69" s="1">
        <v>68</v>
      </c>
      <c r="B69" s="1">
        <v>1</v>
      </c>
      <c r="C69" s="1">
        <v>1</v>
      </c>
      <c r="D69" s="1">
        <v>0</v>
      </c>
      <c r="E69" s="1">
        <v>0</v>
      </c>
      <c r="F69" s="1">
        <v>8</v>
      </c>
      <c r="G69" s="1">
        <v>6</v>
      </c>
      <c r="H69" s="1">
        <v>2</v>
      </c>
      <c r="I69" s="1">
        <v>2</v>
      </c>
      <c r="J69" s="1">
        <v>3</v>
      </c>
      <c r="K69" s="5">
        <v>2.1099158630237933</v>
      </c>
      <c r="L69" s="5">
        <v>-1</v>
      </c>
      <c r="M69" s="5">
        <v>1.4502491083193612</v>
      </c>
      <c r="N69" s="5">
        <v>1.631443769013172</v>
      </c>
      <c r="O69" s="5">
        <v>2.8792419621940724</v>
      </c>
      <c r="P69" s="5">
        <v>2.7800695193686678</v>
      </c>
      <c r="Q69" s="5">
        <v>2.976023274209584</v>
      </c>
      <c r="R69" s="5">
        <v>3.0151386036245422</v>
      </c>
      <c r="S69" s="5">
        <v>1.6552028055501455</v>
      </c>
      <c r="T69" s="5">
        <v>1.0624428373001455</v>
      </c>
      <c r="U69" s="5">
        <v>0.96736916733208633</v>
      </c>
      <c r="V69" s="5">
        <v>1.5492694005271859</v>
      </c>
      <c r="W69" s="5">
        <v>3.2275440793288213</v>
      </c>
      <c r="X69" s="5">
        <v>3.0289460517020155</v>
      </c>
      <c r="Y69" s="5">
        <v>2.7922707239750553</v>
      </c>
      <c r="Z69" s="5">
        <v>3.4454203528136462</v>
      </c>
      <c r="AA69">
        <v>2.3023146910497743</v>
      </c>
      <c r="AB69">
        <v>2.6096541606207628</v>
      </c>
      <c r="AC69">
        <v>3.1058384213899215</v>
      </c>
      <c r="AD69">
        <v>3.0853812103488196</v>
      </c>
      <c r="AE69" s="6">
        <v>200.5925</v>
      </c>
      <c r="AF69" s="6">
        <v>407.05600000000004</v>
      </c>
      <c r="AG69" s="6">
        <v>1275.9639999999999</v>
      </c>
      <c r="AH69" s="6">
        <v>1217.2539999999999</v>
      </c>
      <c r="AI69" s="6">
        <v>45.206700000000005</v>
      </c>
      <c r="AJ69" s="6">
        <v>11.546300000000002</v>
      </c>
      <c r="AK69" s="6">
        <v>9.2761800000000019</v>
      </c>
      <c r="AL69" s="6">
        <v>35.421700000000008</v>
      </c>
      <c r="AM69" s="6">
        <v>1688.6672444444448</v>
      </c>
      <c r="AN69">
        <v>1068.922088888889</v>
      </c>
      <c r="AO69" s="6">
        <v>619.82733333333431</v>
      </c>
      <c r="AP69" s="6">
        <v>2788.8191555555559</v>
      </c>
    </row>
    <row r="70" spans="1:42">
      <c r="A70" s="1">
        <v>69</v>
      </c>
      <c r="B70" s="1">
        <v>0</v>
      </c>
      <c r="C70" s="1">
        <v>1</v>
      </c>
      <c r="D70" s="1">
        <v>0</v>
      </c>
      <c r="E70" s="1">
        <v>0</v>
      </c>
      <c r="F70" s="1">
        <v>4</v>
      </c>
      <c r="G70" s="1">
        <v>6</v>
      </c>
      <c r="H70" s="1">
        <v>1</v>
      </c>
      <c r="I70" s="1">
        <v>2</v>
      </c>
      <c r="J70" s="1">
        <v>2</v>
      </c>
      <c r="K70" s="5">
        <v>2.0119931146592571</v>
      </c>
      <c r="L70" s="5">
        <v>1.9768083373380663</v>
      </c>
      <c r="M70" s="5">
        <v>1.7649229846498886</v>
      </c>
      <c r="N70" s="5">
        <v>2.0523090996473234</v>
      </c>
      <c r="O70" s="5">
        <v>2.8792419621940724</v>
      </c>
      <c r="P70" s="5">
        <v>3.0550226623772603</v>
      </c>
      <c r="Q70" s="5">
        <v>2.976023274209584</v>
      </c>
      <c r="R70" s="5">
        <v>2.8014199896972038</v>
      </c>
      <c r="S70" s="5">
        <v>0.69299136643954529</v>
      </c>
      <c r="T70" s="5">
        <v>1.6300473192626062</v>
      </c>
      <c r="U70" s="5">
        <v>1.4717167008220551</v>
      </c>
      <c r="V70" s="5">
        <v>1.5726241929057287</v>
      </c>
      <c r="W70" s="5">
        <v>3.2860810467551715</v>
      </c>
      <c r="X70" s="5">
        <v>3.4736299693027828</v>
      </c>
      <c r="Y70" s="5">
        <v>3.4632704356285586</v>
      </c>
      <c r="Z70" s="5">
        <v>4.2514866653780032</v>
      </c>
      <c r="AA70">
        <v>2.4154424666250871</v>
      </c>
      <c r="AB70">
        <v>2.6789806519967305</v>
      </c>
      <c r="AC70">
        <v>2.8759220500255318</v>
      </c>
      <c r="AD70">
        <v>2.6054580460271546</v>
      </c>
      <c r="AE70" s="6">
        <v>260.28100000000001</v>
      </c>
      <c r="AF70" s="6">
        <v>477.50799999999998</v>
      </c>
      <c r="AG70" s="6">
        <v>751.48799999999994</v>
      </c>
      <c r="AH70" s="6">
        <v>403.142</v>
      </c>
      <c r="AI70" s="6">
        <v>4.9316400000000007</v>
      </c>
      <c r="AJ70" s="6">
        <v>42.662600000000005</v>
      </c>
      <c r="AK70" s="6">
        <v>29.628980000000002</v>
      </c>
      <c r="AL70" s="6">
        <v>37.378700000000002</v>
      </c>
      <c r="AM70" s="6">
        <v>1932.3288888888887</v>
      </c>
      <c r="AN70">
        <v>2975.9797333333331</v>
      </c>
      <c r="AO70" s="6">
        <v>2905.8315555555555</v>
      </c>
      <c r="AP70" s="6">
        <v>17843.772000000004</v>
      </c>
    </row>
    <row r="71" spans="1:42">
      <c r="A71" s="1">
        <v>70</v>
      </c>
      <c r="B71" s="1">
        <v>1</v>
      </c>
      <c r="C71" s="1">
        <v>1</v>
      </c>
      <c r="D71" s="1">
        <v>1</v>
      </c>
      <c r="E71" s="1">
        <v>0</v>
      </c>
      <c r="F71" s="1">
        <v>21</v>
      </c>
      <c r="G71" s="1">
        <v>18</v>
      </c>
      <c r="H71" s="1">
        <v>3</v>
      </c>
      <c r="I71" s="1">
        <v>2</v>
      </c>
      <c r="J71" s="1">
        <v>6</v>
      </c>
      <c r="K71" s="5">
        <v>1.9283958522567137</v>
      </c>
      <c r="L71" s="5">
        <v>-1</v>
      </c>
      <c r="M71" s="5">
        <v>1.9041743682841634</v>
      </c>
      <c r="N71" s="5">
        <v>2.3155505344219049</v>
      </c>
      <c r="O71" s="5">
        <v>2.2625024382606016</v>
      </c>
      <c r="P71" s="5">
        <v>2.6088499448979445</v>
      </c>
      <c r="Q71" s="5">
        <v>3.2066691051687592</v>
      </c>
      <c r="R71" s="5">
        <v>3.0775381883965105</v>
      </c>
      <c r="S71" s="5">
        <v>0.77446440926675497</v>
      </c>
      <c r="T71" s="5">
        <v>0.59694219510462487</v>
      </c>
      <c r="U71" s="5">
        <v>2.031953515152245</v>
      </c>
      <c r="V71" s="5">
        <v>2.0295781519914322</v>
      </c>
      <c r="W71" s="5">
        <v>2.3870164415834516</v>
      </c>
      <c r="X71" s="5">
        <v>2.8220325374108977</v>
      </c>
      <c r="Y71" s="5">
        <v>3.4220255507638737</v>
      </c>
      <c r="Z71" s="5">
        <v>3.7900349796578858</v>
      </c>
      <c r="AA71">
        <v>2.5156056370308653</v>
      </c>
      <c r="AB71">
        <v>2.9043746823777368</v>
      </c>
      <c r="AC71">
        <v>3.0740634498242874</v>
      </c>
      <c r="AD71">
        <v>3.6240292855736067</v>
      </c>
      <c r="AE71" s="6">
        <v>327.79750000000001</v>
      </c>
      <c r="AF71" s="6">
        <v>802.37</v>
      </c>
      <c r="AG71" s="6">
        <v>1185.942</v>
      </c>
      <c r="AH71" s="6">
        <v>4207.55</v>
      </c>
      <c r="AI71" s="6">
        <v>5.9492800000000008</v>
      </c>
      <c r="AJ71" s="6">
        <v>3.9531399999999999</v>
      </c>
      <c r="AK71" s="6">
        <v>107.63500000000001</v>
      </c>
      <c r="AL71" s="6">
        <v>107.04790000000001</v>
      </c>
      <c r="AM71" s="6">
        <v>243.79031111111073</v>
      </c>
      <c r="AN71">
        <v>663.79279999999972</v>
      </c>
      <c r="AO71" s="6">
        <v>2642.5642222222227</v>
      </c>
      <c r="AP71" s="6">
        <v>6166.4466666666658</v>
      </c>
    </row>
    <row r="72" spans="1:42">
      <c r="A72" s="1">
        <v>71</v>
      </c>
      <c r="B72" s="1">
        <v>1</v>
      </c>
      <c r="C72" s="1">
        <v>0</v>
      </c>
      <c r="D72" s="1">
        <v>0</v>
      </c>
      <c r="E72" s="1">
        <v>0</v>
      </c>
      <c r="F72" s="1">
        <v>2</v>
      </c>
      <c r="G72" s="1">
        <v>6</v>
      </c>
      <c r="H72" s="1">
        <v>1</v>
      </c>
      <c r="I72" s="1">
        <v>2</v>
      </c>
      <c r="J72" s="1">
        <v>1</v>
      </c>
      <c r="K72" s="5">
        <v>2.2474822606770544</v>
      </c>
      <c r="L72" s="5">
        <v>1.9675479762188621</v>
      </c>
      <c r="M72" s="5">
        <v>1.9454685851318196</v>
      </c>
      <c r="N72" s="5">
        <v>1.9484129657786009</v>
      </c>
      <c r="O72" s="5">
        <v>2.9571618138027489</v>
      </c>
      <c r="P72" s="5">
        <v>3.6024224829660692</v>
      </c>
      <c r="Q72" s="5">
        <v>3.2570996369552119</v>
      </c>
      <c r="R72" s="5">
        <v>3.3429159982786296</v>
      </c>
      <c r="S72" s="5">
        <v>2.0888583664887177</v>
      </c>
      <c r="T72" s="5">
        <v>2.2380430906710744</v>
      </c>
      <c r="U72" s="5">
        <v>1.7245601165324069</v>
      </c>
      <c r="V72" s="5">
        <v>1.4705677729511706</v>
      </c>
      <c r="W72" s="5">
        <v>4.4590229893000863</v>
      </c>
      <c r="X72" s="5">
        <v>4.2878869238827688</v>
      </c>
      <c r="Y72" s="5">
        <v>3.951353808581715</v>
      </c>
      <c r="Z72" s="5">
        <v>4.0764288712751737</v>
      </c>
      <c r="AA72">
        <v>3.0624428373001455</v>
      </c>
      <c r="AB72">
        <v>2.9562328012141266</v>
      </c>
      <c r="AC72">
        <v>3.4212807178573024</v>
      </c>
      <c r="AD72">
        <v>3.6718020673696072</v>
      </c>
      <c r="AE72" s="6">
        <v>1154.6300000000001</v>
      </c>
      <c r="AF72" s="6">
        <v>904.13400000000013</v>
      </c>
      <c r="AG72" s="6">
        <v>2638.0360000000001</v>
      </c>
      <c r="AH72" s="6">
        <v>4696.8</v>
      </c>
      <c r="AI72" s="6">
        <v>122.7039</v>
      </c>
      <c r="AJ72" s="6">
        <v>172.99880000000002</v>
      </c>
      <c r="AK72" s="6">
        <v>53.034700000000001</v>
      </c>
      <c r="AL72" s="6">
        <v>29.550700000000003</v>
      </c>
      <c r="AM72" s="6">
        <v>28775.507333333331</v>
      </c>
      <c r="AN72">
        <v>19403.806</v>
      </c>
      <c r="AO72" s="6">
        <v>8940.3353333333362</v>
      </c>
      <c r="AP72" s="6">
        <v>11924.189555555555</v>
      </c>
    </row>
    <row r="73" spans="1:42">
      <c r="A73" s="1">
        <v>72</v>
      </c>
      <c r="B73" s="1">
        <v>1</v>
      </c>
      <c r="C73" s="1">
        <v>1</v>
      </c>
      <c r="D73" s="1">
        <v>1</v>
      </c>
      <c r="E73" s="1">
        <v>0</v>
      </c>
      <c r="F73" s="1">
        <v>24</v>
      </c>
      <c r="G73" s="1">
        <v>18</v>
      </c>
      <c r="H73" s="1">
        <v>3</v>
      </c>
      <c r="I73" s="1">
        <v>2</v>
      </c>
      <c r="J73" s="1">
        <v>6</v>
      </c>
      <c r="K73" s="5">
        <v>2.2273724422896364</v>
      </c>
      <c r="L73" s="5">
        <v>2.129689892199301</v>
      </c>
      <c r="M73" s="5">
        <v>2.2360331471176358</v>
      </c>
      <c r="N73" s="5">
        <v>2.184123354239671</v>
      </c>
      <c r="O73" s="5">
        <v>2.8792419621940724</v>
      </c>
      <c r="P73" s="5">
        <v>3.4084617383639233</v>
      </c>
      <c r="Q73" s="5">
        <v>3.8425378187679318</v>
      </c>
      <c r="R73" s="5">
        <v>3.3886692160916958</v>
      </c>
      <c r="S73" s="5">
        <v>1.9270745724729132</v>
      </c>
      <c r="T73" s="5">
        <v>2.1859068883424397</v>
      </c>
      <c r="U73" s="5">
        <v>2.2743142133265466</v>
      </c>
      <c r="V73" s="5">
        <v>1.1836854283484814</v>
      </c>
      <c r="W73" s="5">
        <v>3.9440490166601165</v>
      </c>
      <c r="X73" s="5">
        <v>4.4652816596224874</v>
      </c>
      <c r="Y73" s="5">
        <v>4.1931947293945502</v>
      </c>
      <c r="Z73" s="5">
        <v>3.8743247062394595</v>
      </c>
      <c r="AA73">
        <v>2.2184475346076935</v>
      </c>
      <c r="AB73">
        <v>2.782952519492274</v>
      </c>
      <c r="AC73">
        <v>2.7509833134172319</v>
      </c>
      <c r="AD73">
        <v>3.1769520456895131</v>
      </c>
      <c r="AE73" s="6">
        <v>165.36649999999997</v>
      </c>
      <c r="AF73" s="6">
        <v>606.66999999999996</v>
      </c>
      <c r="AG73" s="6">
        <v>563.61599999999999</v>
      </c>
      <c r="AH73" s="6">
        <v>1502.9759999999999</v>
      </c>
      <c r="AI73" s="6">
        <v>84.542400000000015</v>
      </c>
      <c r="AJ73" s="6">
        <v>153.42880000000002</v>
      </c>
      <c r="AK73" s="6">
        <v>188.0677</v>
      </c>
      <c r="AL73" s="6">
        <v>15.2646</v>
      </c>
      <c r="AM73" s="6">
        <v>8791.2173333333358</v>
      </c>
      <c r="AN73">
        <v>29193.197111111116</v>
      </c>
      <c r="AO73" s="6">
        <v>15602.519333333332</v>
      </c>
      <c r="AP73" s="6">
        <v>7487.2908888888869</v>
      </c>
    </row>
    <row r="74" spans="1:42">
      <c r="A74" s="1">
        <v>73</v>
      </c>
      <c r="B74" s="1">
        <v>1</v>
      </c>
      <c r="C74" s="1">
        <v>1</v>
      </c>
      <c r="D74" s="1">
        <v>1</v>
      </c>
      <c r="E74" s="1">
        <v>0</v>
      </c>
      <c r="F74" s="1">
        <v>14</v>
      </c>
      <c r="G74" s="1">
        <v>6</v>
      </c>
      <c r="H74" s="1">
        <v>3</v>
      </c>
      <c r="I74" s="1">
        <v>2</v>
      </c>
      <c r="J74" s="1">
        <v>5</v>
      </c>
      <c r="K74" s="5">
        <v>2.4665710723863543</v>
      </c>
      <c r="L74" s="5">
        <v>2.0366288953621612</v>
      </c>
      <c r="M74" s="5">
        <v>2.2926990030439298</v>
      </c>
      <c r="N74" s="5">
        <v>2.3743816980508821</v>
      </c>
      <c r="O74" s="5">
        <v>3.0303562634508796</v>
      </c>
      <c r="P74" s="5">
        <v>3.5291816913397431</v>
      </c>
      <c r="Q74" s="5">
        <v>3.4115464757199536</v>
      </c>
      <c r="R74" s="5">
        <v>3.1363700818248366</v>
      </c>
      <c r="S74" s="5">
        <v>1.732499907723219</v>
      </c>
      <c r="T74" s="5">
        <v>2.2385340963558265</v>
      </c>
      <c r="U74" s="5">
        <v>2.2424422845465477</v>
      </c>
      <c r="V74" s="5">
        <v>2.0797591967991687</v>
      </c>
      <c r="W74" s="5">
        <v>3.4772836955108839</v>
      </c>
      <c r="X74" s="5">
        <v>3.2822384714960449</v>
      </c>
      <c r="Y74" s="5">
        <v>3.7362080989127384</v>
      </c>
      <c r="Z74" s="5">
        <v>3.7323046220100471</v>
      </c>
      <c r="AA74">
        <v>2.1272813971504267</v>
      </c>
      <c r="AB74">
        <v>3.2647186792576997</v>
      </c>
      <c r="AC74">
        <v>3.2792570905842759</v>
      </c>
      <c r="AD74">
        <v>3.8230697427002562</v>
      </c>
      <c r="AE74" s="6">
        <v>134.05450000000002</v>
      </c>
      <c r="AF74" s="6">
        <v>1839.58</v>
      </c>
      <c r="AG74" s="6">
        <v>1902.2040000000002</v>
      </c>
      <c r="AH74" s="6">
        <v>6653.8</v>
      </c>
      <c r="AI74" s="6">
        <v>54.013200000000012</v>
      </c>
      <c r="AJ74" s="6">
        <v>173.19450000000001</v>
      </c>
      <c r="AK74" s="6">
        <v>174.76009999999999</v>
      </c>
      <c r="AL74" s="6">
        <v>120.1598</v>
      </c>
      <c r="AM74" s="6">
        <v>3001.1223111111117</v>
      </c>
      <c r="AN74">
        <v>1915.307333333333</v>
      </c>
      <c r="AO74" s="6">
        <v>5447.6362222222224</v>
      </c>
      <c r="AP74" s="6">
        <v>5398.891777777777</v>
      </c>
    </row>
    <row r="75" spans="1:42">
      <c r="A75" s="1">
        <v>74</v>
      </c>
      <c r="B75" s="1">
        <v>1</v>
      </c>
      <c r="C75" s="1">
        <v>1</v>
      </c>
      <c r="D75" s="1">
        <v>1</v>
      </c>
      <c r="E75" s="1">
        <v>0</v>
      </c>
      <c r="F75" s="1">
        <v>13</v>
      </c>
      <c r="G75" s="1">
        <v>6</v>
      </c>
      <c r="H75" s="1">
        <v>3</v>
      </c>
      <c r="I75" s="1">
        <v>2</v>
      </c>
      <c r="J75" s="1">
        <v>5</v>
      </c>
      <c r="K75" s="5">
        <v>2.2940250940953226</v>
      </c>
      <c r="L75" s="5">
        <v>1.7387805584843692</v>
      </c>
      <c r="M75" s="5">
        <v>2.3695868907363442</v>
      </c>
      <c r="N75" s="5">
        <v>2.4452927694259716</v>
      </c>
      <c r="O75" s="5">
        <v>2.8792419621940724</v>
      </c>
      <c r="P75" s="5">
        <v>3.3192807346649396</v>
      </c>
      <c r="Q75" s="5">
        <v>3.4778542836590303</v>
      </c>
      <c r="R75" s="5">
        <v>3.6933247326331107</v>
      </c>
      <c r="S75" s="5">
        <v>2.0366656172400588</v>
      </c>
      <c r="T75" s="5">
        <v>2.1221794943431456</v>
      </c>
      <c r="U75" s="5">
        <v>2.2265939771116559</v>
      </c>
      <c r="V75" s="5">
        <v>2.173545796997602</v>
      </c>
      <c r="W75" s="5">
        <v>3.0398354205819644</v>
      </c>
      <c r="X75" s="5">
        <v>3.5056619448732973</v>
      </c>
      <c r="Y75" s="5">
        <v>3.8648397046969976</v>
      </c>
      <c r="Z75" s="5">
        <v>4.1103568495812368</v>
      </c>
      <c r="AA75">
        <v>1.8826554326845004</v>
      </c>
      <c r="AB75">
        <v>2.7032105316212314</v>
      </c>
      <c r="AC75">
        <v>2.7229545898169887</v>
      </c>
      <c r="AD75">
        <v>3.1678086662496434</v>
      </c>
      <c r="AE75" s="6">
        <v>76.323000000000008</v>
      </c>
      <c r="AF75" s="6">
        <v>504.90600000000001</v>
      </c>
      <c r="AG75" s="6">
        <v>528.39</v>
      </c>
      <c r="AH75" s="6">
        <v>1471.6639999999998</v>
      </c>
      <c r="AI75" s="6">
        <v>108.80920000000002</v>
      </c>
      <c r="AJ75" s="6">
        <v>132.48890000000003</v>
      </c>
      <c r="AK75" s="6">
        <v>168.49770000000001</v>
      </c>
      <c r="AL75" s="6">
        <v>149.12340000000003</v>
      </c>
      <c r="AM75" s="6">
        <v>1096.0627555555564</v>
      </c>
      <c r="AN75">
        <v>3203.7745333333332</v>
      </c>
      <c r="AO75" s="6">
        <v>7325.5410222222226</v>
      </c>
      <c r="AP75" s="6">
        <v>12893.085111111113</v>
      </c>
    </row>
    <row r="76" spans="1:42">
      <c r="A76" s="1">
        <v>75</v>
      </c>
      <c r="B76" s="1">
        <v>0</v>
      </c>
      <c r="C76" s="1">
        <v>1</v>
      </c>
      <c r="D76" s="1">
        <v>0</v>
      </c>
      <c r="E76" s="1">
        <v>1</v>
      </c>
      <c r="F76" s="1">
        <v>6</v>
      </c>
      <c r="G76" s="1">
        <v>6</v>
      </c>
      <c r="H76" s="1">
        <v>1</v>
      </c>
      <c r="I76" s="1">
        <v>2</v>
      </c>
      <c r="J76" s="1">
        <v>2</v>
      </c>
      <c r="K76" s="5">
        <v>1.0334237554869496</v>
      </c>
      <c r="L76" s="5">
        <v>0.68124123737558717</v>
      </c>
      <c r="M76" s="5">
        <v>1.7339992865383869</v>
      </c>
      <c r="N76" s="5">
        <v>1.4593924877592308</v>
      </c>
      <c r="O76" s="5">
        <v>2.5047799267591442</v>
      </c>
      <c r="P76" s="5">
        <v>2.9928863669925154</v>
      </c>
      <c r="Q76" s="5">
        <v>2.9093149120410047</v>
      </c>
      <c r="R76" s="5">
        <v>2.948710528691965</v>
      </c>
      <c r="S76" s="5">
        <v>1.1342000652685633</v>
      </c>
      <c r="T76" s="5">
        <v>1.4529588278929761</v>
      </c>
      <c r="U76" s="5">
        <v>1.322595107021538</v>
      </c>
      <c r="V76" s="5">
        <v>1.3111225101892567</v>
      </c>
      <c r="W76" s="5">
        <v>2.5493635251796203</v>
      </c>
      <c r="X76" s="5">
        <v>3.1924430133312089</v>
      </c>
      <c r="Y76" s="5">
        <v>3.4822713191311774</v>
      </c>
      <c r="Z76" s="5">
        <v>3.0698900293725546</v>
      </c>
      <c r="AA76">
        <v>2.4888713837836205</v>
      </c>
      <c r="AB76">
        <v>3.1990021864325873</v>
      </c>
      <c r="AC76">
        <v>2.2458333350973261</v>
      </c>
      <c r="AD76">
        <v>2.8621337655398986</v>
      </c>
      <c r="AE76" s="6">
        <v>308.22750000000002</v>
      </c>
      <c r="AF76" s="6">
        <v>1581.2559999999999</v>
      </c>
      <c r="AG76" s="6">
        <v>176.13</v>
      </c>
      <c r="AH76" s="6">
        <v>728.00400000000013</v>
      </c>
      <c r="AI76" s="6">
        <v>13.62072</v>
      </c>
      <c r="AJ76" s="6">
        <v>28.3765</v>
      </c>
      <c r="AK76" s="6">
        <v>21.018180000000001</v>
      </c>
      <c r="AL76" s="6">
        <v>20.470220000000005</v>
      </c>
      <c r="AM76" s="6">
        <v>354.29377777777785</v>
      </c>
      <c r="AN76">
        <v>1557.5536444444451</v>
      </c>
      <c r="AO76" s="6">
        <v>3035.7871555555553</v>
      </c>
      <c r="AP76" s="6">
        <v>1174.6000888888896</v>
      </c>
    </row>
    <row r="77" spans="1:42">
      <c r="A77" s="1">
        <v>76</v>
      </c>
      <c r="B77" s="1">
        <v>1</v>
      </c>
      <c r="C77" s="1">
        <v>0</v>
      </c>
      <c r="D77" s="1">
        <v>0</v>
      </c>
      <c r="E77" s="1">
        <v>0</v>
      </c>
      <c r="F77" s="1">
        <v>1</v>
      </c>
      <c r="G77" s="1">
        <v>6</v>
      </c>
      <c r="H77" s="1">
        <v>1</v>
      </c>
      <c r="I77" s="1">
        <v>2</v>
      </c>
      <c r="J77" s="1">
        <v>1</v>
      </c>
      <c r="K77" s="5">
        <v>1.4281347940287887</v>
      </c>
      <c r="L77" s="5">
        <v>1.8247764624755456</v>
      </c>
      <c r="M77" s="5">
        <v>2.1010593549081156</v>
      </c>
      <c r="N77" s="5">
        <v>2.1953460583484197</v>
      </c>
      <c r="O77" s="5">
        <v>2.7959442012047799</v>
      </c>
      <c r="P77" s="5">
        <v>3.2716007434965833</v>
      </c>
      <c r="Q77" s="5">
        <v>3.1536512857562164</v>
      </c>
      <c r="R77" s="5">
        <v>3.2448153344536363</v>
      </c>
      <c r="S77" s="5">
        <v>1.1792081259937373</v>
      </c>
      <c r="T77" s="5">
        <v>1.7554838146439085</v>
      </c>
      <c r="U77" s="5">
        <v>2.2245716475811994</v>
      </c>
      <c r="V77" s="5">
        <v>1.9826723177809698</v>
      </c>
      <c r="W77" s="5">
        <v>3.5481990977118518</v>
      </c>
      <c r="X77" s="5">
        <v>3.9359652782394523</v>
      </c>
      <c r="Y77" s="5">
        <v>4.2542616861543614</v>
      </c>
      <c r="Z77" s="5">
        <v>4.5470826897248644</v>
      </c>
      <c r="AA77">
        <v>3.5611037698759174</v>
      </c>
      <c r="AB77">
        <v>3.5703444266108302</v>
      </c>
      <c r="AC77">
        <v>3.7801415421584457</v>
      </c>
      <c r="AD77">
        <v>3.6877901727537377</v>
      </c>
      <c r="AE77" s="6">
        <v>3640.02</v>
      </c>
      <c r="AF77" s="6">
        <v>3718.3</v>
      </c>
      <c r="AG77" s="6">
        <v>6027.56</v>
      </c>
      <c r="AH77" s="6">
        <v>4872.93</v>
      </c>
      <c r="AI77" s="6">
        <v>15.108040000000001</v>
      </c>
      <c r="AJ77" s="6">
        <v>56.948700000000009</v>
      </c>
      <c r="AK77" s="6">
        <v>167.71490000000003</v>
      </c>
      <c r="AL77" s="6">
        <v>96.088700000000017</v>
      </c>
      <c r="AM77" s="6">
        <v>3533.4512000000009</v>
      </c>
      <c r="AN77">
        <v>8629.0955555555556</v>
      </c>
      <c r="AO77" s="6">
        <v>17958.153777777781</v>
      </c>
      <c r="AP77" s="6">
        <v>35243.796888888894</v>
      </c>
    </row>
    <row r="78" spans="1:42">
      <c r="A78" s="1">
        <v>77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2</v>
      </c>
      <c r="J78" s="1">
        <v>0</v>
      </c>
      <c r="K78" s="5">
        <v>2.4483971034577676</v>
      </c>
      <c r="L78" s="5">
        <v>1.7979596437371961</v>
      </c>
      <c r="M78" s="5">
        <v>1.8075350280688534</v>
      </c>
      <c r="N78" s="5">
        <v>1.8500332576897689</v>
      </c>
      <c r="O78" s="5">
        <v>3.2854779013795743</v>
      </c>
      <c r="P78" s="5">
        <v>3.2215939976915293</v>
      </c>
      <c r="Q78" s="5">
        <v>3.1414306452078247</v>
      </c>
      <c r="R78" s="5">
        <v>2.8776976892874249</v>
      </c>
      <c r="S78" s="5">
        <v>2.2530119197244494</v>
      </c>
      <c r="T78" s="5">
        <v>0.90437468237773666</v>
      </c>
      <c r="U78" s="5">
        <v>1.5326389763296457</v>
      </c>
      <c r="V78" s="5">
        <v>1.1701126211592077</v>
      </c>
      <c r="W78" s="5">
        <v>4.4375320926252613</v>
      </c>
      <c r="X78" s="5">
        <v>3.1572208626609433</v>
      </c>
      <c r="Y78" s="5">
        <v>3.4410224454026959</v>
      </c>
      <c r="Z78" s="5">
        <v>3.537242142373175</v>
      </c>
      <c r="AA78">
        <v>3.2889772100553145</v>
      </c>
      <c r="AB78">
        <v>2.7261597296922</v>
      </c>
      <c r="AC78">
        <v>2.8892860115835135</v>
      </c>
      <c r="AD78">
        <v>3.9609077062241131</v>
      </c>
      <c r="AE78" s="6">
        <v>1945.258</v>
      </c>
      <c r="AF78" s="6">
        <v>532.30400000000009</v>
      </c>
      <c r="AG78" s="6">
        <v>774.97200000000009</v>
      </c>
      <c r="AH78" s="6">
        <v>9139.19</v>
      </c>
      <c r="AI78" s="6">
        <v>179.06550000000001</v>
      </c>
      <c r="AJ78" s="6">
        <v>8.0236999999999998</v>
      </c>
      <c r="AK78" s="6">
        <v>34.09094000000001</v>
      </c>
      <c r="AL78" s="6">
        <v>14.794919999999999</v>
      </c>
      <c r="AM78" s="6">
        <v>27386.22</v>
      </c>
      <c r="AN78">
        <v>1436.2196444444439</v>
      </c>
      <c r="AO78" s="6">
        <v>2760.7205333333341</v>
      </c>
      <c r="AP78" s="6">
        <v>3445.4197777777772</v>
      </c>
    </row>
    <row r="79" spans="1:42">
      <c r="A79" s="1">
        <v>78</v>
      </c>
      <c r="B79" s="1">
        <v>1</v>
      </c>
      <c r="C79" s="1">
        <v>0</v>
      </c>
      <c r="D79" s="1">
        <v>0</v>
      </c>
      <c r="E79" s="1">
        <v>1</v>
      </c>
      <c r="F79" s="1">
        <v>1</v>
      </c>
      <c r="G79" s="1">
        <v>6</v>
      </c>
      <c r="H79" s="1">
        <v>1</v>
      </c>
      <c r="I79" s="1">
        <v>2</v>
      </c>
      <c r="J79" s="1">
        <v>1</v>
      </c>
      <c r="K79" s="5">
        <v>2.1231980750319988</v>
      </c>
      <c r="L79" s="5">
        <v>1.3579348470004537</v>
      </c>
      <c r="M79" s="5">
        <v>1.7937903846908188</v>
      </c>
      <c r="N79" s="5">
        <v>1.8500332576897689</v>
      </c>
      <c r="O79" s="5">
        <v>3.0303562634508796</v>
      </c>
      <c r="P79" s="5">
        <v>3.1690217061732096</v>
      </c>
      <c r="Q79" s="5">
        <v>3.097766277634352</v>
      </c>
      <c r="R79" s="5">
        <v>2.948710528691965</v>
      </c>
      <c r="S79" s="5">
        <v>2.0609681517341398</v>
      </c>
      <c r="T79" s="5">
        <v>0.89797219076860613</v>
      </c>
      <c r="U79" s="5">
        <v>1.5573517423756118</v>
      </c>
      <c r="V79" s="5">
        <v>0.89147389773168895</v>
      </c>
      <c r="W79" s="5">
        <v>4.1488599816599185</v>
      </c>
      <c r="X79" s="5">
        <v>2.9777746407807411</v>
      </c>
      <c r="Y79" s="5">
        <v>3.2669591668435927</v>
      </c>
      <c r="Z79" s="5">
        <v>3.294613415533119</v>
      </c>
      <c r="AA79">
        <v>3.2458333350973261</v>
      </c>
      <c r="AB79">
        <v>2.8230697427002562</v>
      </c>
      <c r="AC79">
        <v>3.8010621777605498</v>
      </c>
      <c r="AD79">
        <v>4.1513293918551479</v>
      </c>
      <c r="AE79" s="6">
        <v>1761.3</v>
      </c>
      <c r="AF79" s="6">
        <v>665.38</v>
      </c>
      <c r="AG79" s="6">
        <v>6325.0239999999994</v>
      </c>
      <c r="AH79" s="6">
        <v>14168.68</v>
      </c>
      <c r="AI79" s="6">
        <v>115.07159999999999</v>
      </c>
      <c r="AJ79" s="6">
        <v>7.9062799999999998</v>
      </c>
      <c r="AK79" s="6">
        <v>36.087080000000007</v>
      </c>
      <c r="AL79" s="6">
        <v>7.7888599999999997</v>
      </c>
      <c r="AM79" s="6">
        <v>14088.34511111111</v>
      </c>
      <c r="AN79">
        <v>950.11164444444466</v>
      </c>
      <c r="AO79" s="6">
        <v>1849.0947555555558</v>
      </c>
      <c r="AP79" s="6">
        <v>1970.6677777777772</v>
      </c>
    </row>
    <row r="80" spans="1:42">
      <c r="A80" s="1">
        <v>79</v>
      </c>
      <c r="B80" s="1">
        <v>1</v>
      </c>
      <c r="C80" s="1">
        <v>1</v>
      </c>
      <c r="D80" s="1">
        <v>1</v>
      </c>
      <c r="E80" s="1">
        <v>0</v>
      </c>
      <c r="F80" s="1">
        <v>16</v>
      </c>
      <c r="G80" s="1">
        <v>6</v>
      </c>
      <c r="H80" s="1">
        <v>3</v>
      </c>
      <c r="I80" s="1">
        <v>2</v>
      </c>
      <c r="J80" s="1">
        <v>5</v>
      </c>
      <c r="K80" s="5">
        <v>1.2741578492636798</v>
      </c>
      <c r="L80" s="5">
        <v>1.6884198220027107</v>
      </c>
      <c r="M80" s="5">
        <v>2.6108730003800518</v>
      </c>
      <c r="N80" s="5">
        <v>2.0523090996473234</v>
      </c>
      <c r="O80" s="5">
        <v>2.5047799267591442</v>
      </c>
      <c r="P80" s="5">
        <v>3.1690217061732096</v>
      </c>
      <c r="Q80" s="5">
        <v>3.2570996369552119</v>
      </c>
      <c r="R80" s="5">
        <v>3.1920202789882057</v>
      </c>
      <c r="S80" s="5">
        <v>1.3185324536170306</v>
      </c>
      <c r="T80" s="5">
        <v>1.1240997383642375</v>
      </c>
      <c r="U80" s="5">
        <v>2.2414685296948758</v>
      </c>
      <c r="V80" s="5">
        <v>1.9260680958187328</v>
      </c>
      <c r="W80" s="5">
        <v>2.9036038633904822</v>
      </c>
      <c r="X80" s="5">
        <v>2.9077471044732368</v>
      </c>
      <c r="Y80" s="5">
        <v>4.1581091803181405</v>
      </c>
      <c r="Z80" s="5">
        <v>4.30316735798558</v>
      </c>
      <c r="AA80">
        <v>2.6580137828839741</v>
      </c>
      <c r="AB80">
        <v>2.938973795772621</v>
      </c>
      <c r="AC80">
        <v>3.3027381864337988</v>
      </c>
      <c r="AD80">
        <v>3.385012510820236</v>
      </c>
      <c r="AE80" s="6">
        <v>455.0025</v>
      </c>
      <c r="AF80" s="6">
        <v>868.90800000000013</v>
      </c>
      <c r="AG80" s="6">
        <v>2007.8819999999998</v>
      </c>
      <c r="AH80" s="6">
        <v>2426.6799999999998</v>
      </c>
      <c r="AI80" s="6">
        <v>20.822480000000002</v>
      </c>
      <c r="AJ80" s="6">
        <v>13.307600000000001</v>
      </c>
      <c r="AK80" s="6">
        <v>174.36869999999999</v>
      </c>
      <c r="AL80" s="6">
        <v>84.346699999999998</v>
      </c>
      <c r="AM80" s="6">
        <v>800.94715555555467</v>
      </c>
      <c r="AN80">
        <v>808.62488888888879</v>
      </c>
      <c r="AO80" s="6">
        <v>14391.603333333334</v>
      </c>
      <c r="AP80" s="6">
        <v>20098.671777777778</v>
      </c>
    </row>
    <row r="81" spans="1:42">
      <c r="A81" s="1">
        <v>80</v>
      </c>
      <c r="B81" s="1">
        <v>1</v>
      </c>
      <c r="C81" s="1">
        <v>1</v>
      </c>
      <c r="D81" s="1">
        <v>1</v>
      </c>
      <c r="E81" s="1">
        <v>1</v>
      </c>
      <c r="F81" s="1">
        <v>23</v>
      </c>
      <c r="G81" s="1">
        <v>18</v>
      </c>
      <c r="H81" s="1">
        <v>3</v>
      </c>
      <c r="I81" s="1">
        <v>2</v>
      </c>
      <c r="J81" s="1">
        <v>6</v>
      </c>
      <c r="K81" s="5">
        <v>2.082066934285113</v>
      </c>
      <c r="L81" s="5">
        <v>1.670245853074124</v>
      </c>
      <c r="M81" s="5">
        <v>1.8704039052790271</v>
      </c>
      <c r="N81" s="5">
        <v>2.0674428427763805</v>
      </c>
      <c r="O81" s="5">
        <v>2.9571618138027489</v>
      </c>
      <c r="P81" s="5">
        <v>3.1136063199683353</v>
      </c>
      <c r="Q81" s="5">
        <v>3.0386861483687762</v>
      </c>
      <c r="R81" s="5">
        <v>3.1920202789882057</v>
      </c>
      <c r="S81" s="5">
        <v>2.0572593804170154</v>
      </c>
      <c r="T81" s="5">
        <v>1.3634728329641266</v>
      </c>
      <c r="U81" s="5">
        <v>2.0050813687519438</v>
      </c>
      <c r="V81" s="5">
        <v>2.0436392734774396</v>
      </c>
      <c r="W81" s="5">
        <v>4.1317194035671596</v>
      </c>
      <c r="X81" s="5">
        <v>2.2765307343347891</v>
      </c>
      <c r="Y81" s="5">
        <v>3.2840518387555808</v>
      </c>
      <c r="Z81" s="5">
        <v>3.034148493712792</v>
      </c>
      <c r="AA81">
        <v>2.9189566822507338</v>
      </c>
      <c r="AB81">
        <v>2.4314699120592378</v>
      </c>
      <c r="AC81">
        <v>3.6656055659499129</v>
      </c>
      <c r="AD81">
        <v>3.5444438566378942</v>
      </c>
      <c r="AE81" s="6">
        <v>829.76800000000014</v>
      </c>
      <c r="AF81" s="6">
        <v>270.06599999999997</v>
      </c>
      <c r="AG81" s="6">
        <v>4630.2620000000006</v>
      </c>
      <c r="AH81" s="6">
        <v>3503.03</v>
      </c>
      <c r="AI81" s="6">
        <v>114.09310000000001</v>
      </c>
      <c r="AJ81" s="6">
        <v>23.092600000000004</v>
      </c>
      <c r="AK81" s="6">
        <v>101.17690000000002</v>
      </c>
      <c r="AL81" s="6">
        <v>110.5705</v>
      </c>
      <c r="AM81" s="6">
        <v>13543.141111111116</v>
      </c>
      <c r="AN81">
        <v>189.03</v>
      </c>
      <c r="AO81" s="6">
        <v>1923.3212888888881</v>
      </c>
      <c r="AP81" s="6">
        <v>1081.8037777777786</v>
      </c>
    </row>
    <row r="82" spans="1:42">
      <c r="A82" s="1">
        <v>81</v>
      </c>
      <c r="B82" s="1">
        <v>1</v>
      </c>
      <c r="C82" s="1">
        <v>1</v>
      </c>
      <c r="D82" s="1">
        <v>0</v>
      </c>
      <c r="E82" s="1">
        <v>0</v>
      </c>
      <c r="F82" s="1">
        <v>7</v>
      </c>
      <c r="G82" s="1">
        <v>6</v>
      </c>
      <c r="H82" s="1">
        <v>2</v>
      </c>
      <c r="I82" s="1">
        <v>2</v>
      </c>
      <c r="J82" s="1">
        <v>3</v>
      </c>
      <c r="K82" s="5">
        <v>1.2253092817258628</v>
      </c>
      <c r="L82" s="5">
        <v>1.541579243946581</v>
      </c>
      <c r="M82" s="5">
        <v>2.269979676645324</v>
      </c>
      <c r="N82" s="5">
        <v>2.3400473176613934</v>
      </c>
      <c r="O82" s="5">
        <v>2.2625024382606016</v>
      </c>
      <c r="P82" s="5">
        <v>2.7800695193686678</v>
      </c>
      <c r="Q82" s="5">
        <v>3.5168634741868732</v>
      </c>
      <c r="R82" s="5">
        <v>3.8208155098401546</v>
      </c>
      <c r="S82" s="5">
        <v>1.0609681517341396</v>
      </c>
      <c r="T82" s="5">
        <v>1.2210097513722939</v>
      </c>
      <c r="U82" s="5">
        <v>2.2605405066393436</v>
      </c>
      <c r="V82" s="5">
        <v>2.0733462003104699</v>
      </c>
      <c r="W82" s="5">
        <v>2.5515356556026001</v>
      </c>
      <c r="X82" s="5">
        <v>2.7041163746491854</v>
      </c>
      <c r="Y82" s="5">
        <v>4.1246811163481842</v>
      </c>
      <c r="Z82" s="5">
        <v>4.5120868096068154</v>
      </c>
      <c r="AA82">
        <v>2.370772071705626</v>
      </c>
      <c r="AB82">
        <v>2.1946808126499446</v>
      </c>
      <c r="AC82">
        <v>2.9636886835937184</v>
      </c>
      <c r="AD82">
        <v>2.7569736771064193</v>
      </c>
      <c r="AE82" s="6">
        <v>234.84</v>
      </c>
      <c r="AF82" s="6">
        <v>156.56</v>
      </c>
      <c r="AG82" s="6">
        <v>919.79</v>
      </c>
      <c r="AH82" s="6">
        <v>571.44399999999996</v>
      </c>
      <c r="AI82" s="6">
        <v>11.507160000000001</v>
      </c>
      <c r="AJ82" s="6">
        <v>16.634499999999999</v>
      </c>
      <c r="AK82" s="6">
        <v>182.19669999999999</v>
      </c>
      <c r="AL82" s="6">
        <v>118.39850000000001</v>
      </c>
      <c r="AM82" s="6">
        <v>356.0702222222215</v>
      </c>
      <c r="AN82">
        <v>505.96022222222166</v>
      </c>
      <c r="AO82" s="6">
        <v>13325.426444444445</v>
      </c>
      <c r="AP82" s="6">
        <v>32515.228444444438</v>
      </c>
    </row>
    <row r="83" spans="1:42">
      <c r="A83" s="1">
        <v>82</v>
      </c>
      <c r="B83" s="1">
        <v>1</v>
      </c>
      <c r="C83" s="1">
        <v>1</v>
      </c>
      <c r="D83" s="1">
        <v>1</v>
      </c>
      <c r="E83" s="1">
        <v>1</v>
      </c>
      <c r="F83" s="1">
        <v>21</v>
      </c>
      <c r="G83" s="1">
        <v>18</v>
      </c>
      <c r="H83" s="1">
        <v>3</v>
      </c>
      <c r="I83" s="1">
        <v>2</v>
      </c>
      <c r="J83" s="1">
        <v>6</v>
      </c>
      <c r="K83" s="5">
        <v>1.4593924877592308</v>
      </c>
      <c r="L83" s="5">
        <v>1.9675479762188621</v>
      </c>
      <c r="M83" s="5">
        <v>1.8819549713396004</v>
      </c>
      <c r="N83" s="5">
        <v>2.3070679506612985</v>
      </c>
      <c r="O83" s="5">
        <v>2.7064707814322841</v>
      </c>
      <c r="P83" s="5">
        <v>3.1136063199683353</v>
      </c>
      <c r="Q83" s="5">
        <v>3.1536512857562164</v>
      </c>
      <c r="R83" s="5">
        <v>3.695901459117227</v>
      </c>
      <c r="S83" s="5">
        <v>1.9096389223700938</v>
      </c>
      <c r="T83" s="5">
        <v>0.29159082565800121</v>
      </c>
      <c r="U83" s="5">
        <v>1.7197256196867901</v>
      </c>
      <c r="V83" s="5">
        <v>2.2697713425954151</v>
      </c>
      <c r="W83" s="5">
        <v>3.3964213173587496</v>
      </c>
      <c r="X83" s="5">
        <v>1.5515963647040998</v>
      </c>
      <c r="Y83" s="5">
        <v>3.6427637912076296</v>
      </c>
      <c r="Z83" s="5">
        <v>4.219689492766773</v>
      </c>
      <c r="AA83">
        <v>3.1596471874810428</v>
      </c>
      <c r="AB83">
        <v>2.9350435021441887</v>
      </c>
      <c r="AC83">
        <v>3.486382583379926</v>
      </c>
      <c r="AD83">
        <v>2.7687120803776635</v>
      </c>
      <c r="AE83" s="6">
        <v>1444.2660000000001</v>
      </c>
      <c r="AF83" s="6">
        <v>861.08</v>
      </c>
      <c r="AG83" s="6">
        <v>3064.6620000000003</v>
      </c>
      <c r="AH83" s="6">
        <v>587.1</v>
      </c>
      <c r="AI83" s="6">
        <v>81.215500000000006</v>
      </c>
      <c r="AJ83" s="6">
        <v>1.9570000000000001</v>
      </c>
      <c r="AK83" s="6">
        <v>52.447600000000001</v>
      </c>
      <c r="AL83" s="6">
        <v>186.11070000000001</v>
      </c>
      <c r="AM83" s="6">
        <v>2491.2729777777768</v>
      </c>
      <c r="AN83">
        <v>35.611999999999568</v>
      </c>
      <c r="AO83" s="6">
        <v>4393.0261777777787</v>
      </c>
      <c r="AP83" s="6">
        <v>16584.007777777773</v>
      </c>
    </row>
    <row r="84" spans="1:42">
      <c r="A84" s="1">
        <v>83</v>
      </c>
      <c r="B84" s="1">
        <v>1</v>
      </c>
      <c r="C84" s="1">
        <v>1</v>
      </c>
      <c r="D84" s="1">
        <v>1</v>
      </c>
      <c r="E84" s="1">
        <v>1</v>
      </c>
      <c r="F84" s="1">
        <v>18</v>
      </c>
      <c r="G84" s="1">
        <v>6</v>
      </c>
      <c r="H84" s="1">
        <v>3</v>
      </c>
      <c r="I84" s="1">
        <v>2</v>
      </c>
      <c r="J84" s="1">
        <v>5</v>
      </c>
      <c r="K84" s="5">
        <v>1.9768083373380663</v>
      </c>
      <c r="L84" s="5">
        <v>1.7387805584843692</v>
      </c>
      <c r="M84" s="5">
        <v>1.9740509027928774</v>
      </c>
      <c r="N84" s="5">
        <v>1.631443769013172</v>
      </c>
      <c r="O84" s="5">
        <v>3.2265716499651464</v>
      </c>
      <c r="P84" s="5">
        <v>3.1690217061732096</v>
      </c>
      <c r="Q84" s="5">
        <v>3.097766277634352</v>
      </c>
      <c r="R84" s="5">
        <v>2.8776976892874249</v>
      </c>
      <c r="S84" s="5">
        <v>2.0420992205093476</v>
      </c>
      <c r="T84" s="5">
        <v>0.46768208471368244</v>
      </c>
      <c r="U84" s="5">
        <v>1.4095246606976426</v>
      </c>
      <c r="V84" s="5">
        <v>1.3530433047451944</v>
      </c>
      <c r="W84" s="5">
        <v>4.3500641798009232</v>
      </c>
      <c r="X84" s="5">
        <v>2.0951724521398805</v>
      </c>
      <c r="Y84" s="5">
        <v>3.8520594760102913</v>
      </c>
      <c r="Z84" s="5">
        <v>3.1887466073169177</v>
      </c>
      <c r="AA84">
        <v>2.8592052683888456</v>
      </c>
      <c r="AB84">
        <v>2.6718020673696072</v>
      </c>
      <c r="AC84">
        <v>3.0839825151562552</v>
      </c>
      <c r="AD84">
        <v>3.1903160072474948</v>
      </c>
      <c r="AE84" s="6">
        <v>723.11149999999998</v>
      </c>
      <c r="AF84" s="6">
        <v>469.68</v>
      </c>
      <c r="AG84" s="6">
        <v>1213.3399999999999</v>
      </c>
      <c r="AH84" s="6">
        <v>1549.9440000000002</v>
      </c>
      <c r="AI84" s="6">
        <v>110.17910000000001</v>
      </c>
      <c r="AJ84" s="6">
        <v>2.9355000000000002</v>
      </c>
      <c r="AK84" s="6">
        <v>25.675840000000001</v>
      </c>
      <c r="AL84" s="6">
        <v>22.544640000000001</v>
      </c>
      <c r="AM84" s="6">
        <v>22390.52</v>
      </c>
      <c r="AN84">
        <v>124.50088888888942</v>
      </c>
      <c r="AO84" s="6">
        <v>7113.1092000000008</v>
      </c>
      <c r="AP84" s="6">
        <v>1544.3531111111108</v>
      </c>
    </row>
    <row r="85" spans="1:42">
      <c r="A85" s="1">
        <v>84</v>
      </c>
      <c r="B85" s="1">
        <v>1</v>
      </c>
      <c r="C85" s="1">
        <v>1</v>
      </c>
      <c r="D85" s="1">
        <v>1</v>
      </c>
      <c r="E85" s="1">
        <v>1</v>
      </c>
      <c r="F85" s="1">
        <v>24</v>
      </c>
      <c r="G85" s="1">
        <v>18</v>
      </c>
      <c r="H85" s="1">
        <v>3</v>
      </c>
      <c r="I85" s="1">
        <v>2</v>
      </c>
      <c r="J85" s="1">
        <v>6</v>
      </c>
      <c r="K85" s="5">
        <v>1.9858753573083936</v>
      </c>
      <c r="L85" s="5">
        <v>1.3944516808262162</v>
      </c>
      <c r="M85" s="5">
        <v>1.8463371121298053</v>
      </c>
      <c r="N85" s="5">
        <v>1.7543483357110188</v>
      </c>
      <c r="O85" s="5">
        <v>3.0993658262064696</v>
      </c>
      <c r="P85" s="5">
        <v>3.1136063199683353</v>
      </c>
      <c r="Q85" s="5">
        <v>3.1536512857562164</v>
      </c>
      <c r="R85" s="5">
        <v>2.8776976892874249</v>
      </c>
      <c r="S85" s="5">
        <v>1.7787292011351876</v>
      </c>
      <c r="T85" s="5">
        <v>1.370772071705626</v>
      </c>
      <c r="U85" s="5">
        <v>1.4511580188916215</v>
      </c>
      <c r="V85" s="5">
        <v>1.3836092964107982</v>
      </c>
      <c r="W85" s="5">
        <v>4.2833629051986915</v>
      </c>
      <c r="X85" s="5">
        <v>1.92994770492479</v>
      </c>
      <c r="Y85" s="5">
        <v>2.589799575733529</v>
      </c>
      <c r="Z85" s="5">
        <v>3.0611852018705115</v>
      </c>
      <c r="AA85">
        <v>2.3168966909227713</v>
      </c>
      <c r="AB85">
        <v>1.8230697427002565</v>
      </c>
      <c r="AC85">
        <v>2.2647186792576997</v>
      </c>
      <c r="AD85">
        <v>2.4847154240124629</v>
      </c>
      <c r="AE85" s="6">
        <v>207.44200000000004</v>
      </c>
      <c r="AF85" s="6">
        <v>66.538000000000011</v>
      </c>
      <c r="AG85" s="6">
        <v>183.95799999999997</v>
      </c>
      <c r="AH85" s="6">
        <v>305.29200000000003</v>
      </c>
      <c r="AI85" s="6">
        <v>60.079900000000002</v>
      </c>
      <c r="AJ85" s="6">
        <v>23.484000000000002</v>
      </c>
      <c r="AK85" s="6">
        <v>28.259080000000001</v>
      </c>
      <c r="AL85" s="6">
        <v>24.18852</v>
      </c>
      <c r="AM85" s="6">
        <v>19202.72688888889</v>
      </c>
      <c r="AN85">
        <v>85.103555555556909</v>
      </c>
      <c r="AO85" s="6">
        <v>388.86564444444326</v>
      </c>
      <c r="AP85" s="6">
        <v>1151.2912444444446</v>
      </c>
    </row>
    <row r="86" spans="1:42">
      <c r="A86" s="1">
        <v>85</v>
      </c>
      <c r="B86" s="1">
        <v>1</v>
      </c>
      <c r="C86" s="1">
        <v>1</v>
      </c>
      <c r="D86" s="1">
        <v>1</v>
      </c>
      <c r="E86" s="1">
        <v>1</v>
      </c>
      <c r="F86" s="1">
        <v>20</v>
      </c>
      <c r="G86" s="1">
        <v>18</v>
      </c>
      <c r="H86" s="1">
        <v>3</v>
      </c>
      <c r="I86" s="1">
        <v>2</v>
      </c>
      <c r="J86" s="1">
        <v>6</v>
      </c>
      <c r="K86" s="5">
        <v>1.9385197251764918</v>
      </c>
      <c r="L86" s="5">
        <v>1.3944516808262162</v>
      </c>
      <c r="M86" s="5">
        <v>1.6646419755561255</v>
      </c>
      <c r="N86" s="5">
        <v>2.2474822606770544</v>
      </c>
      <c r="O86" s="5">
        <v>2.9571618138027489</v>
      </c>
      <c r="P86" s="5">
        <v>3.0550226623772603</v>
      </c>
      <c r="Q86" s="5">
        <v>2.9093149120410047</v>
      </c>
      <c r="R86" s="5">
        <v>3.7285796933481783</v>
      </c>
      <c r="S86" s="5">
        <v>1.8793017906769125</v>
      </c>
      <c r="T86" s="5">
        <v>0.495710808313926</v>
      </c>
      <c r="U86" s="5">
        <v>0.8430408236308764</v>
      </c>
      <c r="V86" s="5">
        <v>1.7860237243843999</v>
      </c>
      <c r="W86" s="5">
        <v>3.8735263633009231</v>
      </c>
      <c r="X86" s="5">
        <v>2.453344233828711</v>
      </c>
      <c r="Y86" s="5">
        <v>2.845272081394532</v>
      </c>
      <c r="Z86" s="5">
        <v>3.5940624102331471</v>
      </c>
      <c r="AA86">
        <v>3.1354462482811623</v>
      </c>
      <c r="AB86">
        <v>3.1619947309370282</v>
      </c>
      <c r="AC86">
        <v>3.4115062359159922</v>
      </c>
      <c r="AD86">
        <v>3.8466852742363202</v>
      </c>
      <c r="AE86" s="6">
        <v>1365.9860000000001</v>
      </c>
      <c r="AF86" s="6">
        <v>1452.0939999999998</v>
      </c>
      <c r="AG86" s="6">
        <v>2579.326</v>
      </c>
      <c r="AH86" s="6">
        <v>7025.63</v>
      </c>
      <c r="AI86" s="6">
        <v>75.735900000000001</v>
      </c>
      <c r="AJ86" s="6">
        <v>3.1312000000000002</v>
      </c>
      <c r="AK86" s="6">
        <v>6.9669200000000009</v>
      </c>
      <c r="AL86" s="6">
        <v>61.097540000000009</v>
      </c>
      <c r="AM86" s="6">
        <v>7473.54</v>
      </c>
      <c r="AN86">
        <v>284.01693333333367</v>
      </c>
      <c r="AO86" s="6">
        <v>700.28057777777849</v>
      </c>
      <c r="AP86" s="6">
        <v>3927.0136444444433</v>
      </c>
    </row>
    <row r="87" spans="1:42">
      <c r="A87" s="1">
        <v>86</v>
      </c>
      <c r="B87" s="1">
        <v>1</v>
      </c>
      <c r="C87" s="1">
        <v>1</v>
      </c>
      <c r="D87" s="1">
        <v>1</v>
      </c>
      <c r="E87" s="1">
        <v>1</v>
      </c>
      <c r="F87" s="1">
        <v>17</v>
      </c>
      <c r="G87" s="1">
        <v>6</v>
      </c>
      <c r="H87" s="1">
        <v>3</v>
      </c>
      <c r="I87" s="1">
        <v>2</v>
      </c>
      <c r="J87" s="1">
        <v>5</v>
      </c>
      <c r="K87" s="5">
        <v>1.9385197251764918</v>
      </c>
      <c r="L87" s="5">
        <v>1.61066016308988</v>
      </c>
      <c r="M87" s="5">
        <v>1.6646419755561255</v>
      </c>
      <c r="N87" s="5">
        <v>1.61066016308988</v>
      </c>
      <c r="O87" s="5">
        <v>2.9571618138027489</v>
      </c>
      <c r="P87" s="5">
        <v>3.1136063199683353</v>
      </c>
      <c r="Q87" s="5">
        <v>2.9093149120410047</v>
      </c>
      <c r="R87" s="5">
        <v>2.8014199896972038</v>
      </c>
      <c r="S87" s="5">
        <v>1.7871351632044497</v>
      </c>
      <c r="T87" s="5">
        <v>1.3408088483281828</v>
      </c>
      <c r="U87" s="5">
        <v>1.2683991629960676</v>
      </c>
      <c r="V87" s="5">
        <v>0.98882016841771869</v>
      </c>
      <c r="W87" s="5">
        <v>4.0293507556177977</v>
      </c>
      <c r="X87" s="5">
        <v>2.3638691798516476</v>
      </c>
      <c r="Y87" s="5">
        <v>2.9385482991678211</v>
      </c>
      <c r="Z87" s="5">
        <v>3.3696719611009014</v>
      </c>
      <c r="AA87">
        <v>2.390234551475058</v>
      </c>
      <c r="AB87">
        <v>2.0977707996418884</v>
      </c>
      <c r="AC87">
        <v>2.4618525410529584</v>
      </c>
      <c r="AD87">
        <v>3.0397788526642016</v>
      </c>
      <c r="AE87" s="6">
        <v>245.6035</v>
      </c>
      <c r="AF87" s="6">
        <v>125.248</v>
      </c>
      <c r="AG87" s="6">
        <v>289.63599999999997</v>
      </c>
      <c r="AH87" s="6">
        <v>1095.92</v>
      </c>
      <c r="AI87" s="6">
        <v>61.254100000000008</v>
      </c>
      <c r="AJ87" s="6">
        <v>21.918400000000002</v>
      </c>
      <c r="AK87" s="6">
        <v>18.552360000000004</v>
      </c>
      <c r="AL87" s="6">
        <v>9.7458600000000004</v>
      </c>
      <c r="AM87" s="6">
        <v>10699.186444444445</v>
      </c>
      <c r="AN87">
        <v>231.13684444444374</v>
      </c>
      <c r="AO87" s="6">
        <v>868.05711111111088</v>
      </c>
      <c r="AP87" s="6">
        <v>2342.4587999999994</v>
      </c>
    </row>
    <row r="88" spans="1:42">
      <c r="A88" s="1">
        <v>87</v>
      </c>
      <c r="B88" s="1">
        <v>0</v>
      </c>
      <c r="C88" s="1">
        <v>1</v>
      </c>
      <c r="D88" s="1">
        <v>1</v>
      </c>
      <c r="E88" s="1">
        <v>0</v>
      </c>
      <c r="F88" s="1">
        <v>12</v>
      </c>
      <c r="G88" s="1">
        <v>6</v>
      </c>
      <c r="H88" s="1">
        <v>2</v>
      </c>
      <c r="I88" s="1">
        <v>2</v>
      </c>
      <c r="J88" s="1">
        <v>4</v>
      </c>
      <c r="K88" s="5">
        <v>2.1667260555800518</v>
      </c>
      <c r="L88" s="5">
        <v>2.7298125071609358</v>
      </c>
      <c r="M88" s="5">
        <v>1.833784374656479</v>
      </c>
      <c r="N88" s="5">
        <v>1.8375884382355112</v>
      </c>
      <c r="O88" s="5">
        <v>3.2854779013795743</v>
      </c>
      <c r="P88" s="5">
        <v>4.0752716906930475</v>
      </c>
      <c r="Q88" s="5">
        <v>3.1536512857562164</v>
      </c>
      <c r="R88" s="5">
        <v>2.8776976892874249</v>
      </c>
      <c r="S88" s="5">
        <v>2.0943645509499769</v>
      </c>
      <c r="T88" s="5">
        <v>2.2805954413565379</v>
      </c>
      <c r="U88" s="5">
        <v>1.1084946650336616</v>
      </c>
      <c r="V88" s="5">
        <v>1.2270980914827141</v>
      </c>
      <c r="W88" s="5">
        <v>4.0525213609584094</v>
      </c>
      <c r="X88" s="5">
        <v>4.0865687006084581</v>
      </c>
      <c r="Y88" s="5">
        <v>3.2996757733426296</v>
      </c>
      <c r="Z88" s="5">
        <v>3.6038879160182353</v>
      </c>
      <c r="AA88">
        <v>1.9636886835937186</v>
      </c>
      <c r="AB88">
        <v>2.2458333350973261</v>
      </c>
      <c r="AC88">
        <v>2.8281492682295313</v>
      </c>
      <c r="AD88">
        <v>3.2189611886970249</v>
      </c>
      <c r="AE88" s="6">
        <v>91.978999999999985</v>
      </c>
      <c r="AF88" s="6">
        <v>176.13</v>
      </c>
      <c r="AG88" s="6">
        <v>673.20800000000008</v>
      </c>
      <c r="AH88" s="6">
        <v>1655.6220000000003</v>
      </c>
      <c r="AI88" s="6">
        <v>124.26949999999999</v>
      </c>
      <c r="AJ88" s="6">
        <v>190.8075</v>
      </c>
      <c r="AK88" s="6">
        <v>12.83792</v>
      </c>
      <c r="AL88" s="6">
        <v>16.869340000000001</v>
      </c>
      <c r="AM88" s="6">
        <v>11285.514444444445</v>
      </c>
      <c r="AN88">
        <v>12205.868888888888</v>
      </c>
      <c r="AO88" s="6">
        <v>1993.7732888888895</v>
      </c>
      <c r="AP88" s="6">
        <v>4016.8712888888886</v>
      </c>
    </row>
    <row r="89" spans="1:42">
      <c r="A89" s="1">
        <v>88</v>
      </c>
      <c r="B89" s="1">
        <v>1</v>
      </c>
      <c r="C89" s="1">
        <v>1</v>
      </c>
      <c r="D89" s="1">
        <v>1</v>
      </c>
      <c r="E89" s="1">
        <v>1</v>
      </c>
      <c r="F89" s="1">
        <v>15</v>
      </c>
      <c r="G89" s="1">
        <v>6</v>
      </c>
      <c r="H89" s="1">
        <v>3</v>
      </c>
      <c r="I89" s="1">
        <v>2</v>
      </c>
      <c r="J89" s="1">
        <v>5</v>
      </c>
      <c r="K89" s="5">
        <v>0.44715803134221921</v>
      </c>
      <c r="L89" s="5">
        <v>1.4593924877592308</v>
      </c>
      <c r="M89" s="5">
        <v>1.7176705030022621</v>
      </c>
      <c r="N89" s="5">
        <v>1.5888317255942073</v>
      </c>
      <c r="O89" s="5">
        <v>2.1202984258568813</v>
      </c>
      <c r="P89" s="5">
        <v>3.1136063199683353</v>
      </c>
      <c r="Q89" s="5">
        <v>3.0386861483687762</v>
      </c>
      <c r="R89" s="5">
        <v>2.948710528691965</v>
      </c>
      <c r="S89" s="5">
        <v>1.5652864135880933</v>
      </c>
      <c r="T89" s="5">
        <v>1.5634324321945001</v>
      </c>
      <c r="U89" s="5">
        <v>0.99574134249780022</v>
      </c>
      <c r="V89" s="5">
        <v>0.54686333076130722</v>
      </c>
      <c r="W89" s="5">
        <v>3.3674155625246405</v>
      </c>
      <c r="X89" s="5">
        <v>3.4427083154011799</v>
      </c>
      <c r="Y89" s="5">
        <v>2.9793842971419426</v>
      </c>
      <c r="Z89" s="5">
        <v>3.4866898476687753</v>
      </c>
      <c r="AA89">
        <v>3.8368979421238252</v>
      </c>
      <c r="AB89">
        <v>2.9270745724729132</v>
      </c>
      <c r="AC89">
        <v>3.4819225238282927</v>
      </c>
      <c r="AD89">
        <v>3.7843512146848388</v>
      </c>
      <c r="AE89" s="6">
        <v>6869.07</v>
      </c>
      <c r="AF89" s="6">
        <v>845.42399999999998</v>
      </c>
      <c r="AG89" s="6">
        <v>3033.35</v>
      </c>
      <c r="AH89" s="6">
        <v>6086.27</v>
      </c>
      <c r="AI89" s="6">
        <v>36.752460000000006</v>
      </c>
      <c r="AJ89" s="6">
        <v>36.5959</v>
      </c>
      <c r="AK89" s="6">
        <v>9.9024199999999993</v>
      </c>
      <c r="AL89" s="6">
        <v>3.5226000000000002</v>
      </c>
      <c r="AM89" s="6">
        <v>2330.3200000000002</v>
      </c>
      <c r="AN89">
        <v>2771.4580888888886</v>
      </c>
      <c r="AO89" s="6">
        <v>953.63964444444343</v>
      </c>
      <c r="AP89" s="6">
        <v>3066.8310222222212</v>
      </c>
    </row>
    <row r="90" spans="1:42">
      <c r="A90" s="1">
        <v>89</v>
      </c>
      <c r="B90" s="1">
        <v>1</v>
      </c>
      <c r="C90" s="1">
        <v>0</v>
      </c>
      <c r="D90" s="1">
        <v>0</v>
      </c>
      <c r="E90" s="1">
        <v>0</v>
      </c>
      <c r="F90" s="1">
        <v>3</v>
      </c>
      <c r="G90" s="1">
        <v>6</v>
      </c>
      <c r="H90" s="1">
        <v>1</v>
      </c>
      <c r="I90" s="1">
        <v>2</v>
      </c>
      <c r="J90" s="1">
        <v>1</v>
      </c>
      <c r="K90" s="5">
        <v>-1</v>
      </c>
      <c r="L90" s="5">
        <v>1.1702617153949575</v>
      </c>
      <c r="M90" s="5">
        <v>1.7795964912578246</v>
      </c>
      <c r="N90" s="5">
        <v>2.6672661193822744</v>
      </c>
      <c r="O90" s="5">
        <v>2.1202984258568813</v>
      </c>
      <c r="P90" s="5">
        <v>3.0550226623772603</v>
      </c>
      <c r="Q90" s="5">
        <v>2.8380024404026898</v>
      </c>
      <c r="R90" s="5">
        <v>3.2448153344536363</v>
      </c>
      <c r="S90" s="5">
        <v>0.94092568437014301</v>
      </c>
      <c r="T90" s="5">
        <v>0.81010476553588873</v>
      </c>
      <c r="U90" s="5">
        <v>0.8892860115835135</v>
      </c>
      <c r="V90" s="5">
        <v>0.94480333943334482</v>
      </c>
      <c r="W90" s="5">
        <v>3.3190084831042479</v>
      </c>
      <c r="X90" s="5">
        <v>2.8674068015559437</v>
      </c>
      <c r="Y90" s="5">
        <v>2.9456907636376677</v>
      </c>
      <c r="Z90" s="5">
        <v>4.2077748063505735</v>
      </c>
      <c r="AA90">
        <v>3.4377188613362391</v>
      </c>
      <c r="AB90">
        <v>3.4768495909545862</v>
      </c>
      <c r="AC90">
        <v>3.6521842392232502</v>
      </c>
      <c r="AD90">
        <v>3.5346288743442957</v>
      </c>
      <c r="AE90" s="6">
        <v>2739.8</v>
      </c>
      <c r="AF90" s="6">
        <v>2998.1240000000003</v>
      </c>
      <c r="AG90" s="6">
        <v>4489.3580000000002</v>
      </c>
      <c r="AH90" s="6">
        <v>3424.75</v>
      </c>
      <c r="AI90" s="6">
        <v>8.7282200000000003</v>
      </c>
      <c r="AJ90" s="6">
        <v>6.4581000000000008</v>
      </c>
      <c r="AK90" s="6">
        <v>7.7497200000000008</v>
      </c>
      <c r="AL90" s="6">
        <v>8.8064999999999998</v>
      </c>
      <c r="AM90" s="6">
        <v>2084.5315999999989</v>
      </c>
      <c r="AN90">
        <v>736.89702222222263</v>
      </c>
      <c r="AO90" s="6">
        <v>882.45133333333388</v>
      </c>
      <c r="AP90" s="6">
        <v>16135.216844444445</v>
      </c>
    </row>
    <row r="91" spans="1:42">
      <c r="A91" s="1">
        <v>90</v>
      </c>
      <c r="B91" s="1">
        <v>1</v>
      </c>
      <c r="C91" s="1">
        <v>1</v>
      </c>
      <c r="D91" s="1">
        <v>1</v>
      </c>
      <c r="E91" s="1">
        <v>1</v>
      </c>
      <c r="F91" s="1">
        <v>16</v>
      </c>
      <c r="G91" s="1">
        <v>6</v>
      </c>
      <c r="H91" s="1">
        <v>3</v>
      </c>
      <c r="I91" s="1">
        <v>2</v>
      </c>
      <c r="J91" s="1">
        <v>5</v>
      </c>
      <c r="K91" s="5">
        <v>2.0599418880619549</v>
      </c>
      <c r="L91" s="5">
        <v>2.0674428427763805</v>
      </c>
      <c r="M91" s="5">
        <v>1.6646419755561255</v>
      </c>
      <c r="N91" s="5">
        <v>1.6884198220027107</v>
      </c>
      <c r="O91" s="5">
        <v>3.2265716499651464</v>
      </c>
      <c r="P91" s="5">
        <v>3.3192807346649396</v>
      </c>
      <c r="Q91" s="5">
        <v>3.0386861483687762</v>
      </c>
      <c r="R91" s="5">
        <v>2.948710528691965</v>
      </c>
      <c r="S91" s="5">
        <v>2.2027484343979777</v>
      </c>
      <c r="T91" s="5">
        <v>1.4647770940702751</v>
      </c>
      <c r="U91" s="5">
        <v>0.80746466936968031</v>
      </c>
      <c r="V91" s="5">
        <v>0.50643467370569906</v>
      </c>
      <c r="W91" s="5">
        <v>3.6224694479700146</v>
      </c>
      <c r="X91" s="5">
        <v>3.7560582365266808</v>
      </c>
      <c r="Y91" s="5">
        <v>3.4647189710362758</v>
      </c>
      <c r="Z91" s="5">
        <v>3.1357778618767083</v>
      </c>
      <c r="AA91">
        <v>3.217933272283656</v>
      </c>
      <c r="AB91">
        <v>2.6495256726584548</v>
      </c>
      <c r="AC91">
        <v>3.5250945859991356</v>
      </c>
      <c r="AD91">
        <v>3.4469268631230632</v>
      </c>
      <c r="AE91" s="6">
        <v>1651.7079999999999</v>
      </c>
      <c r="AF91" s="6">
        <v>446.19599999999997</v>
      </c>
      <c r="AG91" s="6">
        <v>3350.384</v>
      </c>
      <c r="AH91" s="6">
        <v>2798.51</v>
      </c>
      <c r="AI91" s="6">
        <v>159.49549999999999</v>
      </c>
      <c r="AJ91" s="6">
        <v>29.159300000000002</v>
      </c>
      <c r="AK91" s="6">
        <v>6.4189600000000002</v>
      </c>
      <c r="AL91" s="6">
        <v>3.2094800000000001</v>
      </c>
      <c r="AM91" s="6">
        <v>4192.4650222222235</v>
      </c>
      <c r="AN91">
        <v>5702.4073333333326</v>
      </c>
      <c r="AO91" s="6">
        <v>2915.539777777778</v>
      </c>
      <c r="AP91" s="6">
        <v>1367.0294222222217</v>
      </c>
    </row>
    <row r="92" spans="1:42">
      <c r="A92" s="1">
        <v>91</v>
      </c>
      <c r="B92" s="1">
        <v>1</v>
      </c>
      <c r="C92" s="1">
        <v>1</v>
      </c>
      <c r="D92" s="1">
        <v>1</v>
      </c>
      <c r="E92" s="1">
        <v>0</v>
      </c>
      <c r="F92" s="1">
        <v>22</v>
      </c>
      <c r="G92" s="1">
        <v>18</v>
      </c>
      <c r="H92" s="1">
        <v>3</v>
      </c>
      <c r="I92" s="1">
        <v>2</v>
      </c>
      <c r="J92" s="1">
        <v>6</v>
      </c>
      <c r="K92" s="5">
        <v>1.631443769013172</v>
      </c>
      <c r="L92" s="5">
        <v>-1</v>
      </c>
      <c r="M92" s="5">
        <v>2.0941215958405612</v>
      </c>
      <c r="N92" s="5">
        <v>2.4840149626675627</v>
      </c>
      <c r="O92" s="5">
        <v>2.3897082620192784</v>
      </c>
      <c r="P92" s="5">
        <v>2.6980309485969274</v>
      </c>
      <c r="Q92" s="5">
        <v>3.097766277634352</v>
      </c>
      <c r="R92" s="5">
        <v>3.9321973633828042</v>
      </c>
      <c r="S92" s="5">
        <v>1.460677183145024</v>
      </c>
      <c r="T92" s="5">
        <v>0.67180206736960713</v>
      </c>
      <c r="U92" s="5">
        <v>2.0467030920530722</v>
      </c>
      <c r="V92" s="5">
        <v>2.1489233220892694</v>
      </c>
      <c r="W92" s="5">
        <v>2.9900845389628357</v>
      </c>
      <c r="X92" s="5">
        <v>2.9236530831116396</v>
      </c>
      <c r="Y92" s="5">
        <v>3.5037301589736427</v>
      </c>
      <c r="Z92" s="5">
        <v>3.7464904203806819</v>
      </c>
      <c r="AA92">
        <v>2.4819225238282927</v>
      </c>
      <c r="AB92">
        <v>2.4676820847136822</v>
      </c>
      <c r="AC92">
        <v>2.7801415421584457</v>
      </c>
      <c r="AD92">
        <v>2.9106841562847441</v>
      </c>
      <c r="AE92" s="6">
        <v>303.33499999999998</v>
      </c>
      <c r="AF92" s="6">
        <v>293.55</v>
      </c>
      <c r="AG92" s="6">
        <v>602.75600000000009</v>
      </c>
      <c r="AH92" s="6">
        <v>814.11200000000008</v>
      </c>
      <c r="AI92" s="6">
        <v>28.885320000000004</v>
      </c>
      <c r="AJ92" s="6">
        <v>4.6967999999999996</v>
      </c>
      <c r="AK92" s="6">
        <v>111.35329999999999</v>
      </c>
      <c r="AL92" s="6">
        <v>140.904</v>
      </c>
      <c r="AM92" s="6">
        <v>977.42746666666653</v>
      </c>
      <c r="AN92">
        <v>838.78968888888824</v>
      </c>
      <c r="AO92" s="6">
        <v>3189.5554666666662</v>
      </c>
      <c r="AP92" s="6">
        <v>5578.1529777777778</v>
      </c>
    </row>
    <row r="93" spans="1:42">
      <c r="A93" s="1">
        <v>92</v>
      </c>
      <c r="B93" s="1">
        <v>1</v>
      </c>
      <c r="C93" s="1">
        <v>1</v>
      </c>
      <c r="D93" s="1">
        <v>0</v>
      </c>
      <c r="E93" s="1">
        <v>1</v>
      </c>
      <c r="F93" s="1">
        <v>7</v>
      </c>
      <c r="G93" s="1">
        <v>6</v>
      </c>
      <c r="H93" s="1">
        <v>2</v>
      </c>
      <c r="I93" s="1">
        <v>2</v>
      </c>
      <c r="J93" s="1">
        <v>3</v>
      </c>
      <c r="K93" s="5">
        <v>1.7839035792727349</v>
      </c>
      <c r="L93" s="5">
        <v>0.83250891270623628</v>
      </c>
      <c r="M93" s="5">
        <v>1.6454222693490919</v>
      </c>
      <c r="N93" s="5">
        <v>2.2851070295668121</v>
      </c>
      <c r="O93" s="5">
        <v>3.0303562634508796</v>
      </c>
      <c r="P93" s="5">
        <v>2.9928863669925154</v>
      </c>
      <c r="Q93" s="5">
        <v>2.9093149120410047</v>
      </c>
      <c r="R93" s="5">
        <v>4.0326944844536214</v>
      </c>
      <c r="S93" s="5">
        <v>1.1859068883424397</v>
      </c>
      <c r="T93" s="5">
        <v>0.98178690568651494</v>
      </c>
      <c r="U93" s="5">
        <v>1.1111347611998699</v>
      </c>
      <c r="V93" s="5">
        <v>2.2006116798691573</v>
      </c>
      <c r="W93" s="5">
        <v>3.1503157629781016</v>
      </c>
      <c r="X93" s="5">
        <v>3.2393063877334414</v>
      </c>
      <c r="Y93" s="5">
        <v>3.1469356098015631</v>
      </c>
      <c r="Z93" s="5">
        <v>3.3942937806328159</v>
      </c>
      <c r="AA93">
        <v>2.3065311754509374</v>
      </c>
      <c r="AB93">
        <v>2.4734344136027735</v>
      </c>
      <c r="AC93">
        <v>3.3786620315645366</v>
      </c>
      <c r="AD93">
        <v>2.9746378638968509</v>
      </c>
      <c r="AE93" s="6">
        <v>202.54949999999997</v>
      </c>
      <c r="AF93" s="6">
        <v>297.464</v>
      </c>
      <c r="AG93" s="6">
        <v>2391.4540000000002</v>
      </c>
      <c r="AH93" s="6">
        <v>943.27400000000011</v>
      </c>
      <c r="AI93" s="6">
        <v>15.342880000000001</v>
      </c>
      <c r="AJ93" s="6">
        <v>9.5893000000000015</v>
      </c>
      <c r="AK93" s="6">
        <v>12.916200000000002</v>
      </c>
      <c r="AL93" s="6">
        <v>158.71270000000001</v>
      </c>
      <c r="AM93" s="6">
        <v>1413.5649333333326</v>
      </c>
      <c r="AN93">
        <v>1735.0276000000008</v>
      </c>
      <c r="AO93" s="6">
        <v>1402.6057333333326</v>
      </c>
      <c r="AP93" s="6">
        <v>2479.0984888888888</v>
      </c>
    </row>
    <row r="94" spans="1:42">
      <c r="A94" s="1">
        <v>93</v>
      </c>
      <c r="B94" s="1">
        <v>0</v>
      </c>
      <c r="C94" s="1">
        <v>1</v>
      </c>
      <c r="D94" s="1">
        <v>1</v>
      </c>
      <c r="E94" s="1">
        <v>1</v>
      </c>
      <c r="F94" s="1">
        <v>11</v>
      </c>
      <c r="G94" s="1">
        <v>6</v>
      </c>
      <c r="H94" s="1">
        <v>2</v>
      </c>
      <c r="I94" s="1">
        <v>2</v>
      </c>
      <c r="J94" s="1">
        <v>4</v>
      </c>
      <c r="K94" s="5">
        <v>2.0445397603924111</v>
      </c>
      <c r="L94" s="5">
        <v>2.0674428427763805</v>
      </c>
      <c r="M94" s="5">
        <v>2.6001012556913907</v>
      </c>
      <c r="N94" s="5">
        <v>2.6501131644435714</v>
      </c>
      <c r="O94" s="5">
        <v>2.6098321260316748</v>
      </c>
      <c r="P94" s="5">
        <v>3.2716007434965833</v>
      </c>
      <c r="Q94" s="5">
        <v>3.6924746638898602</v>
      </c>
      <c r="R94" s="5">
        <v>3.695901459117227</v>
      </c>
      <c r="S94" s="5">
        <v>2.0033980546991921</v>
      </c>
      <c r="T94" s="5">
        <v>1.832420639769081</v>
      </c>
      <c r="U94" s="5">
        <v>2.2148348442882777</v>
      </c>
      <c r="V94" s="5">
        <v>1.8354106308006588</v>
      </c>
      <c r="W94" s="5">
        <v>3.6540732105116307</v>
      </c>
      <c r="X94" s="5">
        <v>3.775558331159492</v>
      </c>
      <c r="Y94" s="5">
        <v>4.2046319492093165</v>
      </c>
      <c r="Z94" s="5">
        <v>3.8023225055983358</v>
      </c>
      <c r="AA94">
        <v>3.2240645903351544</v>
      </c>
      <c r="AB94">
        <v>3.0092613286602634</v>
      </c>
      <c r="AC94">
        <v>2.747956858787044</v>
      </c>
      <c r="AD94">
        <v>2.7509833134172319</v>
      </c>
      <c r="AE94" s="6">
        <v>1675.192</v>
      </c>
      <c r="AF94" s="6">
        <v>1021.554</v>
      </c>
      <c r="AG94" s="6">
        <v>559.702</v>
      </c>
      <c r="AH94" s="6">
        <v>563.61599999999999</v>
      </c>
      <c r="AI94" s="6">
        <v>100.78550000000001</v>
      </c>
      <c r="AJ94" s="6">
        <v>67.986180000000004</v>
      </c>
      <c r="AK94" s="6">
        <v>163.9966</v>
      </c>
      <c r="AL94" s="6">
        <v>68.455860000000001</v>
      </c>
      <c r="AM94" s="6">
        <v>4508.927066666668</v>
      </c>
      <c r="AN94">
        <v>5964.2842222222216</v>
      </c>
      <c r="AO94" s="6">
        <v>16018.872666666664</v>
      </c>
      <c r="AP94" s="6">
        <v>6343.4059555555559</v>
      </c>
    </row>
    <row r="95" spans="1:42">
      <c r="A95" s="1">
        <v>94</v>
      </c>
      <c r="B95" s="1">
        <v>1</v>
      </c>
      <c r="C95" s="1">
        <v>0</v>
      </c>
      <c r="D95" s="1">
        <v>0</v>
      </c>
      <c r="E95" s="1">
        <v>1</v>
      </c>
      <c r="F95" s="1">
        <v>3</v>
      </c>
      <c r="G95" s="1">
        <v>6</v>
      </c>
      <c r="H95" s="1">
        <v>1</v>
      </c>
      <c r="I95" s="1">
        <v>2</v>
      </c>
      <c r="J95" s="1">
        <v>1</v>
      </c>
      <c r="K95" s="5">
        <v>2.4483971034577676</v>
      </c>
      <c r="L95" s="5">
        <v>1.4593924877592308</v>
      </c>
      <c r="M95" s="5">
        <v>2.1467480136306398</v>
      </c>
      <c r="N95" s="5">
        <v>1.7387805584843692</v>
      </c>
      <c r="O95" s="5">
        <v>3.3416433147050117</v>
      </c>
      <c r="P95" s="5">
        <v>3.1690217061732096</v>
      </c>
      <c r="Q95" s="5">
        <v>3.3051836958453342</v>
      </c>
      <c r="R95" s="5">
        <v>3.0151386036245422</v>
      </c>
      <c r="S95" s="5">
        <v>2.075494404930736</v>
      </c>
      <c r="T95" s="5">
        <v>2.0719081377981525</v>
      </c>
      <c r="U95" s="5">
        <v>1.791277908276405</v>
      </c>
      <c r="V95" s="5">
        <v>1.1792081259937373</v>
      </c>
      <c r="W95" s="5">
        <v>4.3551699409902049</v>
      </c>
      <c r="X95" s="5">
        <v>3.3888730839573631</v>
      </c>
      <c r="Y95" s="5">
        <v>3.8118285711299307</v>
      </c>
      <c r="Z95" s="5">
        <v>3.8053484152637758</v>
      </c>
      <c r="AA95">
        <v>3.4401934804640946</v>
      </c>
      <c r="AB95">
        <v>2.9673691673320861</v>
      </c>
      <c r="AC95">
        <v>2.9270745724729132</v>
      </c>
      <c r="AD95">
        <v>3.4395761463418064</v>
      </c>
      <c r="AE95" s="6">
        <v>2755.4559999999997</v>
      </c>
      <c r="AF95" s="6">
        <v>927.61800000000005</v>
      </c>
      <c r="AG95" s="6">
        <v>845.42399999999998</v>
      </c>
      <c r="AH95" s="6">
        <v>2751.5419999999999</v>
      </c>
      <c r="AI95" s="6">
        <v>118.98560000000001</v>
      </c>
      <c r="AJ95" s="6">
        <v>118.00709999999999</v>
      </c>
      <c r="AK95" s="6">
        <v>61.841200000000008</v>
      </c>
      <c r="AL95" s="6">
        <v>15.108040000000001</v>
      </c>
      <c r="AM95" s="6">
        <v>22655.30644444445</v>
      </c>
      <c r="AN95">
        <v>2448.3476444444441</v>
      </c>
      <c r="AO95" s="6">
        <v>6483.7844888888894</v>
      </c>
      <c r="AP95" s="6">
        <v>6387.7574222222229</v>
      </c>
    </row>
    <row r="96" spans="1:42">
      <c r="A96" s="1">
        <v>95</v>
      </c>
      <c r="B96" s="1">
        <v>1</v>
      </c>
      <c r="C96" s="1">
        <v>1</v>
      </c>
      <c r="D96" s="1">
        <v>0</v>
      </c>
      <c r="E96" s="1">
        <v>1</v>
      </c>
      <c r="F96" s="1">
        <v>8</v>
      </c>
      <c r="G96" s="1">
        <v>6</v>
      </c>
      <c r="H96" s="1">
        <v>2</v>
      </c>
      <c r="I96" s="1">
        <v>2</v>
      </c>
      <c r="J96" s="1">
        <v>3</v>
      </c>
      <c r="K96" s="5">
        <v>2.3517963068970236</v>
      </c>
      <c r="L96" s="5">
        <v>1.3579348470004537</v>
      </c>
      <c r="M96" s="5">
        <v>1.9740509027928774</v>
      </c>
      <c r="N96" s="5">
        <v>1.9768083373380663</v>
      </c>
      <c r="O96" s="5">
        <v>3.1646432726681426</v>
      </c>
      <c r="P96" s="5">
        <v>3.0550226623772603</v>
      </c>
      <c r="Q96" s="5">
        <v>3.097766277634352</v>
      </c>
      <c r="R96" s="5">
        <v>2.948710528691965</v>
      </c>
      <c r="S96" s="5">
        <v>1.7643472749752136</v>
      </c>
      <c r="T96" s="5">
        <v>1.2360734978081698</v>
      </c>
      <c r="U96" s="5">
        <v>1.652562709383937</v>
      </c>
      <c r="V96" s="5">
        <v>1.4219245941530072</v>
      </c>
      <c r="W96" s="5">
        <v>4.1254793065816582</v>
      </c>
      <c r="X96" s="5">
        <v>2.7072926309740279</v>
      </c>
      <c r="Y96" s="5">
        <v>2.9895235386328367</v>
      </c>
      <c r="Z96" s="5">
        <v>2.7933663100200352</v>
      </c>
      <c r="AA96">
        <v>2.8211494986791643</v>
      </c>
      <c r="AB96">
        <v>2.4676820847136822</v>
      </c>
      <c r="AC96">
        <v>2.3168966909227713</v>
      </c>
      <c r="AD96">
        <v>2.5703444266108302</v>
      </c>
      <c r="AE96" s="6">
        <v>662.44450000000006</v>
      </c>
      <c r="AF96" s="6">
        <v>293.55</v>
      </c>
      <c r="AG96" s="6">
        <v>207.44200000000004</v>
      </c>
      <c r="AH96" s="6">
        <v>371.83</v>
      </c>
      <c r="AI96" s="6">
        <v>58.122900000000008</v>
      </c>
      <c r="AJ96" s="6">
        <v>17.221600000000002</v>
      </c>
      <c r="AK96" s="6">
        <v>44.932720000000003</v>
      </c>
      <c r="AL96" s="6">
        <v>26.419499999999999</v>
      </c>
      <c r="AM96" s="6">
        <v>13349.939777777778</v>
      </c>
      <c r="AN96">
        <v>509.67417777777734</v>
      </c>
      <c r="AO96" s="6">
        <v>976.16568888888935</v>
      </c>
      <c r="AP96" s="6">
        <v>621.39293333333421</v>
      </c>
    </row>
    <row r="97" spans="1:42">
      <c r="A97" s="1">
        <v>96</v>
      </c>
      <c r="B97" s="1">
        <v>1</v>
      </c>
      <c r="C97" s="1">
        <v>1</v>
      </c>
      <c r="D97" s="1">
        <v>0</v>
      </c>
      <c r="E97" s="1">
        <v>1</v>
      </c>
      <c r="F97" s="1">
        <v>9</v>
      </c>
      <c r="G97" s="1">
        <v>6</v>
      </c>
      <c r="H97" s="1">
        <v>2</v>
      </c>
      <c r="I97" s="1">
        <v>2</v>
      </c>
      <c r="J97" s="1">
        <v>3</v>
      </c>
      <c r="K97" s="5">
        <v>2.2474822606770544</v>
      </c>
      <c r="L97" s="5">
        <v>1.3180633349627615</v>
      </c>
      <c r="M97" s="5">
        <v>1.7795964912578246</v>
      </c>
      <c r="N97" s="5">
        <v>2.0366288953621612</v>
      </c>
      <c r="O97" s="5">
        <v>3.2854779013795743</v>
      </c>
      <c r="P97" s="5">
        <v>3.1136063199683353</v>
      </c>
      <c r="Q97" s="5">
        <v>2.976023274209584</v>
      </c>
      <c r="R97" s="5">
        <v>3.5708021549933386</v>
      </c>
      <c r="S97" s="5">
        <v>2.1360680014036828</v>
      </c>
      <c r="T97" s="5">
        <v>0.93504350214418863</v>
      </c>
      <c r="U97" s="5">
        <v>0.64952567265845496</v>
      </c>
      <c r="V97" s="5">
        <v>2.1495260903774303</v>
      </c>
      <c r="W97" s="5">
        <v>4.4470361463831658</v>
      </c>
      <c r="X97" s="5">
        <v>2.6859912394921506</v>
      </c>
      <c r="Y97" s="5">
        <v>2.9436100046346509</v>
      </c>
      <c r="Z97" s="5">
        <v>-1</v>
      </c>
      <c r="AA97">
        <v>3.0580036727704005</v>
      </c>
      <c r="AB97">
        <v>2.5116989136980563</v>
      </c>
      <c r="AC97">
        <v>2.747956858787044</v>
      </c>
      <c r="AD97">
        <v>3.6884872748005249</v>
      </c>
      <c r="AE97" s="6">
        <v>1142.8879999999999</v>
      </c>
      <c r="AF97" s="6">
        <v>324.86199999999997</v>
      </c>
      <c r="AG97" s="6">
        <v>559.702</v>
      </c>
      <c r="AH97" s="6">
        <v>4880.7579999999998</v>
      </c>
      <c r="AI97" s="6">
        <v>136.79430000000002</v>
      </c>
      <c r="AJ97" s="6">
        <v>8.6108000000000011</v>
      </c>
      <c r="AK97" s="6">
        <v>4.4619600000000004</v>
      </c>
      <c r="AL97" s="6">
        <v>141.09969999999998</v>
      </c>
      <c r="AM97" s="6">
        <v>27992.142888888891</v>
      </c>
      <c r="AN97">
        <v>485.27871111111193</v>
      </c>
      <c r="AO97" s="6">
        <v>878.23351111111083</v>
      </c>
      <c r="AP97">
        <v>0.1</v>
      </c>
    </row>
    <row r="98" spans="1:42">
      <c r="A98" s="1">
        <v>97</v>
      </c>
      <c r="B98" s="1">
        <v>1</v>
      </c>
      <c r="C98" s="1">
        <v>1</v>
      </c>
      <c r="D98" s="1">
        <v>1</v>
      </c>
      <c r="E98" s="1">
        <v>1</v>
      </c>
      <c r="F98" s="1">
        <v>19</v>
      </c>
      <c r="G98" s="1">
        <v>6</v>
      </c>
      <c r="H98" s="1">
        <v>3</v>
      </c>
      <c r="I98" s="1">
        <v>2</v>
      </c>
      <c r="J98" s="1">
        <v>5</v>
      </c>
      <c r="K98" s="5">
        <v>1.8965262174895554</v>
      </c>
      <c r="L98" s="5">
        <v>0.68124123737558717</v>
      </c>
      <c r="M98" s="5">
        <v>1.7795964912578246</v>
      </c>
      <c r="N98" s="5">
        <v>1.4885507165004443</v>
      </c>
      <c r="O98" s="5">
        <v>2.9571618138027489</v>
      </c>
      <c r="P98" s="5">
        <v>3.0550226623772603</v>
      </c>
      <c r="Q98" s="5">
        <v>2.8963200440203662</v>
      </c>
      <c r="R98" s="5">
        <v>2.8776976892874249</v>
      </c>
      <c r="S98" s="5">
        <v>1.7032105316212314</v>
      </c>
      <c r="T98" s="5">
        <v>0.85979254972499619</v>
      </c>
      <c r="U98" s="5">
        <v>1.0580036727704005</v>
      </c>
      <c r="V98" s="5">
        <v>1.1316969201147589</v>
      </c>
      <c r="W98" s="5">
        <v>3.8053928865756119</v>
      </c>
      <c r="X98" s="5">
        <v>2.8727311428374409</v>
      </c>
      <c r="Y98" s="5">
        <v>2.4390143402178555</v>
      </c>
      <c r="Z98" s="5">
        <v>3.1862021383187584</v>
      </c>
      <c r="AA98">
        <v>3.6476166828511238</v>
      </c>
      <c r="AB98">
        <v>1.9728320630335883</v>
      </c>
      <c r="AC98">
        <v>2.1946808126499446</v>
      </c>
      <c r="AD98">
        <v>2.7801415421584457</v>
      </c>
      <c r="AE98" s="6">
        <v>4442.3900000000003</v>
      </c>
      <c r="AF98" s="6">
        <v>93.935999999999993</v>
      </c>
      <c r="AG98" s="6">
        <v>156.56</v>
      </c>
      <c r="AH98" s="6">
        <v>602.75600000000009</v>
      </c>
      <c r="AI98" s="6">
        <v>50.490600000000001</v>
      </c>
      <c r="AJ98" s="6">
        <v>7.2409000000000008</v>
      </c>
      <c r="AK98" s="6">
        <v>11.428879999999999</v>
      </c>
      <c r="AL98" s="6">
        <v>13.542439999999999</v>
      </c>
      <c r="AM98" s="6">
        <v>6388.4115555555536</v>
      </c>
      <c r="AN98">
        <v>745.98679999999979</v>
      </c>
      <c r="AO98" s="6">
        <v>274.79848888888796</v>
      </c>
      <c r="AP98" s="6">
        <v>1535.3314222222225</v>
      </c>
    </row>
    <row r="99" spans="1:42">
      <c r="A99" s="1">
        <v>98</v>
      </c>
      <c r="B99" s="1">
        <v>1</v>
      </c>
      <c r="C99" s="1">
        <v>1</v>
      </c>
      <c r="D99" s="1">
        <v>1</v>
      </c>
      <c r="E99" s="1">
        <v>1</v>
      </c>
      <c r="F99" s="1">
        <v>25</v>
      </c>
      <c r="G99" s="1">
        <v>18</v>
      </c>
      <c r="H99" s="1">
        <v>3</v>
      </c>
      <c r="I99" s="1">
        <v>2</v>
      </c>
      <c r="J99" s="1">
        <v>6</v>
      </c>
      <c r="K99" s="5">
        <v>0.44715803134221921</v>
      </c>
      <c r="L99" s="5">
        <v>1.2253092817258628</v>
      </c>
      <c r="M99" s="5">
        <v>1.7007037171450194</v>
      </c>
      <c r="N99" s="5">
        <v>2.7472563974421442</v>
      </c>
      <c r="O99" s="5">
        <v>3.0303562634508796</v>
      </c>
      <c r="P99" s="5">
        <v>3.0550226623772603</v>
      </c>
      <c r="Q99" s="5">
        <v>2.976023274209584</v>
      </c>
      <c r="R99" s="5">
        <v>3.743668872366313</v>
      </c>
      <c r="S99" s="5">
        <v>1.7599381560701584</v>
      </c>
      <c r="T99" s="5">
        <v>1.0754944049307362</v>
      </c>
      <c r="U99" s="5">
        <v>1.1316969201147589</v>
      </c>
      <c r="V99" s="5">
        <v>2.2189611886970249</v>
      </c>
      <c r="W99" s="5">
        <v>3.1350459464432343</v>
      </c>
      <c r="X99" s="5">
        <v>3.4169653320278321</v>
      </c>
      <c r="Y99" s="5">
        <v>2.7642042705054433</v>
      </c>
      <c r="Z99" s="5">
        <v>3.0880129797888505</v>
      </c>
      <c r="AA99">
        <v>2.7672620139824309</v>
      </c>
      <c r="AB99">
        <v>2.0697420760416447</v>
      </c>
      <c r="AC99">
        <v>2.3634728329641264</v>
      </c>
      <c r="AD99">
        <v>2.5926208213219821</v>
      </c>
      <c r="AE99" s="6">
        <v>585.14300000000003</v>
      </c>
      <c r="AF99" s="6">
        <v>117.42</v>
      </c>
      <c r="AG99" s="6">
        <v>230.92599999999999</v>
      </c>
      <c r="AH99" s="6">
        <v>391.4</v>
      </c>
      <c r="AI99" s="6">
        <v>57.535799999999995</v>
      </c>
      <c r="AJ99" s="6">
        <v>11.898560000000002</v>
      </c>
      <c r="AK99" s="6">
        <v>13.542439999999999</v>
      </c>
      <c r="AL99" s="6">
        <v>165.56219999999999</v>
      </c>
      <c r="AM99" s="6">
        <v>1364.7275111111112</v>
      </c>
      <c r="AN99">
        <v>2611.9528444444441</v>
      </c>
      <c r="AO99" s="6">
        <v>581.03764444444448</v>
      </c>
      <c r="AP99" s="6">
        <v>1224.6528000000001</v>
      </c>
    </row>
    <row r="100" spans="1:42">
      <c r="A100" s="1">
        <v>99</v>
      </c>
      <c r="B100" s="1">
        <v>1</v>
      </c>
      <c r="C100" s="1">
        <v>1</v>
      </c>
      <c r="D100" s="1">
        <v>1</v>
      </c>
      <c r="E100" s="1">
        <v>0</v>
      </c>
      <c r="F100" s="1">
        <v>26</v>
      </c>
      <c r="G100" s="1">
        <v>18</v>
      </c>
      <c r="H100" s="1">
        <v>3</v>
      </c>
      <c r="I100" s="1">
        <v>2</v>
      </c>
      <c r="J100" s="1">
        <v>6</v>
      </c>
      <c r="K100" s="5">
        <v>-1</v>
      </c>
      <c r="L100" s="5">
        <v>-1</v>
      </c>
      <c r="M100" s="5">
        <v>2.3057811512549824</v>
      </c>
      <c r="N100" s="5">
        <v>2.0285712526925375</v>
      </c>
      <c r="O100" s="5">
        <v>2.6098321260316748</v>
      </c>
      <c r="P100" s="5">
        <v>2.9267385792959404</v>
      </c>
      <c r="Q100" s="5">
        <v>3.4373149361279332</v>
      </c>
      <c r="R100" s="5">
        <v>3.1363700818248366</v>
      </c>
      <c r="S100" s="5">
        <v>0.78295251949227396</v>
      </c>
      <c r="T100" s="5">
        <v>1.4665224191864437</v>
      </c>
      <c r="U100" s="5">
        <v>2.2477592561333646</v>
      </c>
      <c r="V100" s="5">
        <v>2.0639125323809209</v>
      </c>
      <c r="W100" s="5">
        <v>2.9312864018373976</v>
      </c>
      <c r="X100" s="5">
        <v>3.3509462744431611</v>
      </c>
      <c r="Y100" s="5">
        <v>4.2569980418374627</v>
      </c>
      <c r="Z100" s="5">
        <v>4.1964921445584311</v>
      </c>
      <c r="AA100">
        <v>2.3988007953058696</v>
      </c>
      <c r="AB100">
        <v>2.7658070897342566</v>
      </c>
      <c r="AC100">
        <v>3.4035251019906827</v>
      </c>
      <c r="AD100">
        <v>3.1291792638935125</v>
      </c>
      <c r="AE100" s="6">
        <v>250.49600000000001</v>
      </c>
      <c r="AF100" s="6">
        <v>583.18600000000004</v>
      </c>
      <c r="AG100" s="6">
        <v>2532.3579999999997</v>
      </c>
      <c r="AH100" s="6">
        <v>1346.4160000000002</v>
      </c>
      <c r="AI100" s="6">
        <v>6.0667000000000009</v>
      </c>
      <c r="AJ100" s="6">
        <v>29.276720000000001</v>
      </c>
      <c r="AK100" s="6">
        <v>176.91280000000003</v>
      </c>
      <c r="AL100" s="6">
        <v>115.85440000000001</v>
      </c>
      <c r="AM100" s="6">
        <v>853.66288888888971</v>
      </c>
      <c r="AN100">
        <v>2243.6043555555561</v>
      </c>
      <c r="AO100" s="6">
        <v>18071.659777777779</v>
      </c>
      <c r="AP100" s="6">
        <v>15721.433555555555</v>
      </c>
    </row>
    <row r="101" spans="1:42">
      <c r="A101" s="1">
        <v>100</v>
      </c>
      <c r="B101" s="1">
        <v>1</v>
      </c>
      <c r="C101" s="1">
        <v>1</v>
      </c>
      <c r="D101" s="1">
        <v>1</v>
      </c>
      <c r="E101" s="1">
        <v>1</v>
      </c>
      <c r="F101" s="1">
        <v>22</v>
      </c>
      <c r="G101" s="1">
        <v>18</v>
      </c>
      <c r="H101" s="1">
        <v>3</v>
      </c>
      <c r="I101" s="1">
        <v>2</v>
      </c>
      <c r="J101" s="1">
        <v>6</v>
      </c>
      <c r="K101" s="5">
        <v>1.8739015978644613</v>
      </c>
      <c r="L101" s="5">
        <v>-9.6910013008056392E-2</v>
      </c>
      <c r="M101" s="5">
        <v>1.7339992865383869</v>
      </c>
      <c r="N101" s="5">
        <v>2.2760019899620501</v>
      </c>
      <c r="O101" s="5">
        <v>2.9571618138027489</v>
      </c>
      <c r="P101" s="5">
        <v>2.9267385792959404</v>
      </c>
      <c r="Q101" s="5">
        <v>2.9093149120410047</v>
      </c>
      <c r="R101" s="5">
        <v>3.8208155098401546</v>
      </c>
      <c r="S101" s="5">
        <v>1.7672620139824309</v>
      </c>
      <c r="T101" s="5">
        <v>0.77731225213958122</v>
      </c>
      <c r="U101" s="5">
        <v>1.7174509707358416</v>
      </c>
      <c r="V101" s="5">
        <v>2.2260892769015688</v>
      </c>
      <c r="W101" s="5">
        <v>3.6446262857951046</v>
      </c>
      <c r="X101" s="5">
        <v>3.7941395728180631</v>
      </c>
      <c r="Y101" s="5">
        <v>2.7889344613765212</v>
      </c>
      <c r="Z101" s="5">
        <v>3.7735296983033861</v>
      </c>
      <c r="AA101">
        <v>2.076920660668768</v>
      </c>
      <c r="AB101">
        <v>2.6789806519967305</v>
      </c>
      <c r="AC101">
        <v>2.6754061916384324</v>
      </c>
      <c r="AD101">
        <v>2.8074646693696801</v>
      </c>
      <c r="AE101" s="6">
        <v>119.377</v>
      </c>
      <c r="AF101" s="6">
        <v>477.50799999999998</v>
      </c>
      <c r="AG101" s="6">
        <v>473.59399999999999</v>
      </c>
      <c r="AH101" s="6">
        <v>641.89599999999996</v>
      </c>
      <c r="AI101" s="6">
        <v>58.514300000000006</v>
      </c>
      <c r="AJ101" s="6">
        <v>5.9884200000000005</v>
      </c>
      <c r="AK101" s="6">
        <v>52.173620000000007</v>
      </c>
      <c r="AL101" s="6">
        <v>168.30200000000002</v>
      </c>
      <c r="AM101" s="6">
        <v>4411.9063555555567</v>
      </c>
      <c r="AN101">
        <v>6225.0031111111102</v>
      </c>
      <c r="AO101" s="6">
        <v>615.08404444444386</v>
      </c>
      <c r="AP101" s="6">
        <v>5936.4894222222229</v>
      </c>
    </row>
    <row r="102" spans="1:42">
      <c r="A102" s="1">
        <v>101</v>
      </c>
      <c r="B102" s="1">
        <v>1</v>
      </c>
      <c r="C102" s="1">
        <v>1</v>
      </c>
      <c r="D102" s="1">
        <v>1</v>
      </c>
      <c r="E102" s="1">
        <v>1</v>
      </c>
      <c r="F102" s="1">
        <v>13</v>
      </c>
      <c r="G102" s="1">
        <v>6</v>
      </c>
      <c r="H102" s="1">
        <v>3</v>
      </c>
      <c r="I102" s="1">
        <v>2</v>
      </c>
      <c r="J102" s="1">
        <v>5</v>
      </c>
      <c r="K102" s="5">
        <v>2.089198366805149</v>
      </c>
      <c r="L102" s="5">
        <v>1.4281347940287887</v>
      </c>
      <c r="M102" s="5">
        <v>1.893206753059848</v>
      </c>
      <c r="N102" s="5">
        <v>2.3923451553612041</v>
      </c>
      <c r="O102" s="5">
        <v>3.3416433147050117</v>
      </c>
      <c r="P102" s="5">
        <v>2.9928863669925154</v>
      </c>
      <c r="Q102" s="5">
        <v>3.2570996369552119</v>
      </c>
      <c r="R102" s="5">
        <v>3.6363699287601086</v>
      </c>
      <c r="S102" s="5">
        <v>1.9370130950070932</v>
      </c>
      <c r="T102" s="5">
        <v>1.5856159197533239</v>
      </c>
      <c r="U102" s="5">
        <v>1.2022152305472025</v>
      </c>
      <c r="V102" s="5">
        <v>2.2184475346076935</v>
      </c>
      <c r="W102" s="5">
        <v>3.5683210669201628</v>
      </c>
      <c r="X102" s="5">
        <v>3.5841441660273712</v>
      </c>
      <c r="Y102" s="5">
        <v>4.0232998703854115</v>
      </c>
      <c r="Z102" s="5">
        <v>3.7750262651270914</v>
      </c>
      <c r="AA102">
        <v>1.9817869056865147</v>
      </c>
      <c r="AB102">
        <v>2.5703444266108302</v>
      </c>
      <c r="AC102">
        <v>2.8179301030478454</v>
      </c>
      <c r="AD102">
        <v>3.01586669525879</v>
      </c>
      <c r="AE102" s="6">
        <v>95.893000000000001</v>
      </c>
      <c r="AF102" s="6">
        <v>371.83</v>
      </c>
      <c r="AG102" s="6">
        <v>657.55200000000002</v>
      </c>
      <c r="AH102" s="6">
        <v>1037.21</v>
      </c>
      <c r="AI102" s="6">
        <v>86.499400000000009</v>
      </c>
      <c r="AJ102" s="6">
        <v>38.513760000000005</v>
      </c>
      <c r="AK102" s="6">
        <v>15.92998</v>
      </c>
      <c r="AL102" s="6">
        <v>165.3665</v>
      </c>
      <c r="AM102" s="6">
        <v>3701.0168888888888</v>
      </c>
      <c r="AN102">
        <v>3838.3463999999999</v>
      </c>
      <c r="AO102" s="6">
        <v>10551.151777777777</v>
      </c>
      <c r="AP102" s="6">
        <v>5956.981688888889</v>
      </c>
    </row>
    <row r="103" spans="1:42">
      <c r="A103" s="1">
        <v>102</v>
      </c>
      <c r="B103" s="1">
        <v>0</v>
      </c>
      <c r="C103" s="1">
        <v>1</v>
      </c>
      <c r="D103" s="1">
        <v>0</v>
      </c>
      <c r="E103" s="1">
        <v>1</v>
      </c>
      <c r="F103" s="1">
        <v>4</v>
      </c>
      <c r="G103" s="1">
        <v>6</v>
      </c>
      <c r="H103" s="1">
        <v>1</v>
      </c>
      <c r="I103" s="1">
        <v>2</v>
      </c>
      <c r="J103" s="1">
        <v>2</v>
      </c>
      <c r="K103" s="5">
        <v>-1</v>
      </c>
      <c r="L103" s="5">
        <v>0.44715803134221921</v>
      </c>
      <c r="M103" s="5">
        <v>2.0342272607705505</v>
      </c>
      <c r="N103" s="5">
        <v>2.5400790888041729</v>
      </c>
      <c r="O103" s="5">
        <v>2.3897082620192784</v>
      </c>
      <c r="P103" s="5">
        <v>2.6980309485969274</v>
      </c>
      <c r="Q103" s="5">
        <v>2.7614028939787554</v>
      </c>
      <c r="R103" s="5">
        <v>3.1920202789882057</v>
      </c>
      <c r="S103" s="5">
        <v>0.97463786389685081</v>
      </c>
      <c r="T103" s="5">
        <v>0.87592205002553192</v>
      </c>
      <c r="U103" s="5">
        <v>1.5762471084465168</v>
      </c>
      <c r="V103" s="5">
        <v>2.0846824258345813</v>
      </c>
      <c r="W103" s="5">
        <v>2.3336679148262274</v>
      </c>
      <c r="X103" s="5">
        <v>2.6299889967061425</v>
      </c>
      <c r="Y103" s="5">
        <v>3.4036243080027724</v>
      </c>
      <c r="Z103" s="5">
        <v>3.656141213891134</v>
      </c>
      <c r="AA103">
        <v>2.3689587309421576</v>
      </c>
      <c r="AB103">
        <v>1.5926208213219823</v>
      </c>
      <c r="AC103">
        <v>2.0977707996418884</v>
      </c>
      <c r="AD103">
        <v>2.6096541606207628</v>
      </c>
      <c r="AE103" s="6">
        <v>233.86150000000001</v>
      </c>
      <c r="AF103" s="6">
        <v>39.14</v>
      </c>
      <c r="AG103" s="6">
        <v>125.248</v>
      </c>
      <c r="AH103" s="6">
        <v>407.05600000000004</v>
      </c>
      <c r="AI103" s="6">
        <v>9.4327400000000008</v>
      </c>
      <c r="AJ103" s="6">
        <v>7.5148799999999998</v>
      </c>
      <c r="AK103" s="6">
        <v>37.69182</v>
      </c>
      <c r="AL103" s="6">
        <v>121.52970000000001</v>
      </c>
      <c r="AM103" s="6">
        <v>215.60951111111234</v>
      </c>
      <c r="AN103">
        <v>426.5687111111103</v>
      </c>
      <c r="AO103" s="6">
        <v>2532.936533333333</v>
      </c>
      <c r="AP103" s="6">
        <v>4530.4486666666671</v>
      </c>
    </row>
    <row r="104" spans="1:42">
      <c r="A104" s="1">
        <v>103</v>
      </c>
      <c r="B104" s="1">
        <v>0</v>
      </c>
      <c r="C104" s="1">
        <v>1</v>
      </c>
      <c r="D104" s="1">
        <v>1</v>
      </c>
      <c r="E104" s="1">
        <v>1</v>
      </c>
      <c r="F104" s="1">
        <v>10</v>
      </c>
      <c r="G104" s="1">
        <v>6</v>
      </c>
      <c r="H104" s="1">
        <v>2</v>
      </c>
      <c r="I104" s="1">
        <v>2</v>
      </c>
      <c r="J104" s="1">
        <v>4</v>
      </c>
      <c r="K104" s="5">
        <v>1.9858753573083936</v>
      </c>
      <c r="L104" s="5">
        <v>1.885361220031512</v>
      </c>
      <c r="M104" s="5">
        <v>1.893206753059848</v>
      </c>
      <c r="N104" s="5">
        <v>1.9675479762188621</v>
      </c>
      <c r="O104" s="5">
        <v>3.2854779013795743</v>
      </c>
      <c r="P104" s="5">
        <v>3.2716007434965833</v>
      </c>
      <c r="Q104" s="5">
        <v>3.097766277634352</v>
      </c>
      <c r="R104" s="5">
        <v>3.0775381883965105</v>
      </c>
      <c r="S104" s="5">
        <v>1.8770515551665019</v>
      </c>
      <c r="T104" s="5">
        <v>0.60545804602715458</v>
      </c>
      <c r="U104" s="5">
        <v>1.5043109800758436</v>
      </c>
      <c r="V104" s="5">
        <v>1.5400545432090331</v>
      </c>
      <c r="W104" s="5">
        <v>4.4175019183831195</v>
      </c>
      <c r="X104" s="5">
        <v>3.3669796926394593</v>
      </c>
      <c r="Y104" s="5">
        <v>2.8722751773745876</v>
      </c>
      <c r="Z104" s="5">
        <v>3.1755802281998897</v>
      </c>
      <c r="AA104">
        <v>3.0239845854809695</v>
      </c>
      <c r="AB104">
        <v>2.5926208213219821</v>
      </c>
      <c r="AC104">
        <v>2.4499533177532506</v>
      </c>
      <c r="AD104">
        <v>2.490247912612424</v>
      </c>
      <c r="AE104" s="6">
        <v>1056.78</v>
      </c>
      <c r="AF104" s="6">
        <v>391.4</v>
      </c>
      <c r="AG104" s="6">
        <v>281.80799999999999</v>
      </c>
      <c r="AH104" s="6">
        <v>309.20600000000002</v>
      </c>
      <c r="AI104" s="6">
        <v>75.344500000000011</v>
      </c>
      <c r="AJ104" s="6">
        <v>4.0314199999999998</v>
      </c>
      <c r="AK104" s="6">
        <v>31.938240000000004</v>
      </c>
      <c r="AL104" s="6">
        <v>34.678040000000003</v>
      </c>
      <c r="AM104" s="6">
        <v>26151.82</v>
      </c>
      <c r="AN104">
        <v>2327.982399999999</v>
      </c>
      <c r="AO104" s="6">
        <v>745.20399999999972</v>
      </c>
      <c r="AP104" s="6">
        <v>1498.2359999999994</v>
      </c>
    </row>
    <row r="105" spans="1:42">
      <c r="A105" s="1">
        <v>104</v>
      </c>
      <c r="B105" s="1">
        <v>0</v>
      </c>
      <c r="C105" s="1">
        <v>1</v>
      </c>
      <c r="D105" s="1">
        <v>1</v>
      </c>
      <c r="E105" s="1">
        <v>1</v>
      </c>
      <c r="F105" s="1">
        <v>12</v>
      </c>
      <c r="G105" s="1">
        <v>6</v>
      </c>
      <c r="H105" s="1">
        <v>2</v>
      </c>
      <c r="I105" s="1">
        <v>2</v>
      </c>
      <c r="J105" s="1">
        <v>4</v>
      </c>
      <c r="K105" s="5">
        <v>2.3197304943302246</v>
      </c>
      <c r="L105" s="5">
        <v>1.8739015978644613</v>
      </c>
      <c r="M105" s="5">
        <v>1.9375178920173466</v>
      </c>
      <c r="N105" s="5">
        <v>2.3669829759778507</v>
      </c>
      <c r="O105" s="5">
        <v>3.2854779013795743</v>
      </c>
      <c r="P105" s="5">
        <v>3.3192807346649396</v>
      </c>
      <c r="Q105" s="5">
        <v>3.0386861483687762</v>
      </c>
      <c r="R105" s="5">
        <v>3.2950339732493896</v>
      </c>
      <c r="S105" s="5">
        <v>2.2122358270647888</v>
      </c>
      <c r="T105" s="5">
        <v>0.51690010738386405</v>
      </c>
      <c r="U105" s="5">
        <v>1.7871351632044497</v>
      </c>
      <c r="V105" s="5">
        <v>0.98178690568651494</v>
      </c>
      <c r="W105" s="5">
        <v>4.3083272664840448</v>
      </c>
      <c r="X105" s="5">
        <v>2.9441470170856161</v>
      </c>
      <c r="Y105" s="5">
        <v>3.6140494399104579</v>
      </c>
      <c r="Z105" s="5">
        <v>3.634364457622635</v>
      </c>
      <c r="AA105">
        <v>3.5694291586600486</v>
      </c>
      <c r="AB105">
        <v>2.7569736771064193</v>
      </c>
      <c r="AC105">
        <v>3.7402971455630811</v>
      </c>
      <c r="AD105">
        <v>4.1519288322289949</v>
      </c>
      <c r="AE105" s="6">
        <v>3710.4720000000002</v>
      </c>
      <c r="AF105" s="6">
        <v>571.44399999999996</v>
      </c>
      <c r="AG105" s="6">
        <v>5499.17</v>
      </c>
      <c r="AH105" s="6">
        <v>14188.25</v>
      </c>
      <c r="AI105" s="6">
        <v>163.0181</v>
      </c>
      <c r="AJ105" s="6">
        <v>3.2877600000000005</v>
      </c>
      <c r="AK105" s="6">
        <v>61.254100000000008</v>
      </c>
      <c r="AL105" s="6">
        <v>9.5893000000000015</v>
      </c>
      <c r="AM105" s="6">
        <v>20338.890888888887</v>
      </c>
      <c r="AN105">
        <v>879.32013333333236</v>
      </c>
      <c r="AO105" s="6">
        <v>4111.9652888888886</v>
      </c>
      <c r="AP105" s="6">
        <v>4308.880577777777</v>
      </c>
    </row>
    <row r="106" spans="1:42">
      <c r="A106" s="1">
        <v>105</v>
      </c>
      <c r="B106" s="1">
        <v>1</v>
      </c>
      <c r="C106" s="1">
        <v>1</v>
      </c>
      <c r="D106" s="1">
        <v>1</v>
      </c>
      <c r="E106" s="1">
        <v>1</v>
      </c>
      <c r="F106" s="1">
        <v>14</v>
      </c>
      <c r="G106" s="1">
        <v>6</v>
      </c>
      <c r="H106" s="1">
        <v>3</v>
      </c>
      <c r="I106" s="1">
        <v>2</v>
      </c>
      <c r="J106" s="1">
        <v>5</v>
      </c>
      <c r="K106" s="5">
        <v>1.8247764624755456</v>
      </c>
      <c r="L106" s="5">
        <v>1.1702617153949575</v>
      </c>
      <c r="M106" s="5">
        <v>1.9647309210536295</v>
      </c>
      <c r="N106" s="5">
        <v>2.1607685618611283</v>
      </c>
      <c r="O106" s="5">
        <v>3.0303562634508796</v>
      </c>
      <c r="P106" s="5">
        <v>3.0550226623772603</v>
      </c>
      <c r="Q106" s="5">
        <v>3.097766277634352</v>
      </c>
      <c r="R106" s="5">
        <v>3.1363700818248366</v>
      </c>
      <c r="S106" s="5">
        <v>1.875922050025532</v>
      </c>
      <c r="T106" s="5">
        <v>1.3678670810622189</v>
      </c>
      <c r="U106" s="5">
        <v>1.5829596761095839</v>
      </c>
      <c r="V106" s="5">
        <v>1.8127289093620373</v>
      </c>
      <c r="W106" s="5">
        <v>-1</v>
      </c>
      <c r="X106" s="5">
        <v>4.9564042246548228</v>
      </c>
      <c r="Y106" s="5">
        <v>3.1031228916791322</v>
      </c>
      <c r="Z106" s="5">
        <v>2.3354999796352374</v>
      </c>
      <c r="AA106">
        <v>2.8412070651770867</v>
      </c>
      <c r="AB106">
        <v>2.4186956240228086</v>
      </c>
      <c r="AC106">
        <v>3.3492569295678303</v>
      </c>
      <c r="AD106">
        <v>3.4589081604061773</v>
      </c>
      <c r="AE106" s="6">
        <v>693.75649999999996</v>
      </c>
      <c r="AF106" s="6">
        <v>262.238</v>
      </c>
      <c r="AG106" s="6">
        <v>2234.8939999999998</v>
      </c>
      <c r="AH106" s="6">
        <v>2876.79</v>
      </c>
      <c r="AI106" s="6">
        <v>75.148799999999994</v>
      </c>
      <c r="AJ106" s="6">
        <v>23.327440000000003</v>
      </c>
      <c r="AK106" s="6">
        <v>38.278919999999999</v>
      </c>
      <c r="AL106" s="6">
        <v>64.972399999999993</v>
      </c>
      <c r="AM106">
        <v>0.1</v>
      </c>
      <c r="AN106">
        <v>90449.094755555561</v>
      </c>
      <c r="AO106" s="6">
        <v>1268.0106222222228</v>
      </c>
      <c r="AP106" s="6">
        <v>216.52097777777783</v>
      </c>
    </row>
    <row r="107" spans="1:42">
      <c r="A107" s="1">
        <v>106</v>
      </c>
      <c r="B107" s="1">
        <v>1</v>
      </c>
      <c r="C107" s="1">
        <v>1</v>
      </c>
      <c r="D107" s="1">
        <v>1</v>
      </c>
      <c r="E107" s="1">
        <v>0</v>
      </c>
      <c r="F107" s="1">
        <v>19</v>
      </c>
      <c r="G107" s="1">
        <v>6</v>
      </c>
      <c r="H107" s="1">
        <v>3</v>
      </c>
      <c r="I107" s="1">
        <v>2</v>
      </c>
      <c r="J107" s="1">
        <v>5</v>
      </c>
      <c r="K107" s="5">
        <v>2.4665710723863543</v>
      </c>
      <c r="L107" s="5">
        <v>1.0334237554869496</v>
      </c>
      <c r="M107" s="5">
        <v>1.7649229846498886</v>
      </c>
      <c r="N107" s="5">
        <v>1.4885507165004443</v>
      </c>
      <c r="O107" s="5">
        <v>3.0303562634508796</v>
      </c>
      <c r="P107" s="5">
        <v>3.1136063199683353</v>
      </c>
      <c r="Q107" s="5">
        <v>3.351129965210355</v>
      </c>
      <c r="R107" s="5">
        <v>2.8776976892874249</v>
      </c>
      <c r="S107" s="5">
        <v>1.3306081476554132</v>
      </c>
      <c r="T107" s="5">
        <v>1.3671377870505319</v>
      </c>
      <c r="U107" s="5">
        <v>2.133575630248115</v>
      </c>
      <c r="V107" s="5">
        <v>0.71972561968679005</v>
      </c>
      <c r="W107" s="5">
        <v>3.7294237982699308</v>
      </c>
      <c r="X107" s="5">
        <v>3.8329177971819206</v>
      </c>
      <c r="Y107" s="5">
        <v>3.879779627930704</v>
      </c>
      <c r="Z107" s="5">
        <v>3.3092581801759917</v>
      </c>
      <c r="AA107">
        <v>3.6789806519967305</v>
      </c>
      <c r="AB107">
        <v>3.9914285515252468</v>
      </c>
      <c r="AC107">
        <v>3.9844377449352311</v>
      </c>
      <c r="AD107">
        <v>3.7131947525278322</v>
      </c>
      <c r="AE107" s="6">
        <v>4775.08</v>
      </c>
      <c r="AF107" s="6">
        <v>9804.57</v>
      </c>
      <c r="AG107" s="6">
        <v>9648.01</v>
      </c>
      <c r="AH107" s="6">
        <v>5166.4799999999996</v>
      </c>
      <c r="AI107" s="6">
        <v>21.409580000000002</v>
      </c>
      <c r="AJ107" s="6">
        <v>23.288300000000003</v>
      </c>
      <c r="AK107" s="6">
        <v>136.01150000000001</v>
      </c>
      <c r="AL107" s="6">
        <v>5.2447600000000003</v>
      </c>
      <c r="AM107" s="6">
        <v>5363.1975999999995</v>
      </c>
      <c r="AN107">
        <v>6806.4051555555561</v>
      </c>
      <c r="AO107" s="6">
        <v>7581.927511111111</v>
      </c>
      <c r="AP107" s="6">
        <v>2038.2534222222216</v>
      </c>
    </row>
    <row r="108" spans="1:42">
      <c r="A108" s="1">
        <v>107</v>
      </c>
      <c r="B108" s="1">
        <v>1</v>
      </c>
      <c r="C108" s="1">
        <v>1</v>
      </c>
      <c r="D108" s="1">
        <v>1</v>
      </c>
      <c r="E108" s="1">
        <v>1</v>
      </c>
      <c r="F108" s="1">
        <v>26</v>
      </c>
      <c r="G108" s="1">
        <v>18</v>
      </c>
      <c r="H108" s="1">
        <v>3</v>
      </c>
      <c r="I108" s="1">
        <v>2</v>
      </c>
      <c r="J108" s="1">
        <v>6</v>
      </c>
      <c r="K108" s="5">
        <v>1.7839035792727349</v>
      </c>
      <c r="L108" s="5">
        <v>-1</v>
      </c>
      <c r="M108" s="5">
        <v>1.507855871695831</v>
      </c>
      <c r="N108" s="5">
        <v>1.3579348470004537</v>
      </c>
      <c r="O108" s="5">
        <v>2.2625024382606016</v>
      </c>
      <c r="P108" s="5">
        <v>2.9267385792959404</v>
      </c>
      <c r="Q108" s="5">
        <v>2.7614028939787554</v>
      </c>
      <c r="R108" s="5">
        <v>2.8014199896972038</v>
      </c>
      <c r="S108" s="5">
        <v>0.89581687874247118</v>
      </c>
      <c r="T108" s="5">
        <v>1.2619377018880946</v>
      </c>
      <c r="U108" s="5">
        <v>1.3469691570330014</v>
      </c>
      <c r="V108" s="5">
        <v>0.39880079530586965</v>
      </c>
      <c r="W108" s="5">
        <v>2.9485277625898316</v>
      </c>
      <c r="X108" s="5">
        <v>2.7187001992017144</v>
      </c>
      <c r="Y108" s="5">
        <v>3.4082888282319863</v>
      </c>
      <c r="Z108" s="5">
        <v>3.1883353270359778</v>
      </c>
      <c r="AA108">
        <v>2.6138101203919204</v>
      </c>
      <c r="AB108">
        <v>3.0459391613690201</v>
      </c>
      <c r="AC108">
        <v>3.1979258674630917</v>
      </c>
      <c r="AD108">
        <v>3.5444438566378942</v>
      </c>
      <c r="AE108" s="6">
        <v>410.97</v>
      </c>
      <c r="AF108" s="6">
        <v>1111.576</v>
      </c>
      <c r="AG108" s="6">
        <v>1577.3420000000001</v>
      </c>
      <c r="AH108" s="6">
        <v>3503.03</v>
      </c>
      <c r="AI108" s="6">
        <v>7.8671399999999991</v>
      </c>
      <c r="AJ108" s="6">
        <v>18.278380000000002</v>
      </c>
      <c r="AK108" s="6">
        <v>22.231520000000003</v>
      </c>
      <c r="AL108" s="6">
        <v>2.5049600000000005</v>
      </c>
      <c r="AM108" s="6">
        <v>888.23475555555524</v>
      </c>
      <c r="AN108">
        <v>523.23911111111147</v>
      </c>
      <c r="AO108" s="6">
        <v>2560.288044444444</v>
      </c>
      <c r="AP108" s="6">
        <v>1542.891288888889</v>
      </c>
    </row>
    <row r="109" spans="1:42">
      <c r="A109" s="1">
        <v>108</v>
      </c>
      <c r="B109" s="1">
        <v>1</v>
      </c>
      <c r="C109" s="1">
        <v>0</v>
      </c>
      <c r="D109" s="1">
        <v>0</v>
      </c>
      <c r="E109" s="1">
        <v>1</v>
      </c>
      <c r="F109" s="1">
        <v>2</v>
      </c>
      <c r="G109" s="1">
        <v>6</v>
      </c>
      <c r="H109" s="1">
        <v>1</v>
      </c>
      <c r="I109" s="1">
        <v>2</v>
      </c>
      <c r="J109" s="1">
        <v>1</v>
      </c>
      <c r="K109" s="5">
        <v>1.9180303367848801</v>
      </c>
      <c r="L109" s="5">
        <v>1.885361220031512</v>
      </c>
      <c r="M109" s="5">
        <v>2.0178677189635055</v>
      </c>
      <c r="N109" s="5">
        <v>1.9385197251764918</v>
      </c>
      <c r="O109" s="5">
        <v>2.8792419621940724</v>
      </c>
      <c r="P109" s="5">
        <v>3.2716007434965833</v>
      </c>
      <c r="Q109" s="5">
        <v>3.3051836958453342</v>
      </c>
      <c r="R109" s="5">
        <v>3.2950339732493896</v>
      </c>
      <c r="S109" s="5">
        <v>1.1903160072474948</v>
      </c>
      <c r="T109" s="5">
        <v>1.0207556153507713</v>
      </c>
      <c r="U109" s="5">
        <v>1.7141806655094833</v>
      </c>
      <c r="V109" s="5">
        <v>1.3314013798063515</v>
      </c>
      <c r="W109" s="5">
        <v>3.6777750582429842</v>
      </c>
      <c r="X109" s="5">
        <v>3.5111920080805983</v>
      </c>
      <c r="Y109" s="5">
        <v>4.1513261250501339</v>
      </c>
      <c r="Z109" s="5">
        <v>4.3260481352258937</v>
      </c>
      <c r="AA109">
        <v>3.6912645471390393</v>
      </c>
      <c r="AB109">
        <v>2.835658870008277</v>
      </c>
      <c r="AC109">
        <v>3.6075611711149187</v>
      </c>
      <c r="AD109">
        <v>3.3671377870505319</v>
      </c>
      <c r="AE109" s="6">
        <v>4912.07</v>
      </c>
      <c r="AF109" s="6">
        <v>684.95</v>
      </c>
      <c r="AG109" s="6">
        <v>4050.99</v>
      </c>
      <c r="AH109" s="6">
        <v>2328.83</v>
      </c>
      <c r="AI109" s="6">
        <v>15.499440000000002</v>
      </c>
      <c r="AJ109" s="6">
        <v>10.489520000000001</v>
      </c>
      <c r="AK109" s="6">
        <v>51.782220000000009</v>
      </c>
      <c r="AL109" s="6">
        <v>21.448720000000005</v>
      </c>
      <c r="AM109" s="6">
        <v>4761.8428444444444</v>
      </c>
      <c r="AN109">
        <v>3244.8304444444443</v>
      </c>
      <c r="AO109" s="6">
        <v>14168.573422222218</v>
      </c>
      <c r="AP109" s="6">
        <v>21185.959377777777</v>
      </c>
    </row>
    <row r="113" spans="31:42" customFormat="1"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</row>
    <row r="119" spans="31:42" customFormat="1"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</row>
    <row r="122" spans="31:42" customFormat="1"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</sheetData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460"/>
  <sheetViews>
    <sheetView workbookViewId="0">
      <selection activeCell="N1" sqref="N1:AB1"/>
    </sheetView>
  </sheetViews>
  <sheetFormatPr baseColWidth="10" defaultColWidth="8.83203125" defaultRowHeight="15" x14ac:dyDescent="0"/>
  <cols>
    <col min="1" max="1" width="5" style="1" customWidth="1"/>
    <col min="2" max="2" width="4.1640625" style="1" customWidth="1"/>
    <col min="3" max="4" width="3.5" style="1" customWidth="1"/>
    <col min="5" max="5" width="3.1640625" style="1" customWidth="1"/>
    <col min="6" max="6" width="6.5" style="1" customWidth="1"/>
    <col min="7" max="7" width="4.6640625" style="1" customWidth="1"/>
    <col min="8" max="9" width="4.1640625" style="1" customWidth="1"/>
    <col min="10" max="10" width="7.33203125" style="1" customWidth="1"/>
    <col min="11" max="13" width="8.83203125" style="1" customWidth="1"/>
    <col min="14" max="14" width="6.5" style="5" customWidth="1"/>
    <col min="15" max="15" width="9.6640625" style="5" customWidth="1"/>
    <col min="16" max="16" width="6.5" style="5" customWidth="1"/>
    <col min="18" max="18" width="9.1640625" style="6" customWidth="1"/>
    <col min="19" max="19" width="10.1640625" style="6" customWidth="1"/>
    <col min="20" max="20" width="10.33203125" style="6" customWidth="1"/>
    <col min="21" max="21" width="10.5" style="6" customWidth="1"/>
    <col min="22" max="24" width="9.1640625" style="6" customWidth="1"/>
    <col min="25" max="25" width="10.5" style="6" customWidth="1"/>
    <col min="26" max="26" width="11" style="6" customWidth="1"/>
    <col min="27" max="27" width="9.1640625" style="6" customWidth="1"/>
    <col min="28" max="28" width="14" style="6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6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141</v>
      </c>
      <c r="M1" s="1" t="s">
        <v>142</v>
      </c>
      <c r="N1" s="5" t="s">
        <v>163</v>
      </c>
      <c r="O1" s="5" t="s">
        <v>185</v>
      </c>
      <c r="P1" s="5" t="s">
        <v>164</v>
      </c>
      <c r="Q1" t="s">
        <v>165</v>
      </c>
      <c r="R1" s="6" t="s">
        <v>174</v>
      </c>
      <c r="S1" s="6" t="s">
        <v>186</v>
      </c>
      <c r="T1" s="6" t="s">
        <v>179</v>
      </c>
      <c r="U1" s="6" t="s">
        <v>184</v>
      </c>
      <c r="V1" s="5" t="s">
        <v>187</v>
      </c>
      <c r="W1" s="5" t="s">
        <v>188</v>
      </c>
      <c r="X1" s="5" t="s">
        <v>154</v>
      </c>
      <c r="Y1" s="6" t="s">
        <v>189</v>
      </c>
      <c r="Z1" s="6" t="s">
        <v>190</v>
      </c>
      <c r="AA1" s="6" t="s">
        <v>191</v>
      </c>
      <c r="AB1" s="6" t="s">
        <v>192</v>
      </c>
    </row>
    <row r="2" spans="1:28">
      <c r="A2" s="1">
        <v>1</v>
      </c>
      <c r="B2" s="1">
        <v>1</v>
      </c>
      <c r="C2" s="1">
        <v>1</v>
      </c>
      <c r="D2" s="1">
        <v>1</v>
      </c>
      <c r="E2" s="1">
        <v>0</v>
      </c>
      <c r="F2" s="1">
        <v>14</v>
      </c>
      <c r="G2" s="1">
        <v>6</v>
      </c>
      <c r="H2" s="1">
        <v>3</v>
      </c>
      <c r="I2" s="1">
        <v>1</v>
      </c>
      <c r="J2" s="1">
        <v>5</v>
      </c>
      <c r="K2" s="1">
        <v>5</v>
      </c>
      <c r="L2" s="1">
        <v>1</v>
      </c>
      <c r="M2" s="1">
        <v>0</v>
      </c>
      <c r="N2" s="5">
        <v>92.8</v>
      </c>
      <c r="O2" s="6">
        <v>8611.84</v>
      </c>
      <c r="P2" s="5">
        <v>401</v>
      </c>
      <c r="Q2">
        <v>417.88528234172946</v>
      </c>
      <c r="R2" s="6">
        <v>24.540779999999998</v>
      </c>
      <c r="S2" s="6">
        <v>37.378700000000002</v>
      </c>
      <c r="T2" s="6">
        <v>2857.8699111111105</v>
      </c>
      <c r="U2" s="6">
        <v>577.77777777777737</v>
      </c>
      <c r="V2" s="6">
        <f>LOG(N2)</f>
        <v>1.9675479762188621</v>
      </c>
      <c r="W2" s="6">
        <f>LOG(P2)</f>
        <v>2.6031443726201822</v>
      </c>
      <c r="X2" s="6">
        <v>2.6210570758329541</v>
      </c>
      <c r="Y2" s="6">
        <f>LOG(R2)</f>
        <v>1.3898883621526987</v>
      </c>
      <c r="Z2" s="6">
        <f>LOG(S2)</f>
        <v>1.5726241929057287</v>
      </c>
      <c r="AA2" s="6">
        <f>LOG(T2)</f>
        <v>3.4560424560251271</v>
      </c>
      <c r="AB2" s="6">
        <f>LOG(U2)</f>
        <v>2.7617608341954738</v>
      </c>
    </row>
    <row r="3" spans="1:28">
      <c r="A3" s="1">
        <v>2</v>
      </c>
      <c r="B3" s="1">
        <v>1</v>
      </c>
      <c r="C3" s="1">
        <v>1</v>
      </c>
      <c r="D3" s="1">
        <v>1</v>
      </c>
      <c r="E3" s="1">
        <v>0</v>
      </c>
      <c r="F3" s="1">
        <v>15</v>
      </c>
      <c r="G3" s="1">
        <v>6</v>
      </c>
      <c r="H3" s="1">
        <v>3</v>
      </c>
      <c r="I3" s="1">
        <v>1</v>
      </c>
      <c r="J3" s="1">
        <v>5</v>
      </c>
      <c r="K3" s="1">
        <v>5</v>
      </c>
      <c r="L3" s="1">
        <v>1</v>
      </c>
      <c r="M3" s="1">
        <v>0</v>
      </c>
      <c r="N3" s="5">
        <v>88.8</v>
      </c>
      <c r="O3" s="6">
        <v>7885.44</v>
      </c>
      <c r="P3" s="5">
        <v>401</v>
      </c>
      <c r="Q3">
        <v>417.88528234172946</v>
      </c>
      <c r="R3" s="6">
        <v>155.77719999999999</v>
      </c>
      <c r="S3" s="6">
        <v>677.12200000000007</v>
      </c>
      <c r="T3" s="6">
        <v>10767.011111111111</v>
      </c>
      <c r="U3" s="6">
        <v>3000</v>
      </c>
      <c r="V3" s="6">
        <f t="shared" ref="V3:V66" si="0">LOG(N3)</f>
        <v>1.9484129657786009</v>
      </c>
      <c r="W3" s="6">
        <f t="shared" ref="W3:W66" si="1">LOG(P3)</f>
        <v>2.6031443726201822</v>
      </c>
      <c r="X3" s="6">
        <v>2.6210570758329541</v>
      </c>
      <c r="Y3" s="6">
        <f t="shared" ref="Y3:AB66" si="2">LOG(R3)</f>
        <v>2.1925038933956702</v>
      </c>
      <c r="Z3" s="6">
        <f t="shared" si="2"/>
        <v>2.8306669244507776</v>
      </c>
      <c r="AA3" s="6">
        <f t="shared" si="2"/>
        <v>4.0320951612271152</v>
      </c>
      <c r="AB3" s="6">
        <f t="shared" si="2"/>
        <v>3.4771212547196626</v>
      </c>
    </row>
    <row r="4" spans="1:28">
      <c r="A4" s="1">
        <v>3</v>
      </c>
      <c r="B4" s="1">
        <v>1</v>
      </c>
      <c r="C4" s="1">
        <v>1</v>
      </c>
      <c r="D4" s="1">
        <v>1</v>
      </c>
      <c r="E4" s="1">
        <v>0</v>
      </c>
      <c r="F4" s="1">
        <v>13</v>
      </c>
      <c r="G4" s="1">
        <v>6</v>
      </c>
      <c r="H4" s="1">
        <v>3</v>
      </c>
      <c r="I4" s="1">
        <v>1</v>
      </c>
      <c r="J4" s="1">
        <v>5</v>
      </c>
      <c r="K4" s="1">
        <v>5</v>
      </c>
      <c r="L4" s="1">
        <v>1</v>
      </c>
      <c r="M4" s="1">
        <v>0</v>
      </c>
      <c r="N4" s="5">
        <v>12.8</v>
      </c>
      <c r="O4" s="6">
        <v>163.84</v>
      </c>
      <c r="P4" s="5">
        <v>201</v>
      </c>
      <c r="Q4">
        <v>112.00738664622469</v>
      </c>
      <c r="R4" s="6">
        <v>16.399660000000004</v>
      </c>
      <c r="S4" s="6">
        <v>135.03300000000002</v>
      </c>
      <c r="T4" s="6">
        <v>1039.1291999999999</v>
      </c>
      <c r="U4" s="6">
        <v>333.33333333333366</v>
      </c>
      <c r="V4" s="6">
        <f t="shared" si="0"/>
        <v>1.1072099696478683</v>
      </c>
      <c r="W4" s="6">
        <f t="shared" si="1"/>
        <v>2.3031960574204891</v>
      </c>
      <c r="X4" s="6">
        <v>2.049246664401549</v>
      </c>
      <c r="Y4" s="6">
        <f t="shared" si="2"/>
        <v>1.2148348442882777</v>
      </c>
      <c r="Z4" s="6">
        <f t="shared" si="2"/>
        <v>2.1304399163952565</v>
      </c>
      <c r="AA4" s="6">
        <f t="shared" si="2"/>
        <v>3.0166695488648285</v>
      </c>
      <c r="AB4" s="6">
        <f t="shared" si="2"/>
        <v>2.5228787452803378</v>
      </c>
    </row>
    <row r="5" spans="1:28">
      <c r="A5" s="1">
        <v>4</v>
      </c>
      <c r="B5" s="1">
        <v>1</v>
      </c>
      <c r="C5" s="1">
        <v>0</v>
      </c>
      <c r="D5" s="1">
        <v>0</v>
      </c>
      <c r="E5" s="1">
        <v>0</v>
      </c>
      <c r="F5" s="1">
        <v>1</v>
      </c>
      <c r="G5" s="1">
        <v>6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0</v>
      </c>
      <c r="N5" s="5">
        <v>42.8</v>
      </c>
      <c r="O5" s="6">
        <v>1831.84</v>
      </c>
      <c r="P5" s="5">
        <v>376</v>
      </c>
      <c r="Q5">
        <v>367.66496551835189</v>
      </c>
      <c r="R5" s="6">
        <v>93.740300000000005</v>
      </c>
      <c r="S5" s="6">
        <v>180.04399999999998</v>
      </c>
      <c r="T5" s="6">
        <v>7351.82</v>
      </c>
      <c r="U5" s="6">
        <v>1155.5555555555563</v>
      </c>
      <c r="V5" s="6">
        <f t="shared" si="0"/>
        <v>1.631443769013172</v>
      </c>
      <c r="W5" s="6">
        <f t="shared" si="1"/>
        <v>2.5751878449276608</v>
      </c>
      <c r="X5" s="6">
        <v>2.565452248288882</v>
      </c>
      <c r="Y5" s="6">
        <f t="shared" si="2"/>
        <v>1.9719263390725643</v>
      </c>
      <c r="Z5" s="6">
        <f t="shared" si="2"/>
        <v>2.2553786530035564</v>
      </c>
      <c r="AA5" s="6">
        <f t="shared" si="2"/>
        <v>3.8663948653579627</v>
      </c>
      <c r="AB5" s="6">
        <f t="shared" si="2"/>
        <v>3.0627908298594559</v>
      </c>
    </row>
    <row r="6" spans="1:28">
      <c r="A6" s="1">
        <v>5</v>
      </c>
      <c r="B6" s="1">
        <v>1</v>
      </c>
      <c r="C6" s="1">
        <v>1</v>
      </c>
      <c r="D6" s="1">
        <v>0</v>
      </c>
      <c r="E6" s="1">
        <v>0</v>
      </c>
      <c r="F6" s="1">
        <v>8</v>
      </c>
      <c r="G6" s="1">
        <v>6</v>
      </c>
      <c r="H6" s="1">
        <v>2</v>
      </c>
      <c r="I6" s="1">
        <v>1</v>
      </c>
      <c r="J6" s="1">
        <v>3</v>
      </c>
      <c r="K6" s="1">
        <v>3</v>
      </c>
      <c r="L6" s="1">
        <v>1</v>
      </c>
      <c r="M6" s="1">
        <v>0</v>
      </c>
      <c r="N6" s="5">
        <v>10.8</v>
      </c>
      <c r="O6" s="6">
        <v>116.64</v>
      </c>
      <c r="P6" s="5">
        <v>226</v>
      </c>
      <c r="Q6">
        <v>138.66481582392606</v>
      </c>
      <c r="R6" s="6">
        <v>8.9630600000000005</v>
      </c>
      <c r="S6" s="6">
        <v>46.478749999999998</v>
      </c>
      <c r="T6" s="6">
        <v>246.87502222222193</v>
      </c>
      <c r="U6" s="6">
        <v>88.888888888888346</v>
      </c>
      <c r="V6" s="6">
        <f t="shared" si="0"/>
        <v>1.0334237554869496</v>
      </c>
      <c r="W6" s="6">
        <f t="shared" si="1"/>
        <v>2.3541084391474008</v>
      </c>
      <c r="X6" s="6">
        <v>2.141966279155973</v>
      </c>
      <c r="Y6" s="6">
        <f t="shared" si="2"/>
        <v>0.9524563036618704</v>
      </c>
      <c r="Z6" s="6">
        <f t="shared" si="2"/>
        <v>1.6672544396188864</v>
      </c>
      <c r="AA6" s="6">
        <f t="shared" si="2"/>
        <v>2.3924771520631447</v>
      </c>
      <c r="AB6" s="6">
        <f t="shared" si="2"/>
        <v>1.9488474775526161</v>
      </c>
    </row>
    <row r="7" spans="1:28">
      <c r="A7" s="1">
        <v>6</v>
      </c>
      <c r="B7" s="1">
        <v>1</v>
      </c>
      <c r="C7" s="1">
        <v>0</v>
      </c>
      <c r="D7" s="1">
        <v>0</v>
      </c>
      <c r="E7" s="1">
        <v>0</v>
      </c>
      <c r="F7" s="1">
        <v>2</v>
      </c>
      <c r="G7" s="1">
        <v>6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0</v>
      </c>
      <c r="N7" s="5">
        <v>146.80000000000001</v>
      </c>
      <c r="O7" s="6">
        <v>21550.240000000002</v>
      </c>
      <c r="P7" s="5">
        <v>401</v>
      </c>
      <c r="Q7">
        <v>417.88528234172946</v>
      </c>
      <c r="R7" s="6">
        <v>174.173</v>
      </c>
      <c r="S7" s="6">
        <v>359.30520000000001</v>
      </c>
      <c r="T7" s="6">
        <v>44455.177777777775</v>
      </c>
      <c r="U7" s="6">
        <v>13888.888888888889</v>
      </c>
      <c r="V7" s="6">
        <f t="shared" si="0"/>
        <v>2.1667260555800518</v>
      </c>
      <c r="W7" s="6">
        <f t="shared" si="1"/>
        <v>2.6031443726201822</v>
      </c>
      <c r="X7" s="6">
        <v>2.6210570758329541</v>
      </c>
      <c r="Y7" s="6">
        <f t="shared" si="2"/>
        <v>2.2409808323029141</v>
      </c>
      <c r="Z7" s="6">
        <f t="shared" si="2"/>
        <v>2.5554635025232249</v>
      </c>
      <c r="AA7" s="6">
        <f t="shared" si="2"/>
        <v>4.6479223513435404</v>
      </c>
      <c r="AB7" s="6">
        <f t="shared" si="2"/>
        <v>4.1426675035687319</v>
      </c>
    </row>
    <row r="8" spans="1:28">
      <c r="A8" s="1">
        <v>7</v>
      </c>
      <c r="B8" s="1">
        <v>1</v>
      </c>
      <c r="C8" s="1">
        <v>1</v>
      </c>
      <c r="D8" s="1">
        <v>1</v>
      </c>
      <c r="E8" s="1">
        <v>0</v>
      </c>
      <c r="F8" s="1">
        <v>24</v>
      </c>
      <c r="G8" s="1">
        <v>18</v>
      </c>
      <c r="H8" s="1">
        <v>3</v>
      </c>
      <c r="I8" s="1">
        <v>1</v>
      </c>
      <c r="J8" s="1">
        <v>6</v>
      </c>
      <c r="K8" s="1">
        <v>7</v>
      </c>
      <c r="L8" s="1">
        <v>1</v>
      </c>
      <c r="M8" s="1">
        <v>0</v>
      </c>
      <c r="N8" s="5">
        <v>24.8</v>
      </c>
      <c r="O8" s="6">
        <v>615.04</v>
      </c>
      <c r="P8" s="5">
        <v>426</v>
      </c>
      <c r="Q8">
        <v>471.6878944723527</v>
      </c>
      <c r="R8" s="6">
        <v>46.380899999999997</v>
      </c>
      <c r="S8" s="6">
        <v>76.714399999999998</v>
      </c>
      <c r="T8" s="6">
        <v>308.41240000000067</v>
      </c>
      <c r="U8" s="6">
        <v>88.888888888888346</v>
      </c>
      <c r="V8" s="6">
        <f t="shared" si="0"/>
        <v>1.3944516808262162</v>
      </c>
      <c r="W8" s="6">
        <f t="shared" si="1"/>
        <v>2.6294095991027189</v>
      </c>
      <c r="X8" s="6">
        <v>2.6736547305358855</v>
      </c>
      <c r="Y8" s="6">
        <f t="shared" si="2"/>
        <v>1.6663391716681051</v>
      </c>
      <c r="Z8" s="6">
        <f t="shared" si="2"/>
        <v>1.8848768926784585</v>
      </c>
      <c r="AA8" s="6">
        <f t="shared" si="2"/>
        <v>2.4891318309331183</v>
      </c>
      <c r="AB8" s="6">
        <f t="shared" si="2"/>
        <v>1.9488474775526161</v>
      </c>
    </row>
    <row r="9" spans="1:28">
      <c r="A9" s="1">
        <v>8</v>
      </c>
      <c r="B9" s="1">
        <v>1</v>
      </c>
      <c r="C9" s="1">
        <v>1</v>
      </c>
      <c r="D9" s="1">
        <v>1</v>
      </c>
      <c r="E9" s="1">
        <v>0</v>
      </c>
      <c r="F9" s="1">
        <v>26</v>
      </c>
      <c r="G9" s="1">
        <v>18</v>
      </c>
      <c r="H9" s="1">
        <v>3</v>
      </c>
      <c r="I9" s="1">
        <v>1</v>
      </c>
      <c r="J9" s="1">
        <v>6</v>
      </c>
      <c r="K9" s="1">
        <v>7</v>
      </c>
      <c r="L9" s="1">
        <v>1</v>
      </c>
      <c r="M9" s="1">
        <v>0</v>
      </c>
      <c r="N9" s="5">
        <v>50.8</v>
      </c>
      <c r="O9" s="6">
        <v>2580.64</v>
      </c>
      <c r="P9" s="5">
        <v>301</v>
      </c>
      <c r="Q9">
        <v>237.99808593525557</v>
      </c>
      <c r="R9" s="6">
        <v>22.896900000000002</v>
      </c>
      <c r="S9" s="6">
        <v>51.860500000000002</v>
      </c>
      <c r="T9" s="6">
        <v>4475.0342222222216</v>
      </c>
      <c r="U9" s="6">
        <v>1066.6666666666665</v>
      </c>
      <c r="V9" s="6">
        <f t="shared" si="0"/>
        <v>1.7058637122839193</v>
      </c>
      <c r="W9" s="6">
        <f t="shared" si="1"/>
        <v>2.4785664955938436</v>
      </c>
      <c r="X9" s="6">
        <v>2.376573464320801</v>
      </c>
      <c r="Y9" s="6">
        <f t="shared" si="2"/>
        <v>1.3597766874041628</v>
      </c>
      <c r="Z9" s="6">
        <f t="shared" si="2"/>
        <v>1.714836699594809</v>
      </c>
      <c r="AA9" s="6">
        <f t="shared" si="2"/>
        <v>3.6507963608732581</v>
      </c>
      <c r="AB9" s="6">
        <f t="shared" si="2"/>
        <v>3.0280287236002437</v>
      </c>
    </row>
    <row r="10" spans="1:28">
      <c r="A10" s="1">
        <v>9</v>
      </c>
      <c r="B10" s="1">
        <v>1</v>
      </c>
      <c r="C10" s="1">
        <v>1</v>
      </c>
      <c r="D10" s="1">
        <v>1</v>
      </c>
      <c r="E10" s="1">
        <v>0</v>
      </c>
      <c r="F10" s="1">
        <v>21</v>
      </c>
      <c r="G10" s="1">
        <v>18</v>
      </c>
      <c r="H10" s="1">
        <v>3</v>
      </c>
      <c r="I10" s="1">
        <v>1</v>
      </c>
      <c r="J10" s="1">
        <v>6</v>
      </c>
      <c r="K10" s="1">
        <v>7</v>
      </c>
      <c r="L10" s="1">
        <v>1</v>
      </c>
      <c r="M10" s="1">
        <v>0</v>
      </c>
      <c r="N10" s="5">
        <v>20.8</v>
      </c>
      <c r="O10" s="6">
        <v>432.64</v>
      </c>
      <c r="P10" s="5">
        <v>251</v>
      </c>
      <c r="Q10">
        <v>168.5049470211209</v>
      </c>
      <c r="R10" s="6">
        <v>97.85</v>
      </c>
      <c r="S10" s="6">
        <v>52.251899999999999</v>
      </c>
      <c r="T10" s="6">
        <v>8163.1511111111131</v>
      </c>
      <c r="U10" s="6">
        <v>844.44444444444548</v>
      </c>
      <c r="V10" s="6">
        <f t="shared" si="0"/>
        <v>1.3180633349627615</v>
      </c>
      <c r="W10" s="6">
        <f t="shared" si="1"/>
        <v>2.399673721481038</v>
      </c>
      <c r="X10" s="6">
        <v>2.226612655548228</v>
      </c>
      <c r="Y10" s="6">
        <f t="shared" si="2"/>
        <v>1.9905608299940198</v>
      </c>
      <c r="Z10" s="6">
        <f t="shared" si="2"/>
        <v>1.7181020870225763</v>
      </c>
      <c r="AA10" s="6">
        <f t="shared" si="2"/>
        <v>3.9118578359597027</v>
      </c>
      <c r="AB10" s="6">
        <f t="shared" si="2"/>
        <v>2.9265710828414671</v>
      </c>
    </row>
    <row r="11" spans="1:28">
      <c r="A11" s="1">
        <v>10</v>
      </c>
      <c r="B11" s="1">
        <v>1</v>
      </c>
      <c r="C11" s="1">
        <v>1</v>
      </c>
      <c r="D11" s="1">
        <v>1</v>
      </c>
      <c r="E11" s="1">
        <v>0</v>
      </c>
      <c r="F11" s="1">
        <v>25</v>
      </c>
      <c r="G11" s="1">
        <v>18</v>
      </c>
      <c r="H11" s="1">
        <v>3</v>
      </c>
      <c r="I11" s="1">
        <v>1</v>
      </c>
      <c r="J11" s="1">
        <v>6</v>
      </c>
      <c r="K11" s="1">
        <v>7</v>
      </c>
      <c r="L11" s="1">
        <v>1</v>
      </c>
      <c r="M11" s="1">
        <v>0</v>
      </c>
      <c r="N11" s="5">
        <v>38.799999999999997</v>
      </c>
      <c r="O11" s="6">
        <v>1505.44</v>
      </c>
      <c r="P11" s="5">
        <v>351</v>
      </c>
      <c r="Q11">
        <v>320.97811743734667</v>
      </c>
      <c r="R11" s="6">
        <v>74.561700000000016</v>
      </c>
      <c r="S11" s="6">
        <v>14.6775</v>
      </c>
      <c r="T11" s="6">
        <v>2758.4543111111116</v>
      </c>
      <c r="U11" s="6">
        <v>422.22222222222194</v>
      </c>
      <c r="V11" s="6">
        <f t="shared" si="0"/>
        <v>1.5888317255942073</v>
      </c>
      <c r="W11" s="6">
        <f t="shared" si="1"/>
        <v>2.5453071164658239</v>
      </c>
      <c r="X11" s="6">
        <v>2.5064754255508195</v>
      </c>
      <c r="Y11" s="6">
        <f t="shared" si="2"/>
        <v>1.8725158013336205</v>
      </c>
      <c r="Z11" s="6">
        <f t="shared" si="2"/>
        <v>1.1666520890497012</v>
      </c>
      <c r="AA11" s="6">
        <f t="shared" si="2"/>
        <v>3.4406657950377664</v>
      </c>
      <c r="AB11" s="6">
        <f t="shared" si="2"/>
        <v>2.6255410871774849</v>
      </c>
    </row>
    <row r="12" spans="1:28">
      <c r="A12" s="1">
        <v>11</v>
      </c>
      <c r="B12" s="1">
        <v>1</v>
      </c>
      <c r="C12" s="1">
        <v>1</v>
      </c>
      <c r="D12" s="1">
        <v>1</v>
      </c>
      <c r="E12" s="1">
        <v>0</v>
      </c>
      <c r="F12" s="1">
        <v>20</v>
      </c>
      <c r="G12" s="1">
        <v>18</v>
      </c>
      <c r="H12" s="1">
        <v>3</v>
      </c>
      <c r="I12" s="1">
        <v>1</v>
      </c>
      <c r="J12" s="1">
        <v>6</v>
      </c>
      <c r="K12" s="1">
        <v>7</v>
      </c>
      <c r="L12" s="1">
        <v>1</v>
      </c>
      <c r="M12" s="1">
        <v>0</v>
      </c>
      <c r="N12" s="5">
        <v>38.799999999999997</v>
      </c>
      <c r="O12" s="6">
        <v>1505.44</v>
      </c>
      <c r="P12" s="5">
        <v>501</v>
      </c>
      <c r="Q12">
        <v>655.04851954613616</v>
      </c>
      <c r="R12" s="6">
        <v>85.325200000000009</v>
      </c>
      <c r="S12" s="6">
        <v>91.000500000000002</v>
      </c>
      <c r="T12" s="6">
        <v>5087.9558222222222</v>
      </c>
      <c r="U12" s="6">
        <v>555.55555555555452</v>
      </c>
      <c r="V12" s="6">
        <f t="shared" si="0"/>
        <v>1.5888317255942073</v>
      </c>
      <c r="W12" s="6">
        <f t="shared" si="1"/>
        <v>2.6998377258672459</v>
      </c>
      <c r="X12" s="6">
        <v>2.8162734694432907</v>
      </c>
      <c r="Y12" s="6">
        <f t="shared" si="2"/>
        <v>1.9310773149265872</v>
      </c>
      <c r="Z12" s="6">
        <f t="shared" si="2"/>
        <v>1.9590437785479551</v>
      </c>
      <c r="AA12" s="6">
        <f t="shared" si="2"/>
        <v>3.7065433317582022</v>
      </c>
      <c r="AB12" s="6">
        <f t="shared" si="2"/>
        <v>2.7447274948966931</v>
      </c>
    </row>
    <row r="13" spans="1:28">
      <c r="A13" s="1">
        <v>12</v>
      </c>
      <c r="B13" s="1">
        <v>1</v>
      </c>
      <c r="C13" s="1">
        <v>1</v>
      </c>
      <c r="D13" s="1">
        <v>1</v>
      </c>
      <c r="E13" s="1">
        <v>1</v>
      </c>
      <c r="F13" s="1">
        <v>18</v>
      </c>
      <c r="G13" s="1">
        <v>6</v>
      </c>
      <c r="H13" s="1">
        <v>3</v>
      </c>
      <c r="I13" s="1">
        <v>1</v>
      </c>
      <c r="J13" s="1">
        <v>5</v>
      </c>
      <c r="K13" s="1">
        <v>6</v>
      </c>
      <c r="L13" s="1">
        <v>1</v>
      </c>
      <c r="M13" s="1">
        <v>0</v>
      </c>
      <c r="N13" s="5">
        <v>72.8</v>
      </c>
      <c r="O13" s="6">
        <v>5299.84</v>
      </c>
      <c r="P13" s="5">
        <v>376</v>
      </c>
      <c r="Q13">
        <v>367.66496551835189</v>
      </c>
      <c r="R13" s="6">
        <v>129.7491</v>
      </c>
      <c r="S13" s="6">
        <v>69.96275</v>
      </c>
      <c r="T13" s="6">
        <v>13168.762666666669</v>
      </c>
      <c r="U13" s="6">
        <v>3111.1111111111122</v>
      </c>
      <c r="V13" s="6">
        <f t="shared" si="0"/>
        <v>1.8621313793130372</v>
      </c>
      <c r="W13" s="6">
        <f t="shared" si="1"/>
        <v>2.5751878449276608</v>
      </c>
      <c r="X13" s="6">
        <v>2.565452248288882</v>
      </c>
      <c r="Y13" s="6">
        <f t="shared" si="2"/>
        <v>2.1131043540627741</v>
      </c>
      <c r="Z13" s="6">
        <f t="shared" si="2"/>
        <v>1.8448668717951007</v>
      </c>
      <c r="AA13" s="6">
        <f t="shared" si="2"/>
        <v>4.1195449706881631</v>
      </c>
      <c r="AB13" s="6">
        <f t="shared" si="2"/>
        <v>3.4929155219028947</v>
      </c>
    </row>
    <row r="14" spans="1:28">
      <c r="A14" s="1">
        <v>13</v>
      </c>
      <c r="B14" s="1">
        <v>1</v>
      </c>
      <c r="C14" s="1">
        <v>1</v>
      </c>
      <c r="D14" s="1">
        <v>1</v>
      </c>
      <c r="E14" s="1">
        <v>1</v>
      </c>
      <c r="F14" s="1">
        <v>25</v>
      </c>
      <c r="G14" s="1">
        <v>18</v>
      </c>
      <c r="H14" s="1">
        <v>3</v>
      </c>
      <c r="I14" s="1">
        <v>1</v>
      </c>
      <c r="J14" s="1">
        <v>6</v>
      </c>
      <c r="K14" s="1">
        <v>7</v>
      </c>
      <c r="L14" s="1">
        <v>1</v>
      </c>
      <c r="M14" s="1">
        <v>0</v>
      </c>
      <c r="N14" s="5">
        <v>26.8</v>
      </c>
      <c r="O14" s="6">
        <v>718.24</v>
      </c>
      <c r="P14" s="5">
        <v>276</v>
      </c>
      <c r="Q14">
        <v>201.59500794760282</v>
      </c>
      <c r="R14" s="6">
        <v>91.978999999999999</v>
      </c>
      <c r="S14" s="6">
        <v>44.326050000000002</v>
      </c>
      <c r="T14" s="6">
        <v>5245.9062666666669</v>
      </c>
      <c r="U14" s="6">
        <v>733.33333333333428</v>
      </c>
      <c r="V14" s="6">
        <f t="shared" si="0"/>
        <v>1.4281347940287887</v>
      </c>
      <c r="W14" s="6">
        <f t="shared" si="1"/>
        <v>2.4409090820652177</v>
      </c>
      <c r="X14" s="6">
        <v>2.3044797735688629</v>
      </c>
      <c r="Y14" s="6">
        <f t="shared" si="2"/>
        <v>1.9636886835937186</v>
      </c>
      <c r="Z14" s="6">
        <f t="shared" si="2"/>
        <v>1.6466590320068519</v>
      </c>
      <c r="AA14" s="6">
        <f t="shared" si="2"/>
        <v>3.7198205263928941</v>
      </c>
      <c r="AB14" s="6">
        <f t="shared" si="2"/>
        <v>2.8653014261025445</v>
      </c>
    </row>
    <row r="15" spans="1:28">
      <c r="A15" s="1">
        <v>14</v>
      </c>
      <c r="B15" s="1">
        <v>1</v>
      </c>
      <c r="C15" s="1">
        <v>1</v>
      </c>
      <c r="D15" s="1">
        <v>1</v>
      </c>
      <c r="E15" s="1">
        <v>1</v>
      </c>
      <c r="F15" s="1">
        <v>14</v>
      </c>
      <c r="G15" s="1">
        <v>6</v>
      </c>
      <c r="H15" s="1">
        <v>3</v>
      </c>
      <c r="I15" s="1">
        <v>1</v>
      </c>
      <c r="J15" s="1">
        <v>5</v>
      </c>
      <c r="K15" s="1">
        <v>5</v>
      </c>
      <c r="L15" s="1">
        <v>1</v>
      </c>
      <c r="M15" s="1">
        <v>0</v>
      </c>
      <c r="N15" s="5">
        <v>24.8</v>
      </c>
      <c r="O15" s="6">
        <v>615.04</v>
      </c>
      <c r="P15" s="5">
        <v>301</v>
      </c>
      <c r="Q15">
        <v>237.99808593525557</v>
      </c>
      <c r="R15" s="6">
        <v>60.862700000000011</v>
      </c>
      <c r="S15" s="6">
        <v>54.600300000000004</v>
      </c>
      <c r="T15" s="6">
        <v>5048.2546666666658</v>
      </c>
      <c r="U15" s="6">
        <v>555.55555555555452</v>
      </c>
      <c r="V15" s="6">
        <f t="shared" si="0"/>
        <v>1.3944516808262162</v>
      </c>
      <c r="W15" s="6">
        <f t="shared" si="1"/>
        <v>2.4785664955938436</v>
      </c>
      <c r="X15" s="6">
        <v>2.376573464320801</v>
      </c>
      <c r="Y15" s="6">
        <f t="shared" si="2"/>
        <v>1.7843512146848388</v>
      </c>
      <c r="Z15" s="6">
        <f t="shared" si="2"/>
        <v>1.7371950289315987</v>
      </c>
      <c r="AA15" s="6">
        <f t="shared" si="2"/>
        <v>3.7031412554156167</v>
      </c>
      <c r="AB15" s="6">
        <f t="shared" si="2"/>
        <v>2.7447274948966931</v>
      </c>
    </row>
    <row r="16" spans="1:28">
      <c r="A16" s="1">
        <v>15</v>
      </c>
      <c r="B16" s="1">
        <v>1</v>
      </c>
      <c r="C16" s="1">
        <v>1</v>
      </c>
      <c r="D16" s="1">
        <v>1</v>
      </c>
      <c r="E16" s="1">
        <v>0</v>
      </c>
      <c r="F16" s="1">
        <v>18</v>
      </c>
      <c r="G16" s="1">
        <v>6</v>
      </c>
      <c r="H16" s="1">
        <v>3</v>
      </c>
      <c r="I16" s="1">
        <v>1</v>
      </c>
      <c r="J16" s="1">
        <v>5</v>
      </c>
      <c r="K16" s="1">
        <v>6</v>
      </c>
      <c r="L16" s="1">
        <v>1</v>
      </c>
      <c r="M16" s="1">
        <v>0</v>
      </c>
      <c r="N16" s="5">
        <v>30.8</v>
      </c>
      <c r="O16" s="6">
        <v>948.64</v>
      </c>
      <c r="P16" s="5">
        <v>376</v>
      </c>
      <c r="Q16">
        <v>367.66496551835189</v>
      </c>
      <c r="R16" s="6">
        <v>103.91670000000002</v>
      </c>
      <c r="S16" s="6">
        <v>144.81800000000001</v>
      </c>
      <c r="T16" s="6">
        <v>9918.0093333333334</v>
      </c>
      <c r="U16" s="6">
        <v>1511.1111111111113</v>
      </c>
      <c r="V16" s="6">
        <f t="shared" si="0"/>
        <v>1.4885507165004443</v>
      </c>
      <c r="W16" s="6">
        <f t="shared" si="1"/>
        <v>2.5751878449276608</v>
      </c>
      <c r="X16" s="6">
        <v>2.565452248288882</v>
      </c>
      <c r="Y16" s="6">
        <f t="shared" si="2"/>
        <v>2.0166853467394703</v>
      </c>
      <c r="Z16" s="6">
        <f t="shared" si="2"/>
        <v>2.1608225453889776</v>
      </c>
      <c r="AA16" s="6">
        <f t="shared" si="2"/>
        <v>3.996424512647696</v>
      </c>
      <c r="AB16" s="6">
        <f t="shared" si="2"/>
        <v>3.1792963989308927</v>
      </c>
    </row>
    <row r="17" spans="1:28">
      <c r="A17" s="1">
        <v>16</v>
      </c>
      <c r="B17" s="1">
        <v>1</v>
      </c>
      <c r="C17" s="1">
        <v>1</v>
      </c>
      <c r="D17" s="1">
        <v>1</v>
      </c>
      <c r="E17" s="1">
        <v>1</v>
      </c>
      <c r="F17" s="1">
        <v>21</v>
      </c>
      <c r="G17" s="1">
        <v>18</v>
      </c>
      <c r="H17" s="1">
        <v>3</v>
      </c>
      <c r="I17" s="1">
        <v>1</v>
      </c>
      <c r="J17" s="1">
        <v>6</v>
      </c>
      <c r="K17" s="1">
        <v>7</v>
      </c>
      <c r="L17" s="1">
        <v>1</v>
      </c>
      <c r="M17" s="1">
        <v>0</v>
      </c>
      <c r="N17" s="5">
        <v>26.8</v>
      </c>
      <c r="O17" s="6">
        <v>718.24</v>
      </c>
      <c r="P17" s="5">
        <v>251</v>
      </c>
      <c r="Q17">
        <v>168.5049470211209</v>
      </c>
      <c r="R17" s="6">
        <v>57.340100000000007</v>
      </c>
      <c r="S17" s="6">
        <v>30.039949999999997</v>
      </c>
      <c r="T17" s="6">
        <v>3083.9953333333333</v>
      </c>
      <c r="U17" s="6">
        <v>755.55555555555566</v>
      </c>
      <c r="V17" s="6">
        <f t="shared" si="0"/>
        <v>1.4281347940287887</v>
      </c>
      <c r="W17" s="6">
        <f t="shared" si="1"/>
        <v>2.399673721481038</v>
      </c>
      <c r="X17" s="6">
        <v>2.226612655548228</v>
      </c>
      <c r="Y17" s="6">
        <f t="shared" si="2"/>
        <v>1.7584584460121107</v>
      </c>
      <c r="Z17" s="6">
        <f t="shared" si="2"/>
        <v>1.4776992054712064</v>
      </c>
      <c r="AA17" s="6">
        <f t="shared" si="2"/>
        <v>3.4891137122099454</v>
      </c>
      <c r="AB17" s="6">
        <f t="shared" si="2"/>
        <v>2.8782664032669114</v>
      </c>
    </row>
    <row r="18" spans="1:28">
      <c r="A18" s="1">
        <v>17</v>
      </c>
      <c r="B18" s="1">
        <v>1</v>
      </c>
      <c r="C18" s="1">
        <v>0</v>
      </c>
      <c r="D18" s="1">
        <v>0</v>
      </c>
      <c r="E18" s="1">
        <v>1</v>
      </c>
      <c r="F18" s="1">
        <v>1</v>
      </c>
      <c r="G18" s="1">
        <v>6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0</v>
      </c>
      <c r="N18" s="5">
        <v>58.8</v>
      </c>
      <c r="O18" s="6">
        <v>3457.44</v>
      </c>
      <c r="P18" s="5">
        <v>376</v>
      </c>
      <c r="Q18">
        <v>367.66496551835189</v>
      </c>
      <c r="R18" s="6">
        <v>82.976800000000011</v>
      </c>
      <c r="S18" s="6">
        <v>266.15199999999999</v>
      </c>
      <c r="T18" s="6">
        <v>20617.249777777775</v>
      </c>
      <c r="U18" s="6">
        <v>4444.4444444444416</v>
      </c>
      <c r="V18" s="6">
        <f t="shared" si="0"/>
        <v>1.7693773260761385</v>
      </c>
      <c r="W18" s="6">
        <f t="shared" si="1"/>
        <v>2.5751878449276608</v>
      </c>
      <c r="X18" s="6">
        <v>2.565452248288882</v>
      </c>
      <c r="Y18" s="6">
        <f t="shared" si="2"/>
        <v>1.9189566822507338</v>
      </c>
      <c r="Z18" s="6">
        <f t="shared" si="2"/>
        <v>2.4251297340282187</v>
      </c>
      <c r="AA18" s="6">
        <f t="shared" si="2"/>
        <v>4.3142307324317342</v>
      </c>
      <c r="AB18" s="6">
        <f t="shared" si="2"/>
        <v>3.6478174818886373</v>
      </c>
    </row>
    <row r="19" spans="1:28">
      <c r="A19" s="1">
        <v>18</v>
      </c>
      <c r="B19" s="1">
        <v>1</v>
      </c>
      <c r="C19" s="1">
        <v>1</v>
      </c>
      <c r="D19" s="1">
        <v>1</v>
      </c>
      <c r="E19" s="1">
        <v>0</v>
      </c>
      <c r="F19" s="1">
        <v>22</v>
      </c>
      <c r="G19" s="1">
        <v>18</v>
      </c>
      <c r="H19" s="1">
        <v>3</v>
      </c>
      <c r="I19" s="1">
        <v>1</v>
      </c>
      <c r="J19" s="1">
        <v>6</v>
      </c>
      <c r="K19" s="1">
        <v>7</v>
      </c>
      <c r="L19" s="1">
        <v>1</v>
      </c>
      <c r="M19" s="1">
        <v>0</v>
      </c>
      <c r="N19" s="5">
        <v>14.8</v>
      </c>
      <c r="O19" s="6">
        <v>219.04</v>
      </c>
      <c r="P19" s="5">
        <v>176</v>
      </c>
      <c r="Q19">
        <v>88.460600982037548</v>
      </c>
      <c r="R19" s="6">
        <v>157.9299</v>
      </c>
      <c r="S19" s="6">
        <v>63.602499999999999</v>
      </c>
      <c r="T19" s="6">
        <v>4717.9595555555552</v>
      </c>
      <c r="U19" s="6">
        <v>400.10000000100001</v>
      </c>
      <c r="V19" s="6">
        <f t="shared" si="0"/>
        <v>1.1702617153949575</v>
      </c>
      <c r="W19" s="6">
        <f t="shared" si="1"/>
        <v>2.2455126678141499</v>
      </c>
      <c r="X19" s="6">
        <v>1.946749885545636</v>
      </c>
      <c r="Y19" s="6">
        <f t="shared" si="2"/>
        <v>2.1984643603800715</v>
      </c>
      <c r="Z19" s="6">
        <f t="shared" si="2"/>
        <v>1.8034741866368755</v>
      </c>
      <c r="AA19" s="6">
        <f t="shared" si="2"/>
        <v>3.6737542136003754</v>
      </c>
      <c r="AB19" s="6">
        <f t="shared" si="2"/>
        <v>2.6021685513800827</v>
      </c>
    </row>
    <row r="20" spans="1:28">
      <c r="A20" s="1">
        <v>19</v>
      </c>
      <c r="B20" s="1">
        <v>1</v>
      </c>
      <c r="C20" s="1">
        <v>1</v>
      </c>
      <c r="D20" s="1">
        <v>1</v>
      </c>
      <c r="E20" s="1">
        <v>1</v>
      </c>
      <c r="F20" s="1">
        <v>26</v>
      </c>
      <c r="G20" s="1">
        <v>18</v>
      </c>
      <c r="H20" s="1">
        <v>3</v>
      </c>
      <c r="I20" s="1">
        <v>1</v>
      </c>
      <c r="J20" s="1">
        <v>6</v>
      </c>
      <c r="K20" s="1">
        <v>7</v>
      </c>
      <c r="L20" s="1">
        <v>1</v>
      </c>
      <c r="M20" s="1">
        <v>0</v>
      </c>
      <c r="N20" s="5">
        <v>12.8</v>
      </c>
      <c r="O20" s="6">
        <v>163.84</v>
      </c>
      <c r="P20" s="5">
        <v>276</v>
      </c>
      <c r="Q20">
        <v>201.59500794760282</v>
      </c>
      <c r="R20" s="6">
        <v>65.950900000000004</v>
      </c>
      <c r="S20" s="6">
        <v>103.721</v>
      </c>
      <c r="T20" s="6">
        <v>6077.9437777777775</v>
      </c>
      <c r="U20" s="6">
        <v>1466.6666666666654</v>
      </c>
      <c r="V20" s="6">
        <f t="shared" si="0"/>
        <v>1.1072099696478683</v>
      </c>
      <c r="W20" s="6">
        <f t="shared" si="1"/>
        <v>2.4409090820652177</v>
      </c>
      <c r="X20" s="6">
        <v>2.3044797735688629</v>
      </c>
      <c r="Y20" s="6">
        <f t="shared" si="2"/>
        <v>1.8192207265293399</v>
      </c>
      <c r="Z20" s="6">
        <f t="shared" si="2"/>
        <v>2.01586669525879</v>
      </c>
      <c r="AA20" s="6">
        <f t="shared" si="2"/>
        <v>3.7837566784497807</v>
      </c>
      <c r="AB20" s="6">
        <f t="shared" si="2"/>
        <v>3.1663314217665248</v>
      </c>
    </row>
    <row r="21" spans="1:28">
      <c r="A21" s="1">
        <v>20</v>
      </c>
      <c r="B21" s="1">
        <v>1</v>
      </c>
      <c r="C21" s="1">
        <v>1</v>
      </c>
      <c r="D21" s="1">
        <v>1</v>
      </c>
      <c r="E21" s="1">
        <v>0</v>
      </c>
      <c r="F21" s="1">
        <v>17</v>
      </c>
      <c r="G21" s="1">
        <v>6</v>
      </c>
      <c r="H21" s="1">
        <v>3</v>
      </c>
      <c r="I21" s="1">
        <v>1</v>
      </c>
      <c r="J21" s="1">
        <v>5</v>
      </c>
      <c r="K21" s="1">
        <v>6</v>
      </c>
      <c r="L21" s="1">
        <v>1</v>
      </c>
      <c r="M21" s="1">
        <v>0</v>
      </c>
      <c r="N21" s="5">
        <v>20.8</v>
      </c>
      <c r="O21" s="6">
        <v>432.64</v>
      </c>
      <c r="P21" s="5">
        <v>276</v>
      </c>
      <c r="Q21">
        <v>201.59500794760282</v>
      </c>
      <c r="R21" s="6">
        <v>51.860500000000002</v>
      </c>
      <c r="S21" s="6">
        <v>179.2612</v>
      </c>
      <c r="T21" s="6">
        <v>4886.5188888888879</v>
      </c>
      <c r="U21" s="6">
        <v>933.33333333333394</v>
      </c>
      <c r="V21" s="6">
        <f t="shared" si="0"/>
        <v>1.3180633349627615</v>
      </c>
      <c r="W21" s="6">
        <f t="shared" si="1"/>
        <v>2.4409090820652177</v>
      </c>
      <c r="X21" s="6">
        <v>2.3044797735688629</v>
      </c>
      <c r="Y21" s="6">
        <f t="shared" si="2"/>
        <v>1.714836699594809</v>
      </c>
      <c r="Z21" s="6">
        <f t="shared" si="2"/>
        <v>2.2534862993258518</v>
      </c>
      <c r="AA21" s="6">
        <f t="shared" si="2"/>
        <v>3.6889995818793326</v>
      </c>
      <c r="AB21" s="6">
        <f t="shared" si="2"/>
        <v>2.9700367766225573</v>
      </c>
    </row>
    <row r="22" spans="1:28">
      <c r="A22" s="1">
        <v>21</v>
      </c>
      <c r="B22" s="1">
        <v>1</v>
      </c>
      <c r="C22" s="1">
        <v>1</v>
      </c>
      <c r="D22" s="1">
        <v>1</v>
      </c>
      <c r="E22" s="1">
        <v>0</v>
      </c>
      <c r="F22" s="1">
        <v>19</v>
      </c>
      <c r="G22" s="1">
        <v>6</v>
      </c>
      <c r="H22" s="1">
        <v>3</v>
      </c>
      <c r="I22" s="1">
        <v>1</v>
      </c>
      <c r="J22" s="1">
        <v>5</v>
      </c>
      <c r="K22" s="1">
        <v>6</v>
      </c>
      <c r="L22" s="1">
        <v>1</v>
      </c>
      <c r="M22" s="1">
        <v>0</v>
      </c>
      <c r="N22" s="5">
        <v>44.8</v>
      </c>
      <c r="O22" s="6">
        <v>2007.04</v>
      </c>
      <c r="P22" s="5">
        <v>351</v>
      </c>
      <c r="Q22">
        <v>320.97811743734667</v>
      </c>
      <c r="R22" s="6">
        <v>97.85</v>
      </c>
      <c r="S22" s="6">
        <v>751.48799999999994</v>
      </c>
      <c r="T22" s="6">
        <v>9657.7553333333344</v>
      </c>
      <c r="U22" s="6">
        <v>2577.7777777777778</v>
      </c>
      <c r="V22" s="6">
        <f t="shared" si="0"/>
        <v>1.651278013998144</v>
      </c>
      <c r="W22" s="6">
        <f t="shared" si="1"/>
        <v>2.5453071164658239</v>
      </c>
      <c r="X22" s="6">
        <v>2.5064754255508195</v>
      </c>
      <c r="Y22" s="6">
        <f t="shared" si="2"/>
        <v>1.9905608299940198</v>
      </c>
      <c r="Z22" s="6">
        <f t="shared" si="2"/>
        <v>2.8759220500255318</v>
      </c>
      <c r="AA22" s="6">
        <f t="shared" si="2"/>
        <v>3.9848761989180059</v>
      </c>
      <c r="AB22" s="6">
        <f t="shared" si="2"/>
        <v>3.4112454754515746</v>
      </c>
    </row>
    <row r="23" spans="1:28">
      <c r="A23" s="1">
        <v>22</v>
      </c>
      <c r="B23" s="1">
        <v>1</v>
      </c>
      <c r="C23" s="1">
        <v>0</v>
      </c>
      <c r="D23" s="1">
        <v>0</v>
      </c>
      <c r="E23" s="1">
        <v>0</v>
      </c>
      <c r="F23" s="1">
        <v>3</v>
      </c>
      <c r="G23" s="1">
        <v>6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5">
        <v>64.8</v>
      </c>
      <c r="O23" s="6">
        <v>4199.04</v>
      </c>
      <c r="P23" s="5">
        <v>351</v>
      </c>
      <c r="Q23">
        <v>320.97811743734667</v>
      </c>
      <c r="R23" s="6">
        <v>63.602499999999999</v>
      </c>
      <c r="S23" s="6">
        <v>223.48939999999999</v>
      </c>
      <c r="T23" s="6">
        <v>12065.712</v>
      </c>
      <c r="U23" s="6">
        <v>1800</v>
      </c>
      <c r="V23" s="6">
        <f t="shared" si="0"/>
        <v>1.8115750058705933</v>
      </c>
      <c r="W23" s="6">
        <f t="shared" si="1"/>
        <v>2.5453071164658239</v>
      </c>
      <c r="X23" s="6">
        <v>2.5064754255508195</v>
      </c>
      <c r="Y23" s="6">
        <f t="shared" si="2"/>
        <v>1.8034741866368755</v>
      </c>
      <c r="Z23" s="6">
        <f t="shared" si="2"/>
        <v>2.3492569295678303</v>
      </c>
      <c r="AA23" s="6">
        <f t="shared" si="2"/>
        <v>4.0815529548024045</v>
      </c>
      <c r="AB23" s="6">
        <f t="shared" si="2"/>
        <v>3.255272505103306</v>
      </c>
    </row>
    <row r="24" spans="1:28">
      <c r="A24" s="1">
        <v>23</v>
      </c>
      <c r="B24" s="1">
        <v>1</v>
      </c>
      <c r="C24" s="1">
        <v>1</v>
      </c>
      <c r="D24" s="1">
        <v>1</v>
      </c>
      <c r="E24" s="1">
        <v>1</v>
      </c>
      <c r="F24" s="1">
        <v>24</v>
      </c>
      <c r="G24" s="1">
        <v>18</v>
      </c>
      <c r="H24" s="1">
        <v>3</v>
      </c>
      <c r="I24" s="1">
        <v>1</v>
      </c>
      <c r="J24" s="1">
        <v>6</v>
      </c>
      <c r="K24" s="1">
        <v>7</v>
      </c>
      <c r="L24" s="1">
        <v>1</v>
      </c>
      <c r="M24" s="1">
        <v>0</v>
      </c>
      <c r="N24" s="5">
        <v>20.8</v>
      </c>
      <c r="O24" s="6">
        <v>432.64</v>
      </c>
      <c r="P24" s="5">
        <v>226</v>
      </c>
      <c r="Q24">
        <v>138.66481582392606</v>
      </c>
      <c r="R24" s="6">
        <v>36.5959</v>
      </c>
      <c r="S24" s="6">
        <v>67.027249999999995</v>
      </c>
      <c r="T24" s="6">
        <v>408.51782222222153</v>
      </c>
      <c r="U24" s="6">
        <v>66.666666666667027</v>
      </c>
      <c r="V24" s="6">
        <f t="shared" si="0"/>
        <v>1.3180633349627615</v>
      </c>
      <c r="W24" s="6">
        <f t="shared" si="1"/>
        <v>2.3541084391474008</v>
      </c>
      <c r="X24" s="6">
        <v>2.141966279155973</v>
      </c>
      <c r="Y24" s="6">
        <f t="shared" si="2"/>
        <v>1.5634324321945001</v>
      </c>
      <c r="Z24" s="6">
        <f t="shared" si="2"/>
        <v>1.8262514014864455</v>
      </c>
      <c r="AA24" s="6">
        <f t="shared" si="2"/>
        <v>2.6112110080506299</v>
      </c>
      <c r="AB24" s="6">
        <f t="shared" si="2"/>
        <v>1.8239087409443211</v>
      </c>
    </row>
    <row r="25" spans="1:28">
      <c r="A25" s="1">
        <v>24</v>
      </c>
      <c r="B25" s="1">
        <v>1</v>
      </c>
      <c r="C25" s="1">
        <v>1</v>
      </c>
      <c r="D25" s="1">
        <v>1</v>
      </c>
      <c r="E25" s="1">
        <v>0</v>
      </c>
      <c r="F25" s="1">
        <v>16</v>
      </c>
      <c r="G25" s="1">
        <v>6</v>
      </c>
      <c r="H25" s="1">
        <v>3</v>
      </c>
      <c r="I25" s="1">
        <v>1</v>
      </c>
      <c r="J25" s="1">
        <v>5</v>
      </c>
      <c r="K25" s="1">
        <v>6</v>
      </c>
      <c r="L25" s="1">
        <v>1</v>
      </c>
      <c r="M25" s="1">
        <v>0</v>
      </c>
      <c r="N25" s="5">
        <v>146.80000000000001</v>
      </c>
      <c r="O25" s="6">
        <v>21550.240000000002</v>
      </c>
      <c r="P25" s="5">
        <v>351</v>
      </c>
      <c r="Q25">
        <v>320.97811743734667</v>
      </c>
      <c r="R25" s="6">
        <v>66.733699999999999</v>
      </c>
      <c r="S25" s="6">
        <v>58.02505</v>
      </c>
      <c r="T25" s="6">
        <v>3873.2685777777774</v>
      </c>
      <c r="U25" s="6">
        <v>422.22222222222194</v>
      </c>
      <c r="V25" s="6">
        <f t="shared" si="0"/>
        <v>2.1667260555800518</v>
      </c>
      <c r="W25" s="6">
        <f t="shared" si="1"/>
        <v>2.5453071164658239</v>
      </c>
      <c r="X25" s="6">
        <v>2.5064754255508195</v>
      </c>
      <c r="Y25" s="6">
        <f t="shared" si="2"/>
        <v>1.8243452046504989</v>
      </c>
      <c r="Z25" s="6">
        <f t="shared" si="2"/>
        <v>1.7636155233582826</v>
      </c>
      <c r="AA25" s="6">
        <f t="shared" si="2"/>
        <v>3.5880776126077465</v>
      </c>
      <c r="AB25" s="6">
        <f t="shared" si="2"/>
        <v>2.6255410871774849</v>
      </c>
    </row>
    <row r="26" spans="1:28">
      <c r="A26" s="1">
        <v>25</v>
      </c>
      <c r="B26" s="1">
        <v>0</v>
      </c>
      <c r="C26" s="1">
        <v>1</v>
      </c>
      <c r="D26" s="1">
        <v>1</v>
      </c>
      <c r="E26" s="1">
        <v>0</v>
      </c>
      <c r="F26" s="1">
        <v>10</v>
      </c>
      <c r="G26" s="1">
        <v>6</v>
      </c>
      <c r="H26" s="1">
        <v>2</v>
      </c>
      <c r="I26" s="1">
        <v>1</v>
      </c>
      <c r="J26" s="1">
        <v>4</v>
      </c>
      <c r="K26" s="1">
        <v>4</v>
      </c>
      <c r="L26" s="1">
        <v>1</v>
      </c>
      <c r="M26" s="1">
        <v>0</v>
      </c>
      <c r="N26" s="5">
        <v>216.8</v>
      </c>
      <c r="O26" s="6">
        <v>47002.239999999998</v>
      </c>
      <c r="P26" s="5">
        <v>376</v>
      </c>
      <c r="Q26">
        <v>367.66496551835189</v>
      </c>
      <c r="R26" s="6">
        <v>174.173</v>
      </c>
      <c r="S26" s="6">
        <v>563.61599999999999</v>
      </c>
      <c r="T26" s="6">
        <v>16831.565111111111</v>
      </c>
      <c r="U26" s="6">
        <v>5800</v>
      </c>
      <c r="V26" s="6">
        <f t="shared" si="0"/>
        <v>2.3360592778663491</v>
      </c>
      <c r="W26" s="6">
        <f t="shared" si="1"/>
        <v>2.5751878449276608</v>
      </c>
      <c r="X26" s="6">
        <v>2.565452248288882</v>
      </c>
      <c r="Y26" s="6">
        <f t="shared" si="2"/>
        <v>2.2409808323029141</v>
      </c>
      <c r="Z26" s="6">
        <f t="shared" si="2"/>
        <v>2.7509833134172319</v>
      </c>
      <c r="AA26" s="6">
        <f t="shared" si="2"/>
        <v>4.2261245014491298</v>
      </c>
      <c r="AB26" s="6">
        <f t="shared" si="2"/>
        <v>3.7634279935629373</v>
      </c>
    </row>
    <row r="27" spans="1:28">
      <c r="A27" s="1">
        <v>26</v>
      </c>
      <c r="B27" s="1">
        <v>0</v>
      </c>
      <c r="C27" s="1">
        <v>1</v>
      </c>
      <c r="D27" s="1">
        <v>0</v>
      </c>
      <c r="E27" s="1">
        <v>0</v>
      </c>
      <c r="F27" s="1">
        <v>6</v>
      </c>
      <c r="G27" s="1">
        <v>6</v>
      </c>
      <c r="H27" s="1">
        <v>1</v>
      </c>
      <c r="I27" s="1">
        <v>1</v>
      </c>
      <c r="J27" s="1">
        <v>2</v>
      </c>
      <c r="K27" s="1">
        <v>2</v>
      </c>
      <c r="L27" s="1">
        <v>1</v>
      </c>
      <c r="M27" s="1">
        <v>0</v>
      </c>
      <c r="N27" s="5">
        <v>20.8</v>
      </c>
      <c r="O27" s="6">
        <v>432.64</v>
      </c>
      <c r="P27" s="5">
        <v>251</v>
      </c>
      <c r="Q27">
        <v>168.5049470211209</v>
      </c>
      <c r="R27" s="6">
        <v>68.690700000000007</v>
      </c>
      <c r="S27" s="6">
        <v>125.248</v>
      </c>
      <c r="T27" s="6">
        <v>1535.7531111111114</v>
      </c>
      <c r="U27" s="6">
        <v>422.22222222222354</v>
      </c>
      <c r="V27" s="6">
        <f t="shared" si="0"/>
        <v>1.3180633349627615</v>
      </c>
      <c r="W27" s="6">
        <f t="shared" si="1"/>
        <v>2.399673721481038</v>
      </c>
      <c r="X27" s="6">
        <v>2.226612655548228</v>
      </c>
      <c r="Y27" s="6">
        <f t="shared" si="2"/>
        <v>1.8368979421238254</v>
      </c>
      <c r="Z27" s="6">
        <f t="shared" si="2"/>
        <v>2.0977707996418884</v>
      </c>
      <c r="AA27" s="6">
        <f t="shared" si="2"/>
        <v>3.1863214037812932</v>
      </c>
      <c r="AB27" s="6">
        <f t="shared" si="2"/>
        <v>2.6255410871774867</v>
      </c>
    </row>
    <row r="28" spans="1:28">
      <c r="A28" s="1">
        <v>27</v>
      </c>
      <c r="B28" s="1">
        <v>1</v>
      </c>
      <c r="C28" s="1">
        <v>1</v>
      </c>
      <c r="D28" s="1">
        <v>0</v>
      </c>
      <c r="E28" s="1">
        <v>0</v>
      </c>
      <c r="F28" s="1">
        <v>9</v>
      </c>
      <c r="G28" s="1">
        <v>6</v>
      </c>
      <c r="H28" s="1">
        <v>2</v>
      </c>
      <c r="I28" s="1">
        <v>1</v>
      </c>
      <c r="J28" s="1">
        <v>3</v>
      </c>
      <c r="K28" s="1">
        <v>3</v>
      </c>
      <c r="L28" s="1">
        <v>1</v>
      </c>
      <c r="M28" s="1">
        <v>0</v>
      </c>
      <c r="N28" s="5">
        <v>286.8</v>
      </c>
      <c r="O28" s="6">
        <v>82254.240000000005</v>
      </c>
      <c r="P28" s="5">
        <v>326</v>
      </c>
      <c r="Q28">
        <v>277.77367501946367</v>
      </c>
      <c r="R28" s="6">
        <v>138.75130000000001</v>
      </c>
      <c r="S28" s="6">
        <v>72.80040000000001</v>
      </c>
      <c r="T28" s="6">
        <v>12825.567555555554</v>
      </c>
      <c r="U28" s="6">
        <v>3511.1111111111113</v>
      </c>
      <c r="V28" s="6">
        <f t="shared" si="0"/>
        <v>2.4575791469957626</v>
      </c>
      <c r="W28" s="6">
        <f t="shared" si="1"/>
        <v>2.5132176000679389</v>
      </c>
      <c r="X28" s="6">
        <v>2.4436910846862743</v>
      </c>
      <c r="Y28" s="6">
        <f t="shared" si="2"/>
        <v>2.1422370608410679</v>
      </c>
      <c r="Z28" s="6">
        <f t="shared" si="2"/>
        <v>1.8621337655398988</v>
      </c>
      <c r="AA28" s="6">
        <f t="shared" si="2"/>
        <v>4.108076592559069</v>
      </c>
      <c r="AB28" s="6">
        <f t="shared" si="2"/>
        <v>3.5454445731790791</v>
      </c>
    </row>
    <row r="29" spans="1:28">
      <c r="A29" s="1">
        <v>28</v>
      </c>
      <c r="B29" s="1">
        <v>1</v>
      </c>
      <c r="C29" s="1">
        <v>1</v>
      </c>
      <c r="D29" s="1">
        <v>0</v>
      </c>
      <c r="E29" s="1">
        <v>0</v>
      </c>
      <c r="F29" s="1">
        <v>7</v>
      </c>
      <c r="G29" s="1">
        <v>6</v>
      </c>
      <c r="H29" s="1">
        <v>2</v>
      </c>
      <c r="I29" s="1">
        <v>1</v>
      </c>
      <c r="J29" s="1">
        <v>3</v>
      </c>
      <c r="K29" s="1">
        <v>3</v>
      </c>
      <c r="L29" s="1">
        <v>1</v>
      </c>
      <c r="M29" s="1">
        <v>0</v>
      </c>
      <c r="N29" s="5">
        <v>12.8</v>
      </c>
      <c r="O29" s="6">
        <v>163.84</v>
      </c>
      <c r="P29" s="5">
        <v>201</v>
      </c>
      <c r="Q29">
        <v>112.00738664622469</v>
      </c>
      <c r="R29" s="6">
        <v>105.678</v>
      </c>
      <c r="S29" s="6">
        <v>26.908750000000001</v>
      </c>
      <c r="T29" s="6">
        <v>205.21146666666618</v>
      </c>
      <c r="U29" s="6">
        <v>44.444444444444173</v>
      </c>
      <c r="V29" s="6">
        <f t="shared" si="0"/>
        <v>1.1072099696478683</v>
      </c>
      <c r="W29" s="6">
        <f t="shared" si="1"/>
        <v>2.3031960574204891</v>
      </c>
      <c r="X29" s="6">
        <v>2.049246664401549</v>
      </c>
      <c r="Y29" s="6">
        <f t="shared" si="2"/>
        <v>2.0239845854809695</v>
      </c>
      <c r="Z29" s="6">
        <f t="shared" si="2"/>
        <v>1.4298935238242827</v>
      </c>
      <c r="AA29" s="6">
        <f t="shared" si="2"/>
        <v>2.3122016243292736</v>
      </c>
      <c r="AB29" s="6">
        <f t="shared" si="2"/>
        <v>1.6478174818886349</v>
      </c>
    </row>
    <row r="30" spans="1:28">
      <c r="A30" s="1">
        <v>29</v>
      </c>
      <c r="B30" s="1">
        <v>1</v>
      </c>
      <c r="C30" s="1">
        <v>1</v>
      </c>
      <c r="D30" s="1">
        <v>1</v>
      </c>
      <c r="E30" s="1">
        <v>0</v>
      </c>
      <c r="F30" s="1">
        <v>23</v>
      </c>
      <c r="G30" s="1">
        <v>18</v>
      </c>
      <c r="H30" s="1">
        <v>3</v>
      </c>
      <c r="I30" s="1">
        <v>1</v>
      </c>
      <c r="J30" s="1">
        <v>6</v>
      </c>
      <c r="K30" s="1">
        <v>7</v>
      </c>
      <c r="L30" s="1">
        <v>1</v>
      </c>
      <c r="M30" s="1">
        <v>0</v>
      </c>
      <c r="N30" s="5">
        <v>92.8</v>
      </c>
      <c r="O30" s="6">
        <v>8611.84</v>
      </c>
      <c r="P30" s="5">
        <v>326</v>
      </c>
      <c r="Q30">
        <v>277.77367501946367</v>
      </c>
      <c r="R30" s="6">
        <v>116.0501</v>
      </c>
      <c r="S30" s="6">
        <v>62.4283</v>
      </c>
      <c r="T30" s="6">
        <v>8283.3768888888881</v>
      </c>
      <c r="U30" s="6">
        <v>1422.2222222222215</v>
      </c>
      <c r="V30" s="6">
        <f t="shared" si="0"/>
        <v>1.9675479762188621</v>
      </c>
      <c r="W30" s="6">
        <f t="shared" si="1"/>
        <v>2.5132176000679389</v>
      </c>
      <c r="X30" s="6">
        <v>2.4436910846862743</v>
      </c>
      <c r="Y30" s="6">
        <f t="shared" si="2"/>
        <v>2.0646455190222639</v>
      </c>
      <c r="Z30" s="6">
        <f t="shared" si="2"/>
        <v>1.7953815087151823</v>
      </c>
      <c r="AA30" s="6">
        <f t="shared" si="2"/>
        <v>3.9182074219578618</v>
      </c>
      <c r="AB30" s="6">
        <f t="shared" si="2"/>
        <v>3.1529674602085431</v>
      </c>
    </row>
    <row r="31" spans="1:28">
      <c r="A31" s="1">
        <v>30</v>
      </c>
      <c r="B31" s="1">
        <v>0</v>
      </c>
      <c r="C31" s="1">
        <v>1</v>
      </c>
      <c r="D31" s="1">
        <v>0</v>
      </c>
      <c r="E31" s="1">
        <v>0</v>
      </c>
      <c r="F31" s="1">
        <v>4</v>
      </c>
      <c r="G31" s="1">
        <v>6</v>
      </c>
      <c r="H31" s="1">
        <v>1</v>
      </c>
      <c r="I31" s="1">
        <v>1</v>
      </c>
      <c r="J31" s="1">
        <v>2</v>
      </c>
      <c r="K31" s="1">
        <v>2</v>
      </c>
      <c r="L31" s="1">
        <v>1</v>
      </c>
      <c r="M31" s="1">
        <v>0</v>
      </c>
      <c r="N31" s="5">
        <v>30.8</v>
      </c>
      <c r="O31" s="6">
        <v>948.64</v>
      </c>
      <c r="P31" s="5">
        <v>226</v>
      </c>
      <c r="Q31">
        <v>138.66481582392606</v>
      </c>
      <c r="R31" s="6">
        <v>46.185200000000009</v>
      </c>
      <c r="S31" s="6">
        <v>42.075499999999998</v>
      </c>
      <c r="T31" s="6">
        <v>2786.7637777777772</v>
      </c>
      <c r="U31" s="6">
        <v>355.55555555555497</v>
      </c>
      <c r="V31" s="6">
        <f t="shared" si="0"/>
        <v>1.4885507165004443</v>
      </c>
      <c r="W31" s="6">
        <f t="shared" si="1"/>
        <v>2.3541084391474008</v>
      </c>
      <c r="X31" s="6">
        <v>2.141966279155973</v>
      </c>
      <c r="Y31" s="6">
        <f t="shared" si="2"/>
        <v>1.6645028286281078</v>
      </c>
      <c r="Z31" s="6">
        <f t="shared" si="2"/>
        <v>1.6240292855736065</v>
      </c>
      <c r="AA31" s="6">
        <f t="shared" si="2"/>
        <v>3.4451001569603252</v>
      </c>
      <c r="AB31" s="6">
        <f t="shared" si="2"/>
        <v>2.5509074688805802</v>
      </c>
    </row>
    <row r="32" spans="1:28">
      <c r="A32" s="1">
        <v>31</v>
      </c>
      <c r="B32" s="1">
        <v>1</v>
      </c>
      <c r="C32" s="1">
        <v>0</v>
      </c>
      <c r="D32" s="1">
        <v>0</v>
      </c>
      <c r="E32" s="1">
        <v>1</v>
      </c>
      <c r="F32" s="1">
        <v>3</v>
      </c>
      <c r="G32" s="1">
        <v>6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5">
        <v>22.8</v>
      </c>
      <c r="O32" s="6">
        <v>519.84</v>
      </c>
      <c r="P32" s="5">
        <v>251</v>
      </c>
      <c r="Q32">
        <v>168.5049470211209</v>
      </c>
      <c r="R32" s="6">
        <v>9.4718800000000005</v>
      </c>
      <c r="S32" s="6">
        <v>387.48600000000005</v>
      </c>
      <c r="T32" s="6">
        <v>896.6703999999994</v>
      </c>
      <c r="U32" s="6">
        <v>88.888888888888346</v>
      </c>
      <c r="V32" s="6">
        <f t="shared" si="0"/>
        <v>1.3579348470004537</v>
      </c>
      <c r="W32" s="6">
        <f t="shared" si="1"/>
        <v>2.399673721481038</v>
      </c>
      <c r="X32" s="6">
        <v>2.226612655548228</v>
      </c>
      <c r="Y32" s="6">
        <f t="shared" si="2"/>
        <v>0.97643618730241366</v>
      </c>
      <c r="Z32" s="6">
        <f t="shared" si="2"/>
        <v>2.5882560159195322</v>
      </c>
      <c r="AA32" s="6">
        <f t="shared" si="2"/>
        <v>2.952632833493924</v>
      </c>
      <c r="AB32" s="6">
        <f t="shared" si="2"/>
        <v>1.9488474775526161</v>
      </c>
    </row>
    <row r="33" spans="1:28">
      <c r="A33" s="1">
        <v>32</v>
      </c>
      <c r="B33" s="1">
        <v>1</v>
      </c>
      <c r="C33" s="1">
        <v>1</v>
      </c>
      <c r="D33" s="1">
        <v>1</v>
      </c>
      <c r="E33" s="1">
        <v>1</v>
      </c>
      <c r="F33" s="1">
        <v>13</v>
      </c>
      <c r="G33" s="1">
        <v>6</v>
      </c>
      <c r="H33" s="1">
        <v>3</v>
      </c>
      <c r="I33" s="1">
        <v>1</v>
      </c>
      <c r="J33" s="1">
        <v>5</v>
      </c>
      <c r="K33" s="1">
        <v>5</v>
      </c>
      <c r="L33" s="1">
        <v>1</v>
      </c>
      <c r="M33" s="1">
        <v>0</v>
      </c>
      <c r="N33" s="5">
        <v>18.8</v>
      </c>
      <c r="O33" s="6">
        <v>353.44</v>
      </c>
      <c r="P33" s="5">
        <v>201</v>
      </c>
      <c r="Q33">
        <v>112.00738664622469</v>
      </c>
      <c r="R33" s="6">
        <v>1.223125</v>
      </c>
      <c r="S33" s="6">
        <v>54.89385</v>
      </c>
      <c r="T33" s="6">
        <v>142.48474444444531</v>
      </c>
      <c r="U33" s="6">
        <v>22.222222222222861</v>
      </c>
      <c r="V33" s="6">
        <f t="shared" si="0"/>
        <v>1.2741578492636798</v>
      </c>
      <c r="W33" s="6">
        <f t="shared" si="1"/>
        <v>2.3031960574204891</v>
      </c>
      <c r="X33" s="6">
        <v>2.049246664401549</v>
      </c>
      <c r="Y33" s="6">
        <f t="shared" si="2"/>
        <v>8.7470843002076387E-2</v>
      </c>
      <c r="Z33" s="6">
        <f t="shared" si="2"/>
        <v>1.7395236912501815</v>
      </c>
      <c r="AA33" s="6">
        <f t="shared" si="2"/>
        <v>2.1537683677952839</v>
      </c>
      <c r="AB33" s="6">
        <f t="shared" si="2"/>
        <v>1.3467874862246687</v>
      </c>
    </row>
    <row r="34" spans="1:28">
      <c r="A34" s="1">
        <v>33</v>
      </c>
      <c r="B34" s="1">
        <v>0</v>
      </c>
      <c r="C34" s="1">
        <v>1</v>
      </c>
      <c r="D34" s="1">
        <v>1</v>
      </c>
      <c r="E34" s="1">
        <v>0</v>
      </c>
      <c r="F34" s="1">
        <v>12</v>
      </c>
      <c r="G34" s="1">
        <v>6</v>
      </c>
      <c r="H34" s="1">
        <v>2</v>
      </c>
      <c r="I34" s="1">
        <v>1</v>
      </c>
      <c r="J34" s="1">
        <v>4</v>
      </c>
      <c r="K34" s="1">
        <v>4</v>
      </c>
      <c r="L34" s="1">
        <v>1</v>
      </c>
      <c r="M34" s="1">
        <v>0</v>
      </c>
      <c r="N34" s="5">
        <v>260.8</v>
      </c>
      <c r="O34" s="6">
        <v>68016.639999999999</v>
      </c>
      <c r="P34" s="5">
        <v>201</v>
      </c>
      <c r="Q34">
        <v>112.00738664622469</v>
      </c>
      <c r="R34" s="6">
        <v>152.25460000000001</v>
      </c>
      <c r="S34" s="6">
        <v>121.334</v>
      </c>
      <c r="T34" s="6">
        <v>12370.979111111112</v>
      </c>
      <c r="U34" s="6">
        <v>2622.2222222222217</v>
      </c>
      <c r="V34" s="6">
        <f t="shared" si="0"/>
        <v>2.4163075870598827</v>
      </c>
      <c r="W34" s="6">
        <f t="shared" si="1"/>
        <v>2.3031960574204891</v>
      </c>
      <c r="X34" s="6">
        <v>2.049246664401549</v>
      </c>
      <c r="Y34" s="6">
        <f t="shared" si="2"/>
        <v>2.1825704226476903</v>
      </c>
      <c r="Z34" s="6">
        <f t="shared" si="2"/>
        <v>2.0839825151562552</v>
      </c>
      <c r="AA34" s="6">
        <f t="shared" si="2"/>
        <v>4.0924040735761693</v>
      </c>
      <c r="AB34" s="6">
        <f t="shared" si="2"/>
        <v>3.4186694935307815</v>
      </c>
    </row>
    <row r="35" spans="1:28">
      <c r="A35" s="1">
        <v>34</v>
      </c>
      <c r="B35" s="1">
        <v>0</v>
      </c>
      <c r="C35" s="1">
        <v>1</v>
      </c>
      <c r="D35" s="1">
        <v>1</v>
      </c>
      <c r="E35" s="1">
        <v>1</v>
      </c>
      <c r="F35" s="1">
        <v>10</v>
      </c>
      <c r="G35" s="1">
        <v>6</v>
      </c>
      <c r="H35" s="1">
        <v>2</v>
      </c>
      <c r="I35" s="1">
        <v>1</v>
      </c>
      <c r="J35" s="1">
        <v>4</v>
      </c>
      <c r="K35" s="1">
        <v>4</v>
      </c>
      <c r="L35" s="1">
        <v>1</v>
      </c>
      <c r="M35" s="1">
        <v>0</v>
      </c>
      <c r="N35" s="5">
        <v>86.8</v>
      </c>
      <c r="O35" s="6">
        <v>7534.24</v>
      </c>
      <c r="P35" s="5">
        <v>533.67148799999995</v>
      </c>
      <c r="Q35">
        <v>796.01242338606198</v>
      </c>
      <c r="R35" s="6">
        <v>163.80090000000001</v>
      </c>
      <c r="S35" s="6">
        <v>126.81360000000001</v>
      </c>
      <c r="T35" s="6">
        <v>3832.1661777777781</v>
      </c>
      <c r="U35" s="6">
        <v>711.11111111111143</v>
      </c>
      <c r="V35" s="6">
        <f t="shared" si="0"/>
        <v>1.9385197251764918</v>
      </c>
      <c r="W35" s="6">
        <f t="shared" si="1"/>
        <v>2.727274000751799</v>
      </c>
      <c r="X35" s="6">
        <v>2.9009198458355456</v>
      </c>
      <c r="Y35" s="6">
        <f t="shared" si="2"/>
        <v>2.2143162836512613</v>
      </c>
      <c r="Z35" s="6">
        <f t="shared" si="2"/>
        <v>2.1031658315285946</v>
      </c>
      <c r="AA35" s="6">
        <f t="shared" si="2"/>
        <v>3.5834443335294432</v>
      </c>
      <c r="AB35" s="6">
        <f t="shared" si="2"/>
        <v>2.8519374645445623</v>
      </c>
    </row>
    <row r="36" spans="1:28">
      <c r="A36" s="1">
        <v>35</v>
      </c>
      <c r="B36" s="1">
        <v>1</v>
      </c>
      <c r="C36" s="1">
        <v>1</v>
      </c>
      <c r="D36" s="1">
        <v>0</v>
      </c>
      <c r="E36" s="1">
        <v>1</v>
      </c>
      <c r="F36" s="1">
        <v>8</v>
      </c>
      <c r="G36" s="1">
        <v>6</v>
      </c>
      <c r="H36" s="1">
        <v>2</v>
      </c>
      <c r="I36" s="1">
        <v>1</v>
      </c>
      <c r="J36" s="1">
        <v>3</v>
      </c>
      <c r="K36" s="1">
        <v>3</v>
      </c>
      <c r="L36" s="1">
        <v>1</v>
      </c>
      <c r="M36" s="1">
        <v>0</v>
      </c>
      <c r="N36" s="5">
        <v>20.8</v>
      </c>
      <c r="O36" s="6">
        <v>432.64</v>
      </c>
      <c r="P36" s="5">
        <v>201</v>
      </c>
      <c r="Q36">
        <v>112.00738664622469</v>
      </c>
      <c r="R36" s="6">
        <v>16.673640000000002</v>
      </c>
      <c r="S36" s="6">
        <v>61.841200000000001</v>
      </c>
      <c r="T36" s="6">
        <v>650.66035555555561</v>
      </c>
      <c r="U36" s="6">
        <v>66.666666666667027</v>
      </c>
      <c r="V36" s="6">
        <f t="shared" si="0"/>
        <v>1.3180633349627615</v>
      </c>
      <c r="W36" s="6">
        <f t="shared" si="1"/>
        <v>2.3031960574204891</v>
      </c>
      <c r="X36" s="6">
        <v>2.049246664401549</v>
      </c>
      <c r="Y36" s="6">
        <f t="shared" si="2"/>
        <v>1.2220304204247014</v>
      </c>
      <c r="Z36" s="6">
        <f t="shared" si="2"/>
        <v>1.791277908276405</v>
      </c>
      <c r="AA36" s="6">
        <f t="shared" si="2"/>
        <v>2.8133543461714261</v>
      </c>
      <c r="AB36" s="6">
        <f t="shared" si="2"/>
        <v>1.8239087409443211</v>
      </c>
    </row>
    <row r="37" spans="1:28">
      <c r="A37" s="1">
        <v>36</v>
      </c>
      <c r="B37" s="1">
        <v>1</v>
      </c>
      <c r="C37" s="1">
        <v>1</v>
      </c>
      <c r="D37" s="1">
        <v>1</v>
      </c>
      <c r="E37" s="1">
        <v>1</v>
      </c>
      <c r="F37" s="1">
        <v>20</v>
      </c>
      <c r="G37" s="1">
        <v>18</v>
      </c>
      <c r="H37" s="1">
        <v>3</v>
      </c>
      <c r="I37" s="1">
        <v>1</v>
      </c>
      <c r="J37" s="1">
        <v>6</v>
      </c>
      <c r="K37" s="1">
        <v>7</v>
      </c>
      <c r="L37" s="1">
        <v>1</v>
      </c>
      <c r="M37" s="1">
        <v>0</v>
      </c>
      <c r="N37" s="5">
        <v>32.799999999999997</v>
      </c>
      <c r="O37" s="6">
        <v>1075.8399999999999</v>
      </c>
      <c r="P37" s="5">
        <v>276</v>
      </c>
      <c r="Q37">
        <v>201.59500794760282</v>
      </c>
      <c r="R37" s="6">
        <v>100.9812</v>
      </c>
      <c r="S37" s="6">
        <v>42.075499999999998</v>
      </c>
      <c r="T37" s="6">
        <v>8418.8477777777771</v>
      </c>
      <c r="U37" s="6">
        <v>822.22222222222115</v>
      </c>
      <c r="V37" s="6">
        <f t="shared" si="0"/>
        <v>1.515873843711679</v>
      </c>
      <c r="W37" s="6">
        <f t="shared" si="1"/>
        <v>2.4409090820652177</v>
      </c>
      <c r="X37" s="6">
        <v>2.3044797735688629</v>
      </c>
      <c r="Y37" s="6">
        <f t="shared" si="2"/>
        <v>2.0042405272852126</v>
      </c>
      <c r="Z37" s="6">
        <f t="shared" si="2"/>
        <v>1.6240292855736065</v>
      </c>
      <c r="AA37" s="6">
        <f t="shared" si="2"/>
        <v>3.9252526570584783</v>
      </c>
      <c r="AB37" s="6">
        <f t="shared" si="2"/>
        <v>2.9149892102916506</v>
      </c>
    </row>
    <row r="38" spans="1:28">
      <c r="A38" s="1">
        <v>37</v>
      </c>
      <c r="B38" s="1">
        <v>1</v>
      </c>
      <c r="C38" s="1">
        <v>1</v>
      </c>
      <c r="D38" s="1">
        <v>1</v>
      </c>
      <c r="E38" s="1">
        <v>1</v>
      </c>
      <c r="F38" s="1">
        <v>23</v>
      </c>
      <c r="G38" s="1">
        <v>18</v>
      </c>
      <c r="H38" s="1">
        <v>3</v>
      </c>
      <c r="I38" s="1">
        <v>1</v>
      </c>
      <c r="J38" s="1">
        <v>6</v>
      </c>
      <c r="K38" s="1">
        <v>7</v>
      </c>
      <c r="L38" s="1">
        <v>1</v>
      </c>
      <c r="M38" s="1">
        <v>0</v>
      </c>
      <c r="N38" s="5">
        <v>70.8</v>
      </c>
      <c r="O38" s="6">
        <v>5012.6400000000003</v>
      </c>
      <c r="P38" s="5">
        <v>351</v>
      </c>
      <c r="Q38">
        <v>320.97811743734667</v>
      </c>
      <c r="R38" s="6">
        <v>44.228200000000008</v>
      </c>
      <c r="S38" s="6">
        <v>60.569150000000008</v>
      </c>
      <c r="T38" s="6">
        <v>9297.3851111111107</v>
      </c>
      <c r="U38" s="6">
        <v>3088.8888888888891</v>
      </c>
      <c r="V38" s="6">
        <f t="shared" si="0"/>
        <v>1.8500332576897689</v>
      </c>
      <c r="W38" s="6">
        <f t="shared" si="1"/>
        <v>2.5453071164658239</v>
      </c>
      <c r="X38" s="6">
        <v>2.5064754255508195</v>
      </c>
      <c r="Y38" s="6">
        <f t="shared" si="2"/>
        <v>1.6456992648054021</v>
      </c>
      <c r="Z38" s="6">
        <f t="shared" si="2"/>
        <v>1.7822514790141379</v>
      </c>
      <c r="AA38" s="6">
        <f t="shared" si="2"/>
        <v>3.9683608204358225</v>
      </c>
      <c r="AB38" s="6">
        <f t="shared" si="2"/>
        <v>3.4898022864787515</v>
      </c>
    </row>
    <row r="39" spans="1:28">
      <c r="A39" s="1">
        <v>38</v>
      </c>
      <c r="B39" s="1">
        <v>0</v>
      </c>
      <c r="C39" s="1">
        <v>1</v>
      </c>
      <c r="D39" s="1">
        <v>0</v>
      </c>
      <c r="E39" s="1">
        <v>1</v>
      </c>
      <c r="F39" s="1">
        <v>4</v>
      </c>
      <c r="G39" s="1">
        <v>6</v>
      </c>
      <c r="H39" s="1">
        <v>1</v>
      </c>
      <c r="I39" s="1">
        <v>1</v>
      </c>
      <c r="J39" s="1">
        <v>2</v>
      </c>
      <c r="K39" s="1">
        <v>2</v>
      </c>
      <c r="L39" s="1">
        <v>1</v>
      </c>
      <c r="M39" s="1">
        <v>0</v>
      </c>
      <c r="N39" s="5">
        <v>28.8</v>
      </c>
      <c r="O39" s="6">
        <v>829.44</v>
      </c>
      <c r="P39" s="5">
        <v>201</v>
      </c>
      <c r="Q39">
        <v>112.00738664622469</v>
      </c>
      <c r="R39" s="6">
        <v>33.464700000000008</v>
      </c>
      <c r="S39" s="6">
        <v>29.550699999999999</v>
      </c>
      <c r="T39" s="6">
        <v>627.35151111110997</v>
      </c>
      <c r="U39" s="6">
        <v>177.77777777777669</v>
      </c>
      <c r="V39" s="6">
        <f t="shared" si="0"/>
        <v>1.4593924877592308</v>
      </c>
      <c r="W39" s="6">
        <f t="shared" si="1"/>
        <v>2.3031960574204891</v>
      </c>
      <c r="X39" s="6">
        <v>2.049246664401549</v>
      </c>
      <c r="Y39" s="6">
        <f t="shared" si="2"/>
        <v>1.5245869360501552</v>
      </c>
      <c r="Z39" s="6">
        <f t="shared" si="2"/>
        <v>1.4705677729511706</v>
      </c>
      <c r="AA39" s="6">
        <f t="shared" si="2"/>
        <v>2.797510948421853</v>
      </c>
      <c r="AB39" s="6">
        <f t="shared" si="2"/>
        <v>2.2498774732165971</v>
      </c>
    </row>
    <row r="40" spans="1:28">
      <c r="A40" s="1">
        <v>39</v>
      </c>
      <c r="B40" s="1">
        <v>1</v>
      </c>
      <c r="C40" s="1">
        <v>1</v>
      </c>
      <c r="D40" s="1">
        <v>1</v>
      </c>
      <c r="E40" s="1">
        <v>1</v>
      </c>
      <c r="F40" s="1">
        <v>22</v>
      </c>
      <c r="G40" s="1">
        <v>18</v>
      </c>
      <c r="H40" s="1">
        <v>3</v>
      </c>
      <c r="I40" s="1">
        <v>1</v>
      </c>
      <c r="J40" s="1">
        <v>6</v>
      </c>
      <c r="K40" s="1">
        <v>7</v>
      </c>
      <c r="L40" s="1">
        <v>1</v>
      </c>
      <c r="M40" s="1">
        <v>0</v>
      </c>
      <c r="N40" s="5">
        <v>82.8</v>
      </c>
      <c r="O40" s="6">
        <v>6855.84</v>
      </c>
      <c r="P40" s="5">
        <v>351</v>
      </c>
      <c r="Q40">
        <v>320.97811743734667</v>
      </c>
      <c r="R40" s="6">
        <v>110.17910000000001</v>
      </c>
      <c r="S40" s="6">
        <v>33.464700000000001</v>
      </c>
      <c r="T40" s="6">
        <v>5276.1673333333329</v>
      </c>
      <c r="U40" s="6">
        <v>2488.8888888888891</v>
      </c>
      <c r="V40" s="6">
        <f t="shared" si="0"/>
        <v>1.9180303367848801</v>
      </c>
      <c r="W40" s="6">
        <f t="shared" si="1"/>
        <v>2.5453071164658239</v>
      </c>
      <c r="X40" s="6">
        <v>2.5064754255508195</v>
      </c>
      <c r="Y40" s="6">
        <f t="shared" si="2"/>
        <v>2.0420992205093476</v>
      </c>
      <c r="Z40" s="6">
        <f t="shared" si="2"/>
        <v>1.5245869360501549</v>
      </c>
      <c r="AA40" s="6">
        <f t="shared" si="2"/>
        <v>3.722318560716424</v>
      </c>
      <c r="AB40" s="6">
        <f t="shared" si="2"/>
        <v>3.396005508894838</v>
      </c>
    </row>
    <row r="41" spans="1:28">
      <c r="A41" s="1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1</v>
      </c>
      <c r="M41" s="1">
        <v>0</v>
      </c>
      <c r="N41" s="5">
        <v>66.8</v>
      </c>
      <c r="O41" s="6">
        <v>4462.24</v>
      </c>
      <c r="P41" s="5">
        <v>351</v>
      </c>
      <c r="Q41">
        <v>320.97811743734667</v>
      </c>
      <c r="R41" s="6">
        <v>54.991700000000009</v>
      </c>
      <c r="S41" s="6">
        <v>74.561700000000002</v>
      </c>
      <c r="T41" s="6">
        <v>4157.9753333333329</v>
      </c>
      <c r="U41" s="6">
        <v>644.44444444444446</v>
      </c>
      <c r="V41" s="6">
        <f t="shared" si="0"/>
        <v>1.8247764624755456</v>
      </c>
      <c r="W41" s="6">
        <f t="shared" si="1"/>
        <v>2.5453071164658239</v>
      </c>
      <c r="X41" s="6">
        <v>2.5064754255508195</v>
      </c>
      <c r="Y41" s="6">
        <f t="shared" si="2"/>
        <v>1.7402971455630811</v>
      </c>
      <c r="Z41" s="6">
        <f t="shared" si="2"/>
        <v>1.8725158013336205</v>
      </c>
      <c r="AA41" s="6">
        <f t="shared" si="2"/>
        <v>3.6188819086056006</v>
      </c>
      <c r="AB41" s="6">
        <f t="shared" si="2"/>
        <v>2.8091854841236126</v>
      </c>
    </row>
    <row r="42" spans="1:28">
      <c r="A42" s="1">
        <v>41</v>
      </c>
      <c r="B42" s="1">
        <v>1</v>
      </c>
      <c r="C42" s="1">
        <v>1</v>
      </c>
      <c r="D42" s="1">
        <v>0</v>
      </c>
      <c r="E42" s="1">
        <v>1</v>
      </c>
      <c r="F42" s="1">
        <v>9</v>
      </c>
      <c r="G42" s="1">
        <v>6</v>
      </c>
      <c r="H42" s="1">
        <v>2</v>
      </c>
      <c r="I42" s="1">
        <v>1</v>
      </c>
      <c r="J42" s="1">
        <v>3</v>
      </c>
      <c r="K42" s="1">
        <v>3</v>
      </c>
      <c r="L42" s="1">
        <v>1</v>
      </c>
      <c r="M42" s="1">
        <v>0</v>
      </c>
      <c r="N42" s="5">
        <v>76.8</v>
      </c>
      <c r="O42" s="6">
        <v>5898.24</v>
      </c>
      <c r="P42" s="5">
        <v>376</v>
      </c>
      <c r="Q42">
        <v>367.66496551835189</v>
      </c>
      <c r="R42" s="6">
        <v>99.415599999999998</v>
      </c>
      <c r="S42" s="6">
        <v>79.747750000000011</v>
      </c>
      <c r="T42" s="6">
        <v>10507.246888888891</v>
      </c>
      <c r="U42" s="6">
        <v>1622.2222222222224</v>
      </c>
      <c r="V42" s="6">
        <f t="shared" si="0"/>
        <v>1.885361220031512</v>
      </c>
      <c r="W42" s="6">
        <f t="shared" si="1"/>
        <v>2.5751878449276608</v>
      </c>
      <c r="X42" s="6">
        <v>2.565452248288882</v>
      </c>
      <c r="Y42" s="6">
        <f t="shared" si="2"/>
        <v>1.9974545379419204</v>
      </c>
      <c r="Z42" s="6">
        <f t="shared" si="2"/>
        <v>1.9017184387339967</v>
      </c>
      <c r="AA42" s="6">
        <f t="shared" si="2"/>
        <v>4.0214889369993543</v>
      </c>
      <c r="AB42" s="6">
        <f t="shared" si="2"/>
        <v>3.2101103463451124</v>
      </c>
    </row>
    <row r="43" spans="1:28">
      <c r="A43" s="1">
        <v>42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1</v>
      </c>
      <c r="M43" s="1">
        <v>0</v>
      </c>
      <c r="N43" s="5">
        <v>94.8</v>
      </c>
      <c r="O43" s="6">
        <v>8987.0400000000009</v>
      </c>
      <c r="P43" s="5">
        <v>351</v>
      </c>
      <c r="Q43">
        <v>320.97811743734667</v>
      </c>
      <c r="R43" s="6">
        <v>74.170299999999997</v>
      </c>
      <c r="S43" s="6">
        <v>154.99440000000001</v>
      </c>
      <c r="T43" s="6">
        <v>16696.019555555555</v>
      </c>
      <c r="U43" s="6">
        <v>5222.2222222222226</v>
      </c>
      <c r="V43" s="6">
        <f t="shared" si="0"/>
        <v>1.9768083373380663</v>
      </c>
      <c r="W43" s="6">
        <f t="shared" si="1"/>
        <v>2.5453071164658239</v>
      </c>
      <c r="X43" s="6">
        <v>2.5064754255508195</v>
      </c>
      <c r="Y43" s="6">
        <f t="shared" si="2"/>
        <v>1.8702300356260735</v>
      </c>
      <c r="Z43" s="6">
        <f t="shared" si="2"/>
        <v>2.1903160072474948</v>
      </c>
      <c r="AA43" s="6">
        <f t="shared" si="2"/>
        <v>4.2226129447340206</v>
      </c>
      <c r="AB43" s="6">
        <f t="shared" si="2"/>
        <v>3.7178553484963928</v>
      </c>
    </row>
    <row r="44" spans="1:28">
      <c r="A44" s="1">
        <v>43</v>
      </c>
      <c r="B44" s="1">
        <v>1</v>
      </c>
      <c r="C44" s="1">
        <v>1</v>
      </c>
      <c r="D44" s="1">
        <v>0</v>
      </c>
      <c r="E44" s="1">
        <v>1</v>
      </c>
      <c r="F44" s="1">
        <v>7</v>
      </c>
      <c r="G44" s="1">
        <v>6</v>
      </c>
      <c r="H44" s="1">
        <v>2</v>
      </c>
      <c r="I44" s="1">
        <v>1</v>
      </c>
      <c r="J44" s="1">
        <v>3</v>
      </c>
      <c r="K44" s="1">
        <v>3</v>
      </c>
      <c r="L44" s="1">
        <v>1</v>
      </c>
      <c r="M44" s="1">
        <v>0</v>
      </c>
      <c r="N44" s="5">
        <v>38.799999999999997</v>
      </c>
      <c r="O44" s="6">
        <v>1505.44</v>
      </c>
      <c r="P44" s="5">
        <v>301</v>
      </c>
      <c r="Q44">
        <v>237.99808593525557</v>
      </c>
      <c r="R44" s="6">
        <v>27.789400000000001</v>
      </c>
      <c r="S44" s="6">
        <v>42.564749999999997</v>
      </c>
      <c r="T44" s="6">
        <v>1375.6402222222223</v>
      </c>
      <c r="U44" s="6">
        <v>466.66666666666617</v>
      </c>
      <c r="V44" s="6">
        <f t="shared" si="0"/>
        <v>1.5888317255942073</v>
      </c>
      <c r="W44" s="6">
        <f t="shared" si="1"/>
        <v>2.4785664955938436</v>
      </c>
      <c r="X44" s="6">
        <v>2.376573464320801</v>
      </c>
      <c r="Y44" s="6">
        <f t="shared" si="2"/>
        <v>1.4438791700410576</v>
      </c>
      <c r="Z44" s="6">
        <f t="shared" si="2"/>
        <v>1.6290500869486573</v>
      </c>
      <c r="AA44" s="6">
        <f t="shared" si="2"/>
        <v>3.1385048656333878</v>
      </c>
      <c r="AB44" s="6">
        <f t="shared" si="2"/>
        <v>2.6690067809585751</v>
      </c>
    </row>
    <row r="45" spans="1:28">
      <c r="A45" s="1">
        <v>44</v>
      </c>
      <c r="B45" s="1">
        <v>0</v>
      </c>
      <c r="C45" s="1">
        <v>1</v>
      </c>
      <c r="D45" s="1">
        <v>0</v>
      </c>
      <c r="E45" s="1">
        <v>0</v>
      </c>
      <c r="F45" s="1">
        <v>5</v>
      </c>
      <c r="G45" s="1">
        <v>6</v>
      </c>
      <c r="H45" s="1">
        <v>1</v>
      </c>
      <c r="I45" s="1">
        <v>1</v>
      </c>
      <c r="J45" s="1">
        <v>2</v>
      </c>
      <c r="K45" s="1">
        <v>2</v>
      </c>
      <c r="L45" s="1">
        <v>1</v>
      </c>
      <c r="M45" s="1">
        <v>0</v>
      </c>
      <c r="N45" s="5">
        <v>74.8</v>
      </c>
      <c r="O45" s="6">
        <v>5595.04</v>
      </c>
      <c r="P45" s="5">
        <v>351</v>
      </c>
      <c r="Q45">
        <v>320.97811743734667</v>
      </c>
      <c r="R45" s="6">
        <v>138.16419999999999</v>
      </c>
      <c r="S45" s="6">
        <v>234.05720000000002</v>
      </c>
      <c r="T45" s="6">
        <v>6988.1542222222233</v>
      </c>
      <c r="U45" s="6">
        <v>2666.6666666666674</v>
      </c>
      <c r="V45" s="6">
        <f t="shared" si="0"/>
        <v>1.8739015978644613</v>
      </c>
      <c r="W45" s="6">
        <f t="shared" si="1"/>
        <v>2.5453071164658239</v>
      </c>
      <c r="X45" s="6">
        <v>2.5064754255508195</v>
      </c>
      <c r="Y45" s="6">
        <f t="shared" si="2"/>
        <v>2.1403955267098049</v>
      </c>
      <c r="Z45" s="6">
        <f t="shared" si="2"/>
        <v>2.3693220053103934</v>
      </c>
      <c r="AA45" s="6">
        <f t="shared" si="2"/>
        <v>3.8443624809017667</v>
      </c>
      <c r="AB45" s="6">
        <f t="shared" si="2"/>
        <v>3.4259687322722812</v>
      </c>
    </row>
    <row r="46" spans="1:28">
      <c r="A46" s="1">
        <v>45</v>
      </c>
      <c r="B46" s="1">
        <v>0</v>
      </c>
      <c r="C46" s="1">
        <v>1</v>
      </c>
      <c r="D46" s="1">
        <v>0</v>
      </c>
      <c r="E46" s="1">
        <v>1</v>
      </c>
      <c r="F46" s="1">
        <v>5</v>
      </c>
      <c r="G46" s="1">
        <v>6</v>
      </c>
      <c r="H46" s="1">
        <v>1</v>
      </c>
      <c r="I46" s="1">
        <v>1</v>
      </c>
      <c r="J46" s="1">
        <v>2</v>
      </c>
      <c r="K46" s="1">
        <v>2</v>
      </c>
      <c r="L46" s="1">
        <v>1</v>
      </c>
      <c r="M46" s="1">
        <v>0</v>
      </c>
      <c r="N46" s="5">
        <v>70.8</v>
      </c>
      <c r="O46" s="6">
        <v>5012.6400000000003</v>
      </c>
      <c r="P46" s="5">
        <v>401</v>
      </c>
      <c r="Q46">
        <v>417.88528234172946</v>
      </c>
      <c r="R46" s="6">
        <v>198.8312</v>
      </c>
      <c r="S46" s="6">
        <v>60.373449999999998</v>
      </c>
      <c r="T46" s="6">
        <v>7369.717333333333</v>
      </c>
      <c r="U46" s="6">
        <v>3622.2222222222208</v>
      </c>
      <c r="V46" s="6">
        <f t="shared" si="0"/>
        <v>1.8500332576897689</v>
      </c>
      <c r="W46" s="6">
        <f t="shared" si="1"/>
        <v>2.6031443726201822</v>
      </c>
      <c r="X46" s="6">
        <v>2.6210570758329541</v>
      </c>
      <c r="Y46" s="6">
        <f t="shared" si="2"/>
        <v>2.2984845336059014</v>
      </c>
      <c r="Z46" s="6">
        <f t="shared" si="2"/>
        <v>1.7808459940272616</v>
      </c>
      <c r="AA46" s="6">
        <f t="shared" si="2"/>
        <v>3.8674508307453781</v>
      </c>
      <c r="AB46" s="6">
        <f t="shared" si="2"/>
        <v>3.5589750906286142</v>
      </c>
    </row>
    <row r="47" spans="1:28">
      <c r="A47" s="1">
        <v>46</v>
      </c>
      <c r="B47" s="1">
        <v>0</v>
      </c>
      <c r="C47" s="1">
        <v>1</v>
      </c>
      <c r="D47" s="1">
        <v>0</v>
      </c>
      <c r="E47" s="1">
        <v>1</v>
      </c>
      <c r="F47" s="1">
        <v>6</v>
      </c>
      <c r="G47" s="1">
        <v>6</v>
      </c>
      <c r="H47" s="1">
        <v>1</v>
      </c>
      <c r="I47" s="1">
        <v>1</v>
      </c>
      <c r="J47" s="1">
        <v>2</v>
      </c>
      <c r="K47" s="1">
        <v>2</v>
      </c>
      <c r="L47" s="1">
        <v>1</v>
      </c>
      <c r="M47" s="1">
        <v>0</v>
      </c>
      <c r="N47" s="5">
        <v>26.8</v>
      </c>
      <c r="O47" s="6">
        <v>718.24</v>
      </c>
      <c r="P47" s="5">
        <v>226</v>
      </c>
      <c r="Q47">
        <v>138.66481582392606</v>
      </c>
      <c r="R47" s="6">
        <v>31.546840000000003</v>
      </c>
      <c r="S47" s="6">
        <v>29.159300000000002</v>
      </c>
      <c r="T47" s="6">
        <v>558.3364444444444</v>
      </c>
      <c r="U47" s="6">
        <v>177.77777777777823</v>
      </c>
      <c r="V47" s="6">
        <f t="shared" si="0"/>
        <v>1.4281347940287887</v>
      </c>
      <c r="W47" s="6">
        <f t="shared" si="1"/>
        <v>2.3541084391474008</v>
      </c>
      <c r="X47" s="6">
        <v>2.141966279155973</v>
      </c>
      <c r="Y47" s="6">
        <f t="shared" si="2"/>
        <v>1.498955863127073</v>
      </c>
      <c r="Z47" s="6">
        <f t="shared" si="2"/>
        <v>1.4647770940702751</v>
      </c>
      <c r="AA47" s="6">
        <f t="shared" si="2"/>
        <v>2.7468959765958112</v>
      </c>
      <c r="AB47" s="6">
        <f t="shared" si="2"/>
        <v>2.2498774732166011</v>
      </c>
    </row>
    <row r="48" spans="1:28">
      <c r="A48" s="1">
        <v>47</v>
      </c>
      <c r="B48" s="1">
        <v>1</v>
      </c>
      <c r="C48" s="1">
        <v>1</v>
      </c>
      <c r="D48" s="1">
        <v>1</v>
      </c>
      <c r="E48" s="1">
        <v>1</v>
      </c>
      <c r="F48" s="1">
        <v>16</v>
      </c>
      <c r="G48" s="1">
        <v>6</v>
      </c>
      <c r="H48" s="1">
        <v>3</v>
      </c>
      <c r="I48" s="1">
        <v>1</v>
      </c>
      <c r="J48" s="1">
        <v>5</v>
      </c>
      <c r="K48" s="1">
        <v>6</v>
      </c>
      <c r="L48" s="1">
        <v>1</v>
      </c>
      <c r="M48" s="1">
        <v>0</v>
      </c>
      <c r="N48" s="5">
        <v>18.8</v>
      </c>
      <c r="O48" s="6">
        <v>353.44</v>
      </c>
      <c r="P48" s="5">
        <v>226</v>
      </c>
      <c r="Q48">
        <v>138.66481582392606</v>
      </c>
      <c r="R48" s="6">
        <v>22.544640000000001</v>
      </c>
      <c r="S48" s="6">
        <v>238.75399999999999</v>
      </c>
      <c r="T48" s="6">
        <v>5275.0450222222225</v>
      </c>
      <c r="U48" s="6">
        <v>1000</v>
      </c>
      <c r="V48" s="6">
        <f t="shared" si="0"/>
        <v>1.2741578492636798</v>
      </c>
      <c r="W48" s="6">
        <f t="shared" si="1"/>
        <v>2.3541084391474008</v>
      </c>
      <c r="X48" s="6">
        <v>2.141966279155973</v>
      </c>
      <c r="Y48" s="6">
        <f t="shared" si="2"/>
        <v>1.3530433047451944</v>
      </c>
      <c r="Z48" s="6">
        <f t="shared" si="2"/>
        <v>2.3779506563327493</v>
      </c>
      <c r="AA48" s="6">
        <f t="shared" si="2"/>
        <v>3.7222261706653192</v>
      </c>
      <c r="AB48" s="6">
        <f t="shared" si="2"/>
        <v>3</v>
      </c>
    </row>
    <row r="49" spans="1:28">
      <c r="A49" s="1">
        <v>48</v>
      </c>
      <c r="B49" s="1">
        <v>0</v>
      </c>
      <c r="C49" s="1">
        <v>1</v>
      </c>
      <c r="D49" s="1">
        <v>1</v>
      </c>
      <c r="E49" s="1">
        <v>1</v>
      </c>
      <c r="F49" s="1">
        <v>12</v>
      </c>
      <c r="G49" s="1">
        <v>6</v>
      </c>
      <c r="H49" s="1">
        <v>2</v>
      </c>
      <c r="I49" s="1">
        <v>1</v>
      </c>
      <c r="J49" s="1">
        <v>4</v>
      </c>
      <c r="K49" s="1">
        <v>4</v>
      </c>
      <c r="L49" s="1">
        <v>1</v>
      </c>
      <c r="M49" s="1">
        <v>0</v>
      </c>
      <c r="N49" s="5">
        <v>106.8</v>
      </c>
      <c r="O49" s="6">
        <v>11406.24</v>
      </c>
      <c r="P49" s="5">
        <v>351</v>
      </c>
      <c r="Q49">
        <v>320.97811743734667</v>
      </c>
      <c r="R49" s="6">
        <v>117.81140000000001</v>
      </c>
      <c r="S49" s="6">
        <v>109.592</v>
      </c>
      <c r="T49" s="6">
        <v>23609.857555555554</v>
      </c>
      <c r="U49" s="6">
        <v>3800</v>
      </c>
      <c r="V49" s="6">
        <f t="shared" si="0"/>
        <v>2.0285712526925375</v>
      </c>
      <c r="W49" s="6">
        <f t="shared" si="1"/>
        <v>2.5453071164658239</v>
      </c>
      <c r="X49" s="6">
        <v>2.5064754255508195</v>
      </c>
      <c r="Y49" s="6">
        <f t="shared" si="2"/>
        <v>2.0711873169158257</v>
      </c>
      <c r="Z49" s="6">
        <f t="shared" si="2"/>
        <v>2.0397788526642016</v>
      </c>
      <c r="AA49" s="6">
        <f t="shared" si="2"/>
        <v>4.3730933668744569</v>
      </c>
      <c r="AB49" s="6">
        <f t="shared" si="2"/>
        <v>3.5797835966168101</v>
      </c>
    </row>
    <row r="50" spans="1:28">
      <c r="A50" s="1">
        <v>49</v>
      </c>
      <c r="B50" s="1">
        <v>1</v>
      </c>
      <c r="C50" s="1">
        <v>0</v>
      </c>
      <c r="D50" s="1">
        <v>0</v>
      </c>
      <c r="E50" s="1">
        <v>1</v>
      </c>
      <c r="F50" s="1">
        <v>2</v>
      </c>
      <c r="G50" s="1">
        <v>6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0</v>
      </c>
      <c r="N50" s="5">
        <v>22.8</v>
      </c>
      <c r="O50" s="6">
        <v>519.84</v>
      </c>
      <c r="P50" s="5">
        <v>276</v>
      </c>
      <c r="Q50">
        <v>201.59500794760282</v>
      </c>
      <c r="R50" s="6">
        <v>28.885320000000004</v>
      </c>
      <c r="S50" s="6">
        <v>320.94799999999998</v>
      </c>
      <c r="T50" s="6">
        <v>777.93133333333412</v>
      </c>
      <c r="U50" s="6">
        <v>311.11111111111074</v>
      </c>
      <c r="V50" s="6">
        <f t="shared" si="0"/>
        <v>1.3579348470004537</v>
      </c>
      <c r="W50" s="6">
        <f t="shared" si="1"/>
        <v>2.4409090820652177</v>
      </c>
      <c r="X50" s="6">
        <v>2.3044797735688629</v>
      </c>
      <c r="Y50" s="6">
        <f t="shared" si="2"/>
        <v>1.460677183145024</v>
      </c>
      <c r="Z50" s="6">
        <f t="shared" si="2"/>
        <v>2.5064346737056988</v>
      </c>
      <c r="AA50" s="6">
        <f t="shared" si="2"/>
        <v>2.8909412642512136</v>
      </c>
      <c r="AB50" s="6">
        <f t="shared" si="2"/>
        <v>2.4929155219028938</v>
      </c>
    </row>
    <row r="51" spans="1:28">
      <c r="A51" s="1">
        <v>50</v>
      </c>
      <c r="B51" s="1">
        <v>1</v>
      </c>
      <c r="C51" s="1">
        <v>1</v>
      </c>
      <c r="D51" s="1">
        <v>1</v>
      </c>
      <c r="E51" s="1">
        <v>1</v>
      </c>
      <c r="F51" s="1">
        <v>17</v>
      </c>
      <c r="G51" s="1">
        <v>6</v>
      </c>
      <c r="H51" s="1">
        <v>3</v>
      </c>
      <c r="I51" s="1">
        <v>1</v>
      </c>
      <c r="J51" s="1">
        <v>5</v>
      </c>
      <c r="K51" s="1">
        <v>6</v>
      </c>
      <c r="L51" s="1">
        <v>1</v>
      </c>
      <c r="M51" s="1">
        <v>0</v>
      </c>
      <c r="N51" s="5">
        <v>14.8</v>
      </c>
      <c r="O51" s="6">
        <v>219.04</v>
      </c>
      <c r="P51" s="5">
        <v>201</v>
      </c>
      <c r="Q51">
        <v>112.00738664622469</v>
      </c>
      <c r="R51" s="6">
        <v>11.546300000000002</v>
      </c>
      <c r="S51" s="6">
        <v>42.564749999999997</v>
      </c>
      <c r="T51" s="6">
        <v>256.61893333333364</v>
      </c>
      <c r="U51" s="6">
        <v>22.222222222222861</v>
      </c>
      <c r="V51" s="6">
        <f t="shared" si="0"/>
        <v>1.1702617153949575</v>
      </c>
      <c r="W51" s="6">
        <f t="shared" si="1"/>
        <v>2.3031960574204891</v>
      </c>
      <c r="X51" s="6">
        <v>2.049246664401549</v>
      </c>
      <c r="Y51" s="6">
        <f t="shared" si="2"/>
        <v>1.0624428373001455</v>
      </c>
      <c r="Z51" s="6">
        <f t="shared" si="2"/>
        <v>1.6290500869486573</v>
      </c>
      <c r="AA51" s="6">
        <f t="shared" si="2"/>
        <v>2.409288695448303</v>
      </c>
      <c r="AB51" s="6">
        <f t="shared" si="2"/>
        <v>1.3467874862246687</v>
      </c>
    </row>
    <row r="52" spans="1:28">
      <c r="A52" s="1">
        <v>51</v>
      </c>
      <c r="B52" s="1">
        <v>0</v>
      </c>
      <c r="C52" s="1">
        <v>1</v>
      </c>
      <c r="D52" s="1">
        <v>1</v>
      </c>
      <c r="E52" s="1">
        <v>0</v>
      </c>
      <c r="F52" s="1">
        <v>11</v>
      </c>
      <c r="G52" s="1">
        <v>6</v>
      </c>
      <c r="H52" s="1">
        <v>2</v>
      </c>
      <c r="I52" s="1">
        <v>1</v>
      </c>
      <c r="J52" s="1">
        <v>4</v>
      </c>
      <c r="K52" s="1">
        <v>4</v>
      </c>
      <c r="L52" s="1">
        <v>1</v>
      </c>
      <c r="M52" s="1">
        <v>0</v>
      </c>
      <c r="N52" s="5">
        <v>20.8</v>
      </c>
      <c r="O52" s="6">
        <v>432.64</v>
      </c>
      <c r="P52" s="5">
        <v>201</v>
      </c>
      <c r="Q52">
        <v>112.00738664622469</v>
      </c>
      <c r="R52" s="6">
        <v>13.933840000000002</v>
      </c>
      <c r="S52" s="6">
        <v>113.506</v>
      </c>
      <c r="T52" s="6">
        <v>595.91084444444448</v>
      </c>
      <c r="U52" s="6">
        <v>88.88888888888988</v>
      </c>
      <c r="V52" s="6">
        <f t="shared" si="0"/>
        <v>1.3180633349627615</v>
      </c>
      <c r="W52" s="6">
        <f t="shared" si="1"/>
        <v>2.3031960574204891</v>
      </c>
      <c r="X52" s="6">
        <v>2.049246664401549</v>
      </c>
      <c r="Y52" s="6">
        <f t="shared" si="2"/>
        <v>1.1440708192948577</v>
      </c>
      <c r="Z52" s="6">
        <f t="shared" si="2"/>
        <v>2.0550188192209387</v>
      </c>
      <c r="AA52" s="6">
        <f t="shared" si="2"/>
        <v>2.775181288830606</v>
      </c>
      <c r="AB52" s="6">
        <f t="shared" si="2"/>
        <v>1.9488474775526237</v>
      </c>
    </row>
    <row r="53" spans="1:28">
      <c r="A53" s="1">
        <v>52</v>
      </c>
      <c r="B53" s="1">
        <v>0</v>
      </c>
      <c r="C53" s="1">
        <v>1</v>
      </c>
      <c r="D53" s="1">
        <v>1</v>
      </c>
      <c r="E53" s="1">
        <v>1</v>
      </c>
      <c r="F53" s="1">
        <v>11</v>
      </c>
      <c r="G53" s="1">
        <v>6</v>
      </c>
      <c r="H53" s="1">
        <v>2</v>
      </c>
      <c r="I53" s="1">
        <v>1</v>
      </c>
      <c r="J53" s="1">
        <v>4</v>
      </c>
      <c r="K53" s="1">
        <v>4</v>
      </c>
      <c r="L53" s="1">
        <v>1</v>
      </c>
      <c r="M53" s="1">
        <v>0</v>
      </c>
      <c r="N53" s="5">
        <v>18.8</v>
      </c>
      <c r="O53" s="6">
        <v>353.44</v>
      </c>
      <c r="P53" s="5">
        <v>276</v>
      </c>
      <c r="Q53">
        <v>201.59500794760282</v>
      </c>
      <c r="R53" s="6">
        <v>15.81256</v>
      </c>
      <c r="S53" s="6">
        <v>114.68020000000001</v>
      </c>
      <c r="T53" s="6">
        <v>978.33893333333322</v>
      </c>
      <c r="U53" s="6">
        <v>0.1</v>
      </c>
      <c r="V53" s="6">
        <f t="shared" si="0"/>
        <v>1.2741578492636798</v>
      </c>
      <c r="W53" s="6">
        <f t="shared" si="1"/>
        <v>2.4409090820652177</v>
      </c>
      <c r="X53" s="6">
        <v>2.3044797735688629</v>
      </c>
      <c r="Y53" s="6">
        <f t="shared" si="2"/>
        <v>1.1990021864325873</v>
      </c>
      <c r="Z53" s="6">
        <f t="shared" si="2"/>
        <v>2.0594884416760917</v>
      </c>
      <c r="AA53" s="6">
        <f t="shared" si="2"/>
        <v>2.9904893367673488</v>
      </c>
      <c r="AB53" s="6">
        <f t="shared" si="2"/>
        <v>-1</v>
      </c>
    </row>
    <row r="54" spans="1:28">
      <c r="A54" s="1">
        <v>53</v>
      </c>
      <c r="B54" s="1">
        <v>1</v>
      </c>
      <c r="C54" s="1">
        <v>1</v>
      </c>
      <c r="D54" s="1">
        <v>1</v>
      </c>
      <c r="E54" s="1">
        <v>1</v>
      </c>
      <c r="F54" s="1">
        <v>15</v>
      </c>
      <c r="G54" s="1">
        <v>6</v>
      </c>
      <c r="H54" s="1">
        <v>3</v>
      </c>
      <c r="I54" s="1">
        <v>1</v>
      </c>
      <c r="J54" s="1">
        <v>5</v>
      </c>
      <c r="K54" s="1">
        <v>5</v>
      </c>
      <c r="L54" s="1">
        <v>1</v>
      </c>
      <c r="M54" s="1">
        <v>0</v>
      </c>
      <c r="N54" s="5">
        <v>74.8</v>
      </c>
      <c r="O54" s="6">
        <v>5595.04</v>
      </c>
      <c r="P54" s="5">
        <v>351</v>
      </c>
      <c r="Q54">
        <v>320.97811743734667</v>
      </c>
      <c r="R54" s="6">
        <v>128.3792</v>
      </c>
      <c r="S54" s="6">
        <v>215.27</v>
      </c>
      <c r="T54" s="6">
        <v>9990.8562222222226</v>
      </c>
      <c r="U54" s="6">
        <v>1866.6666666666663</v>
      </c>
      <c r="V54" s="6">
        <f t="shared" si="0"/>
        <v>1.8739015978644613</v>
      </c>
      <c r="W54" s="6">
        <f t="shared" si="1"/>
        <v>2.5453071164658239</v>
      </c>
      <c r="X54" s="6">
        <v>2.5064754255508195</v>
      </c>
      <c r="Y54" s="6">
        <f t="shared" si="2"/>
        <v>2.1084946650336613</v>
      </c>
      <c r="Z54" s="6">
        <f t="shared" si="2"/>
        <v>2.3329835108162262</v>
      </c>
      <c r="AA54" s="6">
        <f t="shared" si="2"/>
        <v>3.9996027091120632</v>
      </c>
      <c r="AB54" s="6">
        <f t="shared" si="2"/>
        <v>3.2710667722865381</v>
      </c>
    </row>
    <row r="55" spans="1:28">
      <c r="A55" s="1">
        <v>54</v>
      </c>
      <c r="B55" s="1">
        <v>1</v>
      </c>
      <c r="C55" s="1">
        <v>1</v>
      </c>
      <c r="D55" s="1">
        <v>1</v>
      </c>
      <c r="E55" s="1">
        <v>1</v>
      </c>
      <c r="F55" s="1">
        <v>19</v>
      </c>
      <c r="G55" s="1">
        <v>6</v>
      </c>
      <c r="H55" s="1">
        <v>3</v>
      </c>
      <c r="I55" s="1">
        <v>1</v>
      </c>
      <c r="J55" s="1">
        <v>5</v>
      </c>
      <c r="K55" s="1">
        <v>6</v>
      </c>
      <c r="L55" s="1">
        <v>1</v>
      </c>
      <c r="M55" s="1">
        <v>0</v>
      </c>
      <c r="N55" s="5">
        <v>24.8</v>
      </c>
      <c r="O55" s="6">
        <v>615.04</v>
      </c>
      <c r="P55" s="5">
        <v>301</v>
      </c>
      <c r="Q55">
        <v>237.99808593525557</v>
      </c>
      <c r="R55" s="6">
        <v>44.032499999999999</v>
      </c>
      <c r="S55" s="6">
        <v>356.17399999999998</v>
      </c>
      <c r="T55" s="6">
        <v>5897.5137777777772</v>
      </c>
      <c r="U55" s="6">
        <v>1111.1111111111122</v>
      </c>
      <c r="V55" s="6">
        <f t="shared" si="0"/>
        <v>1.3944516808262162</v>
      </c>
      <c r="W55" s="6">
        <f t="shared" si="1"/>
        <v>2.4785664955938436</v>
      </c>
      <c r="X55" s="6">
        <v>2.376573464320801</v>
      </c>
      <c r="Y55" s="6">
        <f t="shared" si="2"/>
        <v>1.6437733437693636</v>
      </c>
      <c r="Z55" s="6">
        <f t="shared" si="2"/>
        <v>2.551662213643076</v>
      </c>
      <c r="AA55" s="6">
        <f t="shared" si="2"/>
        <v>3.7706689641580353</v>
      </c>
      <c r="AB55" s="6">
        <f t="shared" si="2"/>
        <v>3.0457574905606757</v>
      </c>
    </row>
    <row r="56" spans="1:28">
      <c r="A56" s="1">
        <v>55</v>
      </c>
      <c r="B56" s="1">
        <v>0</v>
      </c>
      <c r="C56" s="1">
        <v>1</v>
      </c>
      <c r="D56" s="1">
        <v>1</v>
      </c>
      <c r="E56" s="1">
        <v>0</v>
      </c>
      <c r="F56" s="1">
        <v>11</v>
      </c>
      <c r="G56" s="1">
        <v>6</v>
      </c>
      <c r="H56" s="1">
        <v>2</v>
      </c>
      <c r="I56" s="1">
        <v>2</v>
      </c>
      <c r="J56" s="1">
        <v>4</v>
      </c>
      <c r="K56" s="1">
        <v>4</v>
      </c>
      <c r="L56" s="1">
        <v>1</v>
      </c>
      <c r="M56" s="1">
        <v>0</v>
      </c>
      <c r="N56" s="5">
        <v>18.8</v>
      </c>
      <c r="O56" s="6">
        <v>353.44</v>
      </c>
      <c r="P56" s="5">
        <v>276</v>
      </c>
      <c r="Q56">
        <v>201.59500794760282</v>
      </c>
      <c r="R56" s="6">
        <v>7.593160000000001</v>
      </c>
      <c r="S56" s="6">
        <v>150.68899999999999</v>
      </c>
      <c r="T56" s="6">
        <v>978.59626666666736</v>
      </c>
      <c r="U56" s="6">
        <v>177.77777777777823</v>
      </c>
      <c r="V56" s="6">
        <f t="shared" si="0"/>
        <v>1.2741578492636798</v>
      </c>
      <c r="W56" s="6">
        <f t="shared" si="1"/>
        <v>2.4409090820652177</v>
      </c>
      <c r="X56" s="6">
        <v>2.3044797735688629</v>
      </c>
      <c r="Y56" s="6">
        <f t="shared" si="2"/>
        <v>0.88042255125220847</v>
      </c>
      <c r="Z56" s="6">
        <f t="shared" si="2"/>
        <v>2.1780815508304832</v>
      </c>
      <c r="AA56" s="6">
        <f t="shared" si="2"/>
        <v>2.9906035545987018</v>
      </c>
      <c r="AB56" s="6">
        <f t="shared" si="2"/>
        <v>2.2498774732166011</v>
      </c>
    </row>
    <row r="57" spans="1:28">
      <c r="A57" s="1">
        <v>56</v>
      </c>
      <c r="B57" s="1">
        <v>0</v>
      </c>
      <c r="C57" s="1">
        <v>1</v>
      </c>
      <c r="D57" s="1">
        <v>1</v>
      </c>
      <c r="E57" s="1">
        <v>0</v>
      </c>
      <c r="F57" s="1">
        <v>10</v>
      </c>
      <c r="G57" s="1">
        <v>6</v>
      </c>
      <c r="H57" s="1">
        <v>2</v>
      </c>
      <c r="I57" s="1">
        <v>2</v>
      </c>
      <c r="J57" s="1">
        <v>4</v>
      </c>
      <c r="K57" s="1">
        <v>4</v>
      </c>
      <c r="L57" s="1">
        <v>1</v>
      </c>
      <c r="M57" s="1">
        <v>0</v>
      </c>
      <c r="N57" s="5">
        <v>182.8</v>
      </c>
      <c r="O57" s="6">
        <v>33415.839999999997</v>
      </c>
      <c r="P57" s="5">
        <v>501</v>
      </c>
      <c r="Q57">
        <v>655.04851954613616</v>
      </c>
      <c r="R57" s="6">
        <v>170.25900000000001</v>
      </c>
      <c r="S57" s="6">
        <v>117.02860000000001</v>
      </c>
      <c r="T57" s="6">
        <v>17249.462444444449</v>
      </c>
      <c r="U57" s="6">
        <v>6888.8888888888887</v>
      </c>
      <c r="V57" s="6">
        <f t="shared" si="0"/>
        <v>2.2619761913978125</v>
      </c>
      <c r="W57" s="6">
        <f t="shared" si="1"/>
        <v>2.6998377258672459</v>
      </c>
      <c r="X57" s="6">
        <v>2.8162734694432907</v>
      </c>
      <c r="Y57" s="6">
        <f t="shared" si="2"/>
        <v>2.2311100782766196</v>
      </c>
      <c r="Z57" s="6">
        <f t="shared" si="2"/>
        <v>2.0682920096464121</v>
      </c>
      <c r="AA57" s="6">
        <f t="shared" si="2"/>
        <v>4.2367755654354298</v>
      </c>
      <c r="AB57" s="6">
        <f t="shared" si="2"/>
        <v>3.8381491800589291</v>
      </c>
    </row>
    <row r="58" spans="1:28">
      <c r="A58" s="1">
        <v>57</v>
      </c>
      <c r="B58" s="1">
        <v>1</v>
      </c>
      <c r="C58" s="1">
        <v>1</v>
      </c>
      <c r="D58" s="1">
        <v>1</v>
      </c>
      <c r="E58" s="1">
        <v>0</v>
      </c>
      <c r="F58" s="1">
        <v>20</v>
      </c>
      <c r="G58" s="1">
        <v>18</v>
      </c>
      <c r="H58" s="1">
        <v>3</v>
      </c>
      <c r="I58" s="1">
        <v>2</v>
      </c>
      <c r="J58" s="1">
        <v>6</v>
      </c>
      <c r="K58" s="1">
        <v>7</v>
      </c>
      <c r="L58" s="1">
        <v>1</v>
      </c>
      <c r="M58" s="1">
        <v>0</v>
      </c>
      <c r="N58" s="5">
        <v>78.8</v>
      </c>
      <c r="O58" s="6">
        <v>6209.44</v>
      </c>
      <c r="P58" s="5">
        <v>376</v>
      </c>
      <c r="Q58">
        <v>367.66496551835189</v>
      </c>
      <c r="R58" s="6">
        <v>79.454200000000014</v>
      </c>
      <c r="S58" s="6">
        <v>122.5082</v>
      </c>
      <c r="T58" s="6">
        <v>10976.590666666667</v>
      </c>
      <c r="U58" s="6">
        <v>1733.3333333333351</v>
      </c>
      <c r="V58" s="6">
        <f t="shared" si="0"/>
        <v>1.8965262174895554</v>
      </c>
      <c r="W58" s="6">
        <f t="shared" si="1"/>
        <v>2.5751878449276608</v>
      </c>
      <c r="X58" s="6">
        <v>2.565452248288882</v>
      </c>
      <c r="Y58" s="6">
        <f t="shared" si="2"/>
        <v>1.9001168592351954</v>
      </c>
      <c r="Z58" s="6">
        <f t="shared" si="2"/>
        <v>2.0881651588684309</v>
      </c>
      <c r="AA58" s="6">
        <f t="shared" si="2"/>
        <v>4.0404674690233824</v>
      </c>
      <c r="AB58" s="6">
        <f t="shared" si="2"/>
        <v>3.2388820889151373</v>
      </c>
    </row>
    <row r="59" spans="1:28">
      <c r="A59" s="1">
        <v>58</v>
      </c>
      <c r="B59" s="1">
        <v>1</v>
      </c>
      <c r="C59" s="1">
        <v>1</v>
      </c>
      <c r="D59" s="1">
        <v>1</v>
      </c>
      <c r="E59" s="1">
        <v>0</v>
      </c>
      <c r="F59" s="1">
        <v>25</v>
      </c>
      <c r="G59" s="1">
        <v>18</v>
      </c>
      <c r="H59" s="1">
        <v>3</v>
      </c>
      <c r="I59" s="1">
        <v>2</v>
      </c>
      <c r="J59" s="1">
        <v>6</v>
      </c>
      <c r="K59" s="1">
        <v>7</v>
      </c>
      <c r="L59" s="1">
        <v>1</v>
      </c>
      <c r="M59" s="1">
        <v>0</v>
      </c>
      <c r="N59" s="5">
        <v>82.8</v>
      </c>
      <c r="O59" s="6">
        <v>6855.84</v>
      </c>
      <c r="P59" s="5">
        <v>301</v>
      </c>
      <c r="Q59">
        <v>237.99808593525557</v>
      </c>
      <c r="R59" s="6">
        <v>82.389700000000005</v>
      </c>
      <c r="S59" s="6">
        <v>26.713049999999999</v>
      </c>
      <c r="T59" s="6">
        <v>2503.1793333333339</v>
      </c>
      <c r="U59" s="6">
        <v>244.44444444444375</v>
      </c>
      <c r="V59" s="6">
        <f t="shared" si="0"/>
        <v>1.9180303367848801</v>
      </c>
      <c r="W59" s="6">
        <f t="shared" si="1"/>
        <v>2.4785664955938436</v>
      </c>
      <c r="X59" s="6">
        <v>2.376573464320801</v>
      </c>
      <c r="Y59" s="6">
        <f t="shared" si="2"/>
        <v>1.9158729214936694</v>
      </c>
      <c r="Z59" s="6">
        <f t="shared" si="2"/>
        <v>1.4267234770347761</v>
      </c>
      <c r="AA59" s="6">
        <f t="shared" si="2"/>
        <v>3.3984919645451583</v>
      </c>
      <c r="AB59" s="6">
        <f t="shared" si="2"/>
        <v>2.3881801713828801</v>
      </c>
    </row>
    <row r="60" spans="1:28">
      <c r="A60" s="1">
        <v>59</v>
      </c>
      <c r="B60" s="1">
        <v>1</v>
      </c>
      <c r="C60" s="1">
        <v>1</v>
      </c>
      <c r="D60" s="1">
        <v>1</v>
      </c>
      <c r="E60" s="1">
        <v>0</v>
      </c>
      <c r="F60" s="1">
        <v>17</v>
      </c>
      <c r="G60" s="1">
        <v>6</v>
      </c>
      <c r="H60" s="1">
        <v>3</v>
      </c>
      <c r="I60" s="1">
        <v>2</v>
      </c>
      <c r="J60" s="1">
        <v>5</v>
      </c>
      <c r="K60" s="1">
        <v>6</v>
      </c>
      <c r="L60" s="1">
        <v>1</v>
      </c>
      <c r="M60" s="1">
        <v>0</v>
      </c>
      <c r="N60" s="5">
        <v>62.8</v>
      </c>
      <c r="O60" s="6">
        <v>3943.84</v>
      </c>
      <c r="P60" s="5">
        <v>276</v>
      </c>
      <c r="Q60">
        <v>201.59500794760282</v>
      </c>
      <c r="R60" s="6">
        <v>73.778900000000007</v>
      </c>
      <c r="S60" s="6">
        <v>38.161499999999997</v>
      </c>
      <c r="T60" s="6">
        <v>932.89333333333298</v>
      </c>
      <c r="U60" s="6">
        <v>422.22222222222194</v>
      </c>
      <c r="V60" s="6">
        <f t="shared" si="0"/>
        <v>1.7979596437371961</v>
      </c>
      <c r="W60" s="6">
        <f t="shared" si="1"/>
        <v>2.4409090820652177</v>
      </c>
      <c r="X60" s="6">
        <v>2.3044797735688629</v>
      </c>
      <c r="Y60" s="6">
        <f t="shared" si="2"/>
        <v>1.8679321758637941</v>
      </c>
      <c r="Z60" s="6">
        <f t="shared" si="2"/>
        <v>1.5816254370205192</v>
      </c>
      <c r="AA60" s="6">
        <f t="shared" si="2"/>
        <v>2.9698319895203347</v>
      </c>
      <c r="AB60" s="6">
        <f t="shared" si="2"/>
        <v>2.6255410871774849</v>
      </c>
    </row>
    <row r="61" spans="1:28">
      <c r="A61" s="1">
        <v>60</v>
      </c>
      <c r="B61" s="1">
        <v>1</v>
      </c>
      <c r="C61" s="1">
        <v>1</v>
      </c>
      <c r="D61" s="1">
        <v>1</v>
      </c>
      <c r="E61" s="1">
        <v>0</v>
      </c>
      <c r="F61" s="1">
        <v>23</v>
      </c>
      <c r="G61" s="1">
        <v>18</v>
      </c>
      <c r="H61" s="1">
        <v>3</v>
      </c>
      <c r="I61" s="1">
        <v>2</v>
      </c>
      <c r="J61" s="1">
        <v>6</v>
      </c>
      <c r="K61" s="1">
        <v>7</v>
      </c>
      <c r="L61" s="1">
        <v>1</v>
      </c>
      <c r="M61" s="1">
        <v>0</v>
      </c>
      <c r="N61" s="5">
        <v>72.8</v>
      </c>
      <c r="O61" s="6">
        <v>5299.84</v>
      </c>
      <c r="P61" s="5">
        <v>376</v>
      </c>
      <c r="Q61">
        <v>367.66496551835189</v>
      </c>
      <c r="R61" s="6">
        <v>78.28</v>
      </c>
      <c r="S61" s="6">
        <v>191.3946</v>
      </c>
      <c r="T61" s="6">
        <v>10951.072888888886</v>
      </c>
      <c r="U61" s="6">
        <v>2888.8888888888887</v>
      </c>
      <c r="V61" s="6">
        <f t="shared" si="0"/>
        <v>1.8621313793130372</v>
      </c>
      <c r="W61" s="6">
        <f t="shared" si="1"/>
        <v>2.5751878449276608</v>
      </c>
      <c r="X61" s="6">
        <v>2.565452248288882</v>
      </c>
      <c r="Y61" s="6">
        <f t="shared" si="2"/>
        <v>1.8936508169859636</v>
      </c>
      <c r="Z61" s="6">
        <f t="shared" si="2"/>
        <v>2.2819296804456024</v>
      </c>
      <c r="AA61" s="6">
        <f t="shared" si="2"/>
        <v>4.0394566695778344</v>
      </c>
      <c r="AB61" s="6">
        <f t="shared" si="2"/>
        <v>3.460730838531493</v>
      </c>
    </row>
    <row r="62" spans="1:28">
      <c r="A62" s="1">
        <v>61</v>
      </c>
      <c r="B62" s="1">
        <v>0</v>
      </c>
      <c r="C62" s="1">
        <v>1</v>
      </c>
      <c r="D62" s="1">
        <v>0</v>
      </c>
      <c r="E62" s="1">
        <v>0</v>
      </c>
      <c r="F62" s="1">
        <v>6</v>
      </c>
      <c r="G62" s="1">
        <v>6</v>
      </c>
      <c r="H62" s="1">
        <v>1</v>
      </c>
      <c r="I62" s="1">
        <v>2</v>
      </c>
      <c r="J62" s="1">
        <v>2</v>
      </c>
      <c r="K62" s="1">
        <v>2</v>
      </c>
      <c r="L62" s="1">
        <v>1</v>
      </c>
      <c r="M62" s="1">
        <v>0</v>
      </c>
      <c r="N62" s="5">
        <v>2.8</v>
      </c>
      <c r="O62" s="6">
        <v>7.84</v>
      </c>
      <c r="P62" s="5">
        <v>151</v>
      </c>
      <c r="Q62">
        <v>67.946679077755547</v>
      </c>
      <c r="R62" s="6">
        <v>10.80264</v>
      </c>
      <c r="S62" s="6">
        <v>35.519550000000002</v>
      </c>
      <c r="T62" s="6">
        <v>386.47075555555614</v>
      </c>
      <c r="U62" s="6">
        <v>155.55555555555537</v>
      </c>
      <c r="V62" s="6">
        <f t="shared" si="0"/>
        <v>0.44715803134221921</v>
      </c>
      <c r="W62" s="6">
        <f t="shared" si="1"/>
        <v>2.1789769472931693</v>
      </c>
      <c r="X62" s="6">
        <v>1.832168235263502</v>
      </c>
      <c r="Y62" s="6">
        <f t="shared" si="2"/>
        <v>1.0335299033872001</v>
      </c>
      <c r="Z62" s="6">
        <f t="shared" si="2"/>
        <v>1.5504674550301325</v>
      </c>
      <c r="AA62" s="6">
        <f t="shared" si="2"/>
        <v>2.5871166362068134</v>
      </c>
      <c r="AB62" s="6">
        <f t="shared" si="2"/>
        <v>2.1918855262389125</v>
      </c>
    </row>
    <row r="63" spans="1:28">
      <c r="A63" s="1">
        <v>62</v>
      </c>
      <c r="B63" s="1">
        <v>0</v>
      </c>
      <c r="C63" s="1">
        <v>1</v>
      </c>
      <c r="D63" s="1">
        <v>0</v>
      </c>
      <c r="E63" s="1">
        <v>0</v>
      </c>
      <c r="F63" s="1">
        <v>5</v>
      </c>
      <c r="G63" s="1">
        <v>6</v>
      </c>
      <c r="H63" s="1">
        <v>1</v>
      </c>
      <c r="I63" s="1">
        <v>2</v>
      </c>
      <c r="J63" s="1">
        <v>2</v>
      </c>
      <c r="K63" s="1">
        <v>2</v>
      </c>
      <c r="L63" s="1">
        <v>1</v>
      </c>
      <c r="M63" s="1">
        <v>0</v>
      </c>
      <c r="N63" s="5">
        <v>92.8</v>
      </c>
      <c r="O63" s="6">
        <v>8611.84</v>
      </c>
      <c r="P63" s="5">
        <v>301</v>
      </c>
      <c r="Q63">
        <v>237.99808593525557</v>
      </c>
      <c r="R63" s="6">
        <v>33.54298</v>
      </c>
      <c r="S63" s="6">
        <v>18.200100000000003</v>
      </c>
      <c r="T63" s="6">
        <v>6586.7637777777772</v>
      </c>
      <c r="U63" s="6">
        <v>777.77777777777692</v>
      </c>
      <c r="V63" s="6">
        <f t="shared" si="0"/>
        <v>1.9675479762188621</v>
      </c>
      <c r="W63" s="6">
        <f t="shared" si="1"/>
        <v>2.4785664955938436</v>
      </c>
      <c r="X63" s="6">
        <v>2.376573464320801</v>
      </c>
      <c r="Y63" s="6">
        <f t="shared" si="2"/>
        <v>1.5256016432451804</v>
      </c>
      <c r="Z63" s="6">
        <f t="shared" si="2"/>
        <v>1.2600737742119363</v>
      </c>
      <c r="AA63" s="6">
        <f t="shared" si="2"/>
        <v>3.8186720885444143</v>
      </c>
      <c r="AB63" s="6">
        <f t="shared" si="2"/>
        <v>2.8908555305749313</v>
      </c>
    </row>
    <row r="64" spans="1:28">
      <c r="A64" s="1">
        <v>63</v>
      </c>
      <c r="B64" s="1">
        <v>0</v>
      </c>
      <c r="C64" s="1">
        <v>1</v>
      </c>
      <c r="D64" s="1">
        <v>0</v>
      </c>
      <c r="E64" s="1">
        <v>1</v>
      </c>
      <c r="F64" s="1">
        <v>5</v>
      </c>
      <c r="G64" s="1">
        <v>6</v>
      </c>
      <c r="H64" s="1">
        <v>1</v>
      </c>
      <c r="I64" s="1">
        <v>2</v>
      </c>
      <c r="J64" s="1">
        <v>2</v>
      </c>
      <c r="K64" s="1">
        <v>2</v>
      </c>
      <c r="L64" s="1">
        <v>1</v>
      </c>
      <c r="M64" s="1">
        <v>0</v>
      </c>
      <c r="N64" s="5">
        <v>254.8</v>
      </c>
      <c r="O64" s="6">
        <v>64923.040000000001</v>
      </c>
      <c r="P64" s="5">
        <v>451</v>
      </c>
      <c r="Q64">
        <v>529.11960662036506</v>
      </c>
      <c r="R64" s="6">
        <v>95.305900000000008</v>
      </c>
      <c r="S64" s="6">
        <v>25.832400000000003</v>
      </c>
      <c r="T64" s="6">
        <v>4863.0348888888875</v>
      </c>
      <c r="U64" s="6">
        <v>755.55555555555566</v>
      </c>
      <c r="V64" s="6">
        <f t="shared" si="0"/>
        <v>2.4061994236633129</v>
      </c>
      <c r="W64" s="6">
        <f t="shared" si="1"/>
        <v>2.6541765418779604</v>
      </c>
      <c r="X64" s="6">
        <v>2.7235538546888667</v>
      </c>
      <c r="Y64" s="6">
        <f t="shared" si="2"/>
        <v>1.9791197868726356</v>
      </c>
      <c r="Z64" s="6">
        <f t="shared" si="2"/>
        <v>1.4121647568638511</v>
      </c>
      <c r="AA64" s="6">
        <f t="shared" si="2"/>
        <v>3.6869073853398349</v>
      </c>
      <c r="AB64" s="6">
        <f t="shared" si="2"/>
        <v>2.8782664032669114</v>
      </c>
    </row>
    <row r="65" spans="1:28">
      <c r="A65" s="1">
        <v>64</v>
      </c>
      <c r="B65" s="1">
        <v>1</v>
      </c>
      <c r="C65" s="1">
        <v>1</v>
      </c>
      <c r="D65" s="1">
        <v>0</v>
      </c>
      <c r="E65" s="1">
        <v>0</v>
      </c>
      <c r="F65" s="1">
        <v>9</v>
      </c>
      <c r="G65" s="1">
        <v>6</v>
      </c>
      <c r="H65" s="1">
        <v>2</v>
      </c>
      <c r="I65" s="1">
        <v>2</v>
      </c>
      <c r="J65" s="1">
        <v>3</v>
      </c>
      <c r="K65" s="1">
        <v>3</v>
      </c>
      <c r="L65" s="1">
        <v>1</v>
      </c>
      <c r="M65" s="1">
        <v>0</v>
      </c>
      <c r="N65" s="5">
        <v>286.8</v>
      </c>
      <c r="O65" s="6">
        <v>82254.240000000005</v>
      </c>
      <c r="P65" s="5">
        <v>401</v>
      </c>
      <c r="Q65">
        <v>417.88528234172946</v>
      </c>
      <c r="R65" s="6">
        <v>147.55780000000001</v>
      </c>
      <c r="S65" s="6">
        <v>430.54</v>
      </c>
      <c r="T65" s="6">
        <v>19548.806666666664</v>
      </c>
      <c r="U65" s="6">
        <v>7088.8888888888896</v>
      </c>
      <c r="V65" s="6">
        <f t="shared" si="0"/>
        <v>2.4575791469957626</v>
      </c>
      <c r="W65" s="6">
        <f t="shared" si="1"/>
        <v>2.6031443726201822</v>
      </c>
      <c r="X65" s="6">
        <v>2.6210570758329541</v>
      </c>
      <c r="Y65" s="6">
        <f t="shared" si="2"/>
        <v>2.1689621715277752</v>
      </c>
      <c r="Z65" s="6">
        <f t="shared" si="2"/>
        <v>2.6340135064802075</v>
      </c>
      <c r="AA65" s="6">
        <f t="shared" si="2"/>
        <v>4.2911202515579907</v>
      </c>
      <c r="AB65" s="6">
        <f t="shared" si="2"/>
        <v>3.8505781692818375</v>
      </c>
    </row>
    <row r="66" spans="1:28">
      <c r="A66" s="1">
        <v>65</v>
      </c>
      <c r="B66" s="1">
        <v>1</v>
      </c>
      <c r="C66" s="1">
        <v>1</v>
      </c>
      <c r="D66" s="1">
        <v>1</v>
      </c>
      <c r="E66" s="1">
        <v>0</v>
      </c>
      <c r="F66" s="1">
        <v>15</v>
      </c>
      <c r="G66" s="1">
        <v>6</v>
      </c>
      <c r="H66" s="1">
        <v>3</v>
      </c>
      <c r="I66" s="1">
        <v>2</v>
      </c>
      <c r="J66" s="1">
        <v>5</v>
      </c>
      <c r="K66" s="1">
        <v>5</v>
      </c>
      <c r="L66" s="1">
        <v>1</v>
      </c>
      <c r="M66" s="1">
        <v>0</v>
      </c>
      <c r="N66" s="5">
        <v>58.8</v>
      </c>
      <c r="O66" s="6">
        <v>3457.44</v>
      </c>
      <c r="P66" s="5">
        <v>376</v>
      </c>
      <c r="Q66">
        <v>367.66496551835189</v>
      </c>
      <c r="R66" s="6">
        <v>67.71220000000001</v>
      </c>
      <c r="S66" s="6">
        <v>446.19600000000003</v>
      </c>
      <c r="T66" s="6">
        <v>23172.240888888889</v>
      </c>
      <c r="U66" s="6">
        <v>7933.333333333333</v>
      </c>
      <c r="V66" s="6">
        <f t="shared" si="0"/>
        <v>1.7693773260761385</v>
      </c>
      <c r="W66" s="6">
        <f t="shared" si="1"/>
        <v>2.5751878449276608</v>
      </c>
      <c r="X66" s="6">
        <v>2.565452248288882</v>
      </c>
      <c r="Y66" s="6">
        <f t="shared" si="2"/>
        <v>1.8306669244507778</v>
      </c>
      <c r="Z66" s="6">
        <f t="shared" si="2"/>
        <v>2.6495256726584548</v>
      </c>
      <c r="AA66" s="6">
        <f t="shared" si="2"/>
        <v>4.364968034593609</v>
      </c>
      <c r="AB66" s="6">
        <f t="shared" ref="AB66:AB129" si="3">LOG(U66)</f>
        <v>3.8994557023368497</v>
      </c>
    </row>
    <row r="67" spans="1:28">
      <c r="A67" s="1">
        <v>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2</v>
      </c>
      <c r="J67" s="1">
        <v>0</v>
      </c>
      <c r="K67" s="1">
        <v>0</v>
      </c>
      <c r="L67" s="1">
        <v>1</v>
      </c>
      <c r="M67" s="1">
        <v>0</v>
      </c>
      <c r="N67" s="5">
        <v>10.8</v>
      </c>
      <c r="O67" s="6">
        <v>116.64</v>
      </c>
      <c r="P67" s="5">
        <v>251</v>
      </c>
      <c r="Q67">
        <v>168.5049470211209</v>
      </c>
      <c r="R67" s="6">
        <v>7.4366000000000003</v>
      </c>
      <c r="S67" s="6">
        <v>286.50479999999999</v>
      </c>
      <c r="T67" s="6">
        <v>1295.9157777777768</v>
      </c>
      <c r="U67" s="6">
        <v>1266.6666666666658</v>
      </c>
      <c r="V67" s="6">
        <f t="shared" ref="V67:V130" si="4">LOG(N67)</f>
        <v>1.0334237554869496</v>
      </c>
      <c r="W67" s="6">
        <f t="shared" ref="W67:W130" si="5">LOG(P67)</f>
        <v>2.399673721481038</v>
      </c>
      <c r="X67" s="6">
        <v>2.226612655548228</v>
      </c>
      <c r="Y67" s="6">
        <f t="shared" ref="Y67:AB130" si="6">LOG(R67)</f>
        <v>0.87137442227481132</v>
      </c>
      <c r="Z67" s="6">
        <f t="shared" si="6"/>
        <v>2.4571319023803744</v>
      </c>
      <c r="AA67" s="6">
        <f t="shared" si="6"/>
        <v>3.1125767774335511</v>
      </c>
      <c r="AB67" s="6">
        <f t="shared" si="3"/>
        <v>3.1026623418971475</v>
      </c>
    </row>
    <row r="68" spans="1:28">
      <c r="A68" s="1">
        <v>67</v>
      </c>
      <c r="B68" s="1">
        <v>1</v>
      </c>
      <c r="C68" s="1">
        <v>1</v>
      </c>
      <c r="D68" s="1">
        <v>1</v>
      </c>
      <c r="E68" s="1">
        <v>0</v>
      </c>
      <c r="F68" s="1">
        <v>18</v>
      </c>
      <c r="G68" s="1">
        <v>6</v>
      </c>
      <c r="H68" s="1">
        <v>3</v>
      </c>
      <c r="I68" s="1">
        <v>2</v>
      </c>
      <c r="J68" s="1">
        <v>5</v>
      </c>
      <c r="K68" s="1">
        <v>6</v>
      </c>
      <c r="L68" s="1">
        <v>1</v>
      </c>
      <c r="M68" s="1">
        <v>0</v>
      </c>
      <c r="N68" s="5">
        <v>86.8</v>
      </c>
      <c r="O68" s="6">
        <v>7534.24</v>
      </c>
      <c r="P68" s="5">
        <v>533.67148799999995</v>
      </c>
      <c r="Q68">
        <v>796.01242338606198</v>
      </c>
      <c r="R68" s="6">
        <v>115.26730000000001</v>
      </c>
      <c r="S68" s="6">
        <v>91.587599999999995</v>
      </c>
      <c r="T68" s="6">
        <v>13207.749111111112</v>
      </c>
      <c r="U68" s="6">
        <v>2844.4444444444439</v>
      </c>
      <c r="V68" s="6">
        <f t="shared" si="4"/>
        <v>1.9385197251764918</v>
      </c>
      <c r="W68" s="6">
        <f t="shared" si="5"/>
        <v>2.727274000751799</v>
      </c>
      <c r="X68" s="6">
        <v>2.9009198458355456</v>
      </c>
      <c r="Y68" s="6">
        <f t="shared" si="6"/>
        <v>2.0617061204451028</v>
      </c>
      <c r="Z68" s="6">
        <f t="shared" si="6"/>
        <v>1.9618366787321251</v>
      </c>
      <c r="AA68" s="6">
        <f t="shared" si="6"/>
        <v>4.1208288106563966</v>
      </c>
      <c r="AB68" s="6">
        <f t="shared" si="3"/>
        <v>3.4539974558725248</v>
      </c>
    </row>
    <row r="69" spans="1:28">
      <c r="A69" s="1">
        <v>68</v>
      </c>
      <c r="B69" s="1">
        <v>1</v>
      </c>
      <c r="C69" s="1">
        <v>1</v>
      </c>
      <c r="D69" s="1">
        <v>0</v>
      </c>
      <c r="E69" s="1">
        <v>0</v>
      </c>
      <c r="F69" s="1">
        <v>8</v>
      </c>
      <c r="G69" s="1">
        <v>6</v>
      </c>
      <c r="H69" s="1">
        <v>2</v>
      </c>
      <c r="I69" s="1">
        <v>2</v>
      </c>
      <c r="J69" s="1">
        <v>3</v>
      </c>
      <c r="K69" s="1">
        <v>3</v>
      </c>
      <c r="L69" s="1">
        <v>1</v>
      </c>
      <c r="M69" s="1">
        <v>0</v>
      </c>
      <c r="N69" s="5">
        <v>128.80000000000001</v>
      </c>
      <c r="O69" s="6">
        <v>16589.439999999999</v>
      </c>
      <c r="P69" s="5">
        <v>326</v>
      </c>
      <c r="Q69">
        <v>277.77367501946367</v>
      </c>
      <c r="R69" s="6">
        <v>45.206700000000005</v>
      </c>
      <c r="S69" s="6">
        <v>20.059249999999999</v>
      </c>
      <c r="T69" s="6">
        <v>1688.6672444444448</v>
      </c>
      <c r="U69" s="6">
        <v>533.33333333333326</v>
      </c>
      <c r="V69" s="6">
        <f t="shared" si="4"/>
        <v>2.1099158630237933</v>
      </c>
      <c r="W69" s="6">
        <f t="shared" si="5"/>
        <v>2.5132176000679389</v>
      </c>
      <c r="X69" s="6">
        <v>2.4436910846862743</v>
      </c>
      <c r="Y69" s="6">
        <f t="shared" si="6"/>
        <v>1.6552028055501455</v>
      </c>
      <c r="Z69" s="6">
        <f t="shared" si="6"/>
        <v>1.3023146910497743</v>
      </c>
      <c r="AA69" s="6">
        <f t="shared" si="6"/>
        <v>3.2275440793288213</v>
      </c>
      <c r="AB69" s="6">
        <f t="shared" si="3"/>
        <v>2.7269987279362624</v>
      </c>
    </row>
    <row r="70" spans="1:28">
      <c r="A70" s="1">
        <v>69</v>
      </c>
      <c r="B70" s="1">
        <v>0</v>
      </c>
      <c r="C70" s="1">
        <v>1</v>
      </c>
      <c r="D70" s="1">
        <v>0</v>
      </c>
      <c r="E70" s="1">
        <v>0</v>
      </c>
      <c r="F70" s="1">
        <v>4</v>
      </c>
      <c r="G70" s="1">
        <v>6</v>
      </c>
      <c r="H70" s="1">
        <v>1</v>
      </c>
      <c r="I70" s="1">
        <v>2</v>
      </c>
      <c r="J70" s="1">
        <v>2</v>
      </c>
      <c r="K70" s="1">
        <v>2</v>
      </c>
      <c r="L70" s="1">
        <v>1</v>
      </c>
      <c r="M70" s="1">
        <v>0</v>
      </c>
      <c r="N70" s="5">
        <v>102.8</v>
      </c>
      <c r="O70" s="6">
        <v>10567.84</v>
      </c>
      <c r="P70" s="5">
        <v>326</v>
      </c>
      <c r="Q70">
        <v>277.77367501946367</v>
      </c>
      <c r="R70" s="6">
        <v>4.9316400000000007</v>
      </c>
      <c r="S70" s="6">
        <v>26.028100000000002</v>
      </c>
      <c r="T70" s="6">
        <v>1932.3288888888887</v>
      </c>
      <c r="U70" s="6">
        <v>288.88888888888795</v>
      </c>
      <c r="V70" s="6">
        <f t="shared" si="4"/>
        <v>2.0119931146592571</v>
      </c>
      <c r="W70" s="6">
        <f t="shared" si="5"/>
        <v>2.5132176000679389</v>
      </c>
      <c r="X70" s="6">
        <v>2.4436910846862743</v>
      </c>
      <c r="Y70" s="6">
        <f t="shared" si="6"/>
        <v>0.69299136643954529</v>
      </c>
      <c r="Z70" s="6">
        <f t="shared" si="6"/>
        <v>1.4154424666250871</v>
      </c>
      <c r="AA70" s="6">
        <f t="shared" si="6"/>
        <v>3.2860810467551715</v>
      </c>
      <c r="AB70" s="6">
        <f t="shared" si="3"/>
        <v>2.4607308385314917</v>
      </c>
    </row>
    <row r="71" spans="1:28">
      <c r="A71" s="1">
        <v>70</v>
      </c>
      <c r="B71" s="1">
        <v>1</v>
      </c>
      <c r="C71" s="1">
        <v>1</v>
      </c>
      <c r="D71" s="1">
        <v>1</v>
      </c>
      <c r="E71" s="1">
        <v>0</v>
      </c>
      <c r="F71" s="1">
        <v>21</v>
      </c>
      <c r="G71" s="1">
        <v>18</v>
      </c>
      <c r="H71" s="1">
        <v>3</v>
      </c>
      <c r="I71" s="1">
        <v>2</v>
      </c>
      <c r="J71" s="1">
        <v>6</v>
      </c>
      <c r="K71" s="1">
        <v>7</v>
      </c>
      <c r="L71" s="1">
        <v>1</v>
      </c>
      <c r="M71" s="1">
        <v>0</v>
      </c>
      <c r="N71" s="5">
        <v>84.8</v>
      </c>
      <c r="O71" s="6">
        <v>7191.04</v>
      </c>
      <c r="P71" s="5">
        <v>176</v>
      </c>
      <c r="Q71">
        <v>88.460600982037548</v>
      </c>
      <c r="R71" s="6">
        <v>5.9492800000000008</v>
      </c>
      <c r="S71" s="6">
        <v>32.77975</v>
      </c>
      <c r="T71" s="6">
        <v>243.79031111111073</v>
      </c>
      <c r="U71" s="6">
        <v>22.222222222222861</v>
      </c>
      <c r="V71" s="6">
        <f t="shared" si="4"/>
        <v>1.9283958522567137</v>
      </c>
      <c r="W71" s="6">
        <f t="shared" si="5"/>
        <v>2.2455126678141499</v>
      </c>
      <c r="X71" s="6">
        <v>1.946749885545636</v>
      </c>
      <c r="Y71" s="6">
        <f t="shared" si="6"/>
        <v>0.77446440926675497</v>
      </c>
      <c r="Z71" s="6">
        <f t="shared" si="6"/>
        <v>1.5156056370308653</v>
      </c>
      <c r="AA71" s="6">
        <f t="shared" si="6"/>
        <v>2.3870164415834516</v>
      </c>
      <c r="AB71" s="6">
        <f t="shared" si="3"/>
        <v>1.3467874862246687</v>
      </c>
    </row>
    <row r="72" spans="1:28">
      <c r="A72" s="1">
        <v>71</v>
      </c>
      <c r="B72" s="1">
        <v>1</v>
      </c>
      <c r="C72" s="1">
        <v>0</v>
      </c>
      <c r="D72" s="1">
        <v>0</v>
      </c>
      <c r="E72" s="1">
        <v>0</v>
      </c>
      <c r="F72" s="1">
        <v>2</v>
      </c>
      <c r="G72" s="1">
        <v>6</v>
      </c>
      <c r="H72" s="1">
        <v>1</v>
      </c>
      <c r="I72" s="1">
        <v>2</v>
      </c>
      <c r="J72" s="1">
        <v>1</v>
      </c>
      <c r="K72" s="1">
        <v>1</v>
      </c>
      <c r="L72" s="1">
        <v>1</v>
      </c>
      <c r="M72" s="1">
        <v>0</v>
      </c>
      <c r="N72" s="5">
        <v>176.8</v>
      </c>
      <c r="O72" s="6">
        <v>31258.240000000002</v>
      </c>
      <c r="P72" s="5">
        <v>351</v>
      </c>
      <c r="Q72">
        <v>320.97811743734667</v>
      </c>
      <c r="R72" s="6">
        <v>122.7039</v>
      </c>
      <c r="S72" s="6">
        <v>115.46300000000001</v>
      </c>
      <c r="T72" s="6">
        <v>28775.507333333331</v>
      </c>
      <c r="U72" s="6">
        <v>7488.8888888888887</v>
      </c>
      <c r="V72" s="6">
        <f t="shared" si="4"/>
        <v>2.2474822606770544</v>
      </c>
      <c r="W72" s="6">
        <f t="shared" si="5"/>
        <v>2.5453071164658239</v>
      </c>
      <c r="X72" s="6">
        <v>2.5064754255508195</v>
      </c>
      <c r="Y72" s="6">
        <f t="shared" si="6"/>
        <v>2.0888583664887177</v>
      </c>
      <c r="Z72" s="6">
        <f t="shared" si="6"/>
        <v>2.0624428373001455</v>
      </c>
      <c r="AA72" s="6">
        <f t="shared" si="6"/>
        <v>4.4590229893000863</v>
      </c>
      <c r="AB72" s="6">
        <f t="shared" si="3"/>
        <v>3.874417387095995</v>
      </c>
    </row>
    <row r="73" spans="1:28">
      <c r="A73" s="1">
        <v>72</v>
      </c>
      <c r="B73" s="1">
        <v>1</v>
      </c>
      <c r="C73" s="1">
        <v>1</v>
      </c>
      <c r="D73" s="1">
        <v>1</v>
      </c>
      <c r="E73" s="1">
        <v>0</v>
      </c>
      <c r="F73" s="1">
        <v>24</v>
      </c>
      <c r="G73" s="1">
        <v>18</v>
      </c>
      <c r="H73" s="1">
        <v>3</v>
      </c>
      <c r="I73" s="1">
        <v>2</v>
      </c>
      <c r="J73" s="1">
        <v>6</v>
      </c>
      <c r="K73" s="1">
        <v>7</v>
      </c>
      <c r="L73" s="1">
        <v>1</v>
      </c>
      <c r="M73" s="1">
        <v>0</v>
      </c>
      <c r="N73" s="5">
        <v>168.8</v>
      </c>
      <c r="O73" s="6">
        <v>28493.439999999999</v>
      </c>
      <c r="P73" s="5">
        <v>326</v>
      </c>
      <c r="Q73">
        <v>277.77367501946367</v>
      </c>
      <c r="R73" s="6">
        <v>84.542400000000015</v>
      </c>
      <c r="S73" s="6">
        <v>16.536649999999998</v>
      </c>
      <c r="T73" s="6">
        <v>8791.2173333333358</v>
      </c>
      <c r="U73" s="6">
        <v>1444.4444444444443</v>
      </c>
      <c r="V73" s="6">
        <f t="shared" si="4"/>
        <v>2.2273724422896364</v>
      </c>
      <c r="W73" s="6">
        <f t="shared" si="5"/>
        <v>2.5132176000679389</v>
      </c>
      <c r="X73" s="6">
        <v>2.4436910846862743</v>
      </c>
      <c r="Y73" s="6">
        <f t="shared" si="6"/>
        <v>1.9270745724729132</v>
      </c>
      <c r="Z73" s="6">
        <f t="shared" si="6"/>
        <v>1.2184475346076935</v>
      </c>
      <c r="AA73" s="6">
        <f t="shared" si="6"/>
        <v>3.9440490166601165</v>
      </c>
      <c r="AB73" s="6">
        <f t="shared" si="3"/>
        <v>3.1597008428675117</v>
      </c>
    </row>
    <row r="74" spans="1:28">
      <c r="A74" s="1">
        <v>73</v>
      </c>
      <c r="B74" s="1">
        <v>1</v>
      </c>
      <c r="C74" s="1">
        <v>1</v>
      </c>
      <c r="D74" s="1">
        <v>1</v>
      </c>
      <c r="E74" s="1">
        <v>0</v>
      </c>
      <c r="F74" s="1">
        <v>14</v>
      </c>
      <c r="G74" s="1">
        <v>6</v>
      </c>
      <c r="H74" s="1">
        <v>3</v>
      </c>
      <c r="I74" s="1">
        <v>2</v>
      </c>
      <c r="J74" s="1">
        <v>5</v>
      </c>
      <c r="K74" s="1">
        <v>5</v>
      </c>
      <c r="L74" s="1">
        <v>1</v>
      </c>
      <c r="M74" s="1">
        <v>0</v>
      </c>
      <c r="N74" s="5">
        <v>292.8</v>
      </c>
      <c r="O74" s="6">
        <v>85731.839999999997</v>
      </c>
      <c r="P74" s="5">
        <v>376</v>
      </c>
      <c r="Q74">
        <v>367.66496551835189</v>
      </c>
      <c r="R74" s="6">
        <v>54.013200000000012</v>
      </c>
      <c r="S74" s="6">
        <v>13.405450000000002</v>
      </c>
      <c r="T74" s="6">
        <v>3001.1223111111117</v>
      </c>
      <c r="U74" s="6">
        <v>666.66666666666731</v>
      </c>
      <c r="V74" s="6">
        <f t="shared" si="4"/>
        <v>2.4665710723863543</v>
      </c>
      <c r="W74" s="6">
        <f t="shared" si="5"/>
        <v>2.5751878449276608</v>
      </c>
      <c r="X74" s="6">
        <v>2.565452248288882</v>
      </c>
      <c r="Y74" s="6">
        <f t="shared" si="6"/>
        <v>1.732499907723219</v>
      </c>
      <c r="Z74" s="6">
        <f t="shared" si="6"/>
        <v>1.1272813971504267</v>
      </c>
      <c r="AA74" s="6">
        <f t="shared" si="6"/>
        <v>3.4772836955108839</v>
      </c>
      <c r="AB74" s="6">
        <f t="shared" si="3"/>
        <v>2.8239087409443191</v>
      </c>
    </row>
    <row r="75" spans="1:28">
      <c r="A75" s="1">
        <v>74</v>
      </c>
      <c r="B75" s="1">
        <v>1</v>
      </c>
      <c r="C75" s="1">
        <v>1</v>
      </c>
      <c r="D75" s="1">
        <v>1</v>
      </c>
      <c r="E75" s="1">
        <v>0</v>
      </c>
      <c r="F75" s="1">
        <v>13</v>
      </c>
      <c r="G75" s="1">
        <v>6</v>
      </c>
      <c r="H75" s="1">
        <v>3</v>
      </c>
      <c r="I75" s="1">
        <v>2</v>
      </c>
      <c r="J75" s="1">
        <v>5</v>
      </c>
      <c r="K75" s="1">
        <v>5</v>
      </c>
      <c r="L75" s="1">
        <v>1</v>
      </c>
      <c r="M75" s="1">
        <v>0</v>
      </c>
      <c r="N75" s="5">
        <v>196.8</v>
      </c>
      <c r="O75" s="6">
        <v>38730.239999999998</v>
      </c>
      <c r="P75" s="5">
        <v>326</v>
      </c>
      <c r="Q75">
        <v>277.77367501946367</v>
      </c>
      <c r="R75" s="6">
        <v>108.80920000000002</v>
      </c>
      <c r="S75" s="6">
        <v>7.6323000000000008</v>
      </c>
      <c r="T75" s="6">
        <v>1096.0627555555564</v>
      </c>
      <c r="U75" s="6">
        <v>244.44444444444531</v>
      </c>
      <c r="V75" s="6">
        <f t="shared" si="4"/>
        <v>2.2940250940953226</v>
      </c>
      <c r="W75" s="6">
        <f t="shared" si="5"/>
        <v>2.5132176000679389</v>
      </c>
      <c r="X75" s="6">
        <v>2.4436910846862743</v>
      </c>
      <c r="Y75" s="6">
        <f t="shared" si="6"/>
        <v>2.0366656172400588</v>
      </c>
      <c r="Z75" s="6">
        <f t="shared" si="6"/>
        <v>0.88265543268450042</v>
      </c>
      <c r="AA75" s="6">
        <f t="shared" si="6"/>
        <v>3.0398354205819644</v>
      </c>
      <c r="AB75" s="6">
        <f t="shared" si="3"/>
        <v>2.3881801713828827</v>
      </c>
    </row>
    <row r="76" spans="1:28">
      <c r="A76" s="1">
        <v>75</v>
      </c>
      <c r="B76" s="1">
        <v>0</v>
      </c>
      <c r="C76" s="1">
        <v>1</v>
      </c>
      <c r="D76" s="1">
        <v>0</v>
      </c>
      <c r="E76" s="1">
        <v>1</v>
      </c>
      <c r="F76" s="1">
        <v>6</v>
      </c>
      <c r="G76" s="1">
        <v>6</v>
      </c>
      <c r="H76" s="1">
        <v>1</v>
      </c>
      <c r="I76" s="1">
        <v>2</v>
      </c>
      <c r="J76" s="1">
        <v>2</v>
      </c>
      <c r="K76" s="1">
        <v>2</v>
      </c>
      <c r="L76" s="1">
        <v>1</v>
      </c>
      <c r="M76" s="1">
        <v>0</v>
      </c>
      <c r="N76" s="5">
        <v>10.8</v>
      </c>
      <c r="O76" s="6">
        <v>116.64</v>
      </c>
      <c r="P76" s="5">
        <v>226</v>
      </c>
      <c r="Q76">
        <v>138.66481582392606</v>
      </c>
      <c r="R76" s="6">
        <v>13.62072</v>
      </c>
      <c r="S76" s="6">
        <v>30.822749999999999</v>
      </c>
      <c r="T76" s="6">
        <v>354.29377777777785</v>
      </c>
      <c r="U76" s="6">
        <v>44.444444444444173</v>
      </c>
      <c r="V76" s="6">
        <f t="shared" si="4"/>
        <v>1.0334237554869496</v>
      </c>
      <c r="W76" s="6">
        <f t="shared" si="5"/>
        <v>2.3541084391474008</v>
      </c>
      <c r="X76" s="6">
        <v>2.141966279155973</v>
      </c>
      <c r="Y76" s="6">
        <f t="shared" si="6"/>
        <v>1.1342000652685633</v>
      </c>
      <c r="Z76" s="6">
        <f t="shared" si="6"/>
        <v>1.4888713837836205</v>
      </c>
      <c r="AA76" s="6">
        <f t="shared" si="6"/>
        <v>2.5493635251796203</v>
      </c>
      <c r="AB76" s="6">
        <f t="shared" si="3"/>
        <v>1.6478174818886349</v>
      </c>
    </row>
    <row r="77" spans="1:28">
      <c r="A77" s="1">
        <v>76</v>
      </c>
      <c r="B77" s="1">
        <v>1</v>
      </c>
      <c r="C77" s="1">
        <v>0</v>
      </c>
      <c r="D77" s="1">
        <v>0</v>
      </c>
      <c r="E77" s="1">
        <v>0</v>
      </c>
      <c r="F77" s="1">
        <v>1</v>
      </c>
      <c r="G77" s="1">
        <v>6</v>
      </c>
      <c r="H77" s="1">
        <v>1</v>
      </c>
      <c r="I77" s="1">
        <v>2</v>
      </c>
      <c r="J77" s="1">
        <v>1</v>
      </c>
      <c r="K77" s="1">
        <v>1</v>
      </c>
      <c r="L77" s="1">
        <v>1</v>
      </c>
      <c r="M77" s="1">
        <v>0</v>
      </c>
      <c r="N77" s="5">
        <v>26.8</v>
      </c>
      <c r="O77" s="6">
        <v>718.24</v>
      </c>
      <c r="P77" s="5">
        <v>301</v>
      </c>
      <c r="Q77">
        <v>237.99808593525557</v>
      </c>
      <c r="R77" s="6">
        <v>15.108040000000001</v>
      </c>
      <c r="S77" s="6">
        <v>364.00200000000001</v>
      </c>
      <c r="T77" s="6">
        <v>3533.4512000000009</v>
      </c>
      <c r="U77" s="6">
        <v>488.88888888888897</v>
      </c>
      <c r="V77" s="6">
        <f t="shared" si="4"/>
        <v>1.4281347940287887</v>
      </c>
      <c r="W77" s="6">
        <f t="shared" si="5"/>
        <v>2.4785664955938436</v>
      </c>
      <c r="X77" s="6">
        <v>2.376573464320801</v>
      </c>
      <c r="Y77" s="6">
        <f t="shared" si="6"/>
        <v>1.1792081259937373</v>
      </c>
      <c r="Z77" s="6">
        <f t="shared" si="6"/>
        <v>2.5611037698759174</v>
      </c>
      <c r="AA77" s="6">
        <f t="shared" si="6"/>
        <v>3.5481990977118518</v>
      </c>
      <c r="AB77" s="6">
        <f t="shared" si="3"/>
        <v>2.6892101670468627</v>
      </c>
    </row>
    <row r="78" spans="1:28">
      <c r="A78" s="1">
        <v>77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2</v>
      </c>
      <c r="J78" s="1">
        <v>0</v>
      </c>
      <c r="K78" s="1">
        <v>0</v>
      </c>
      <c r="L78" s="1">
        <v>1</v>
      </c>
      <c r="M78" s="1">
        <v>0</v>
      </c>
      <c r="N78" s="5">
        <v>280.8</v>
      </c>
      <c r="O78" s="6">
        <v>78848.639999999999</v>
      </c>
      <c r="P78" s="5">
        <v>476</v>
      </c>
      <c r="Q78">
        <v>590.22538564033709</v>
      </c>
      <c r="R78" s="6">
        <v>179.06550000000001</v>
      </c>
      <c r="S78" s="6">
        <v>194.5258</v>
      </c>
      <c r="T78" s="6">
        <v>27386.22</v>
      </c>
      <c r="U78" s="6">
        <v>8733.3333333333321</v>
      </c>
      <c r="V78" s="6">
        <f t="shared" si="4"/>
        <v>2.4483971034577676</v>
      </c>
      <c r="W78" s="6">
        <f t="shared" si="5"/>
        <v>2.6776069527204931</v>
      </c>
      <c r="X78" s="6">
        <v>2.771017884605528</v>
      </c>
      <c r="Y78" s="6">
        <f t="shared" si="6"/>
        <v>2.2530119197244494</v>
      </c>
      <c r="Z78" s="6">
        <f t="shared" si="6"/>
        <v>2.2889772100553145</v>
      </c>
      <c r="AA78" s="6">
        <f t="shared" si="6"/>
        <v>4.4375320926252613</v>
      </c>
      <c r="AB78" s="6">
        <f t="shared" si="3"/>
        <v>3.9411800366000831</v>
      </c>
    </row>
    <row r="79" spans="1:28">
      <c r="A79" s="1">
        <v>78</v>
      </c>
      <c r="B79" s="1">
        <v>1</v>
      </c>
      <c r="C79" s="1">
        <v>0</v>
      </c>
      <c r="D79" s="1">
        <v>0</v>
      </c>
      <c r="E79" s="1">
        <v>1</v>
      </c>
      <c r="F79" s="1">
        <v>1</v>
      </c>
      <c r="G79" s="1">
        <v>6</v>
      </c>
      <c r="H79" s="1">
        <v>1</v>
      </c>
      <c r="I79" s="1">
        <v>2</v>
      </c>
      <c r="J79" s="1">
        <v>1</v>
      </c>
      <c r="K79" s="1">
        <v>1</v>
      </c>
      <c r="L79" s="1">
        <v>1</v>
      </c>
      <c r="M79" s="1">
        <v>0</v>
      </c>
      <c r="N79" s="5">
        <v>132.80000000000001</v>
      </c>
      <c r="O79" s="6">
        <v>17635.84</v>
      </c>
      <c r="P79" s="5">
        <v>376</v>
      </c>
      <c r="Q79">
        <v>367.66496551835189</v>
      </c>
      <c r="R79" s="6">
        <v>115.07159999999999</v>
      </c>
      <c r="S79" s="6">
        <v>176.13</v>
      </c>
      <c r="T79" s="6">
        <v>14088.34511111111</v>
      </c>
      <c r="U79" s="6">
        <v>1688.8888888888878</v>
      </c>
      <c r="V79" s="6">
        <f t="shared" si="4"/>
        <v>2.1231980750319988</v>
      </c>
      <c r="W79" s="6">
        <f t="shared" si="5"/>
        <v>2.5751878449276608</v>
      </c>
      <c r="X79" s="6">
        <v>2.565452248288882</v>
      </c>
      <c r="Y79" s="6">
        <f t="shared" si="6"/>
        <v>2.0609681517341398</v>
      </c>
      <c r="Z79" s="6">
        <f t="shared" si="6"/>
        <v>2.2458333350973261</v>
      </c>
      <c r="AA79" s="6">
        <f t="shared" si="6"/>
        <v>4.1488599816599185</v>
      </c>
      <c r="AB79" s="6">
        <f t="shared" si="3"/>
        <v>3.2276010785054474</v>
      </c>
    </row>
    <row r="80" spans="1:28">
      <c r="A80" s="1">
        <v>79</v>
      </c>
      <c r="B80" s="1">
        <v>1</v>
      </c>
      <c r="C80" s="1">
        <v>1</v>
      </c>
      <c r="D80" s="1">
        <v>1</v>
      </c>
      <c r="E80" s="1">
        <v>0</v>
      </c>
      <c r="F80" s="1">
        <v>16</v>
      </c>
      <c r="G80" s="1">
        <v>6</v>
      </c>
      <c r="H80" s="1">
        <v>3</v>
      </c>
      <c r="I80" s="1">
        <v>2</v>
      </c>
      <c r="J80" s="1">
        <v>5</v>
      </c>
      <c r="K80" s="1">
        <v>6</v>
      </c>
      <c r="L80" s="1">
        <v>1</v>
      </c>
      <c r="M80" s="1">
        <v>0</v>
      </c>
      <c r="N80" s="5">
        <v>18.8</v>
      </c>
      <c r="O80" s="6">
        <v>353.44</v>
      </c>
      <c r="P80" s="5">
        <v>226</v>
      </c>
      <c r="Q80">
        <v>138.66481582392606</v>
      </c>
      <c r="R80" s="6">
        <v>20.822480000000002</v>
      </c>
      <c r="S80" s="6">
        <v>45.500250000000001</v>
      </c>
      <c r="T80" s="6">
        <v>800.94715555555467</v>
      </c>
      <c r="U80" s="6">
        <v>177.77777777777669</v>
      </c>
      <c r="V80" s="6">
        <f t="shared" si="4"/>
        <v>1.2741578492636798</v>
      </c>
      <c r="W80" s="6">
        <f t="shared" si="5"/>
        <v>2.3541084391474008</v>
      </c>
      <c r="X80" s="6">
        <v>2.141966279155973</v>
      </c>
      <c r="Y80" s="6">
        <f t="shared" si="6"/>
        <v>1.3185324536170306</v>
      </c>
      <c r="Z80" s="6">
        <f t="shared" si="6"/>
        <v>1.6580137828839738</v>
      </c>
      <c r="AA80" s="6">
        <f t="shared" si="6"/>
        <v>2.9036038633904822</v>
      </c>
      <c r="AB80" s="6">
        <f t="shared" si="3"/>
        <v>2.2498774732165971</v>
      </c>
    </row>
    <row r="81" spans="1:28">
      <c r="A81" s="1">
        <v>80</v>
      </c>
      <c r="B81" s="1">
        <v>1</v>
      </c>
      <c r="C81" s="1">
        <v>1</v>
      </c>
      <c r="D81" s="1">
        <v>1</v>
      </c>
      <c r="E81" s="1">
        <v>1</v>
      </c>
      <c r="F81" s="1">
        <v>23</v>
      </c>
      <c r="G81" s="1">
        <v>18</v>
      </c>
      <c r="H81" s="1">
        <v>3</v>
      </c>
      <c r="I81" s="1">
        <v>2</v>
      </c>
      <c r="J81" s="1">
        <v>6</v>
      </c>
      <c r="K81" s="1">
        <v>7</v>
      </c>
      <c r="L81" s="1">
        <v>1</v>
      </c>
      <c r="M81" s="1">
        <v>0</v>
      </c>
      <c r="N81" s="5">
        <v>120.8</v>
      </c>
      <c r="O81" s="6">
        <v>14592.64</v>
      </c>
      <c r="P81" s="5">
        <v>351</v>
      </c>
      <c r="Q81">
        <v>320.97811743734667</v>
      </c>
      <c r="R81" s="6">
        <v>114.09310000000001</v>
      </c>
      <c r="S81" s="6">
        <v>82.976800000000011</v>
      </c>
      <c r="T81" s="6">
        <v>13543.141111111116</v>
      </c>
      <c r="U81" s="6">
        <v>3355.5555555555561</v>
      </c>
      <c r="V81" s="6">
        <f t="shared" si="4"/>
        <v>2.082066934285113</v>
      </c>
      <c r="W81" s="6">
        <f t="shared" si="5"/>
        <v>2.5453071164658239</v>
      </c>
      <c r="X81" s="6">
        <v>2.5064754255508195</v>
      </c>
      <c r="Y81" s="6">
        <f t="shared" si="6"/>
        <v>2.0572593804170154</v>
      </c>
      <c r="Z81" s="6">
        <f t="shared" si="6"/>
        <v>1.9189566822507338</v>
      </c>
      <c r="AA81" s="6">
        <f t="shared" si="6"/>
        <v>4.1317194035671596</v>
      </c>
      <c r="AB81" s="6">
        <f t="shared" si="3"/>
        <v>3.5257644335178258</v>
      </c>
    </row>
    <row r="82" spans="1:28">
      <c r="A82" s="1">
        <v>81</v>
      </c>
      <c r="B82" s="1">
        <v>1</v>
      </c>
      <c r="C82" s="1">
        <v>1</v>
      </c>
      <c r="D82" s="1">
        <v>0</v>
      </c>
      <c r="E82" s="1">
        <v>0</v>
      </c>
      <c r="F82" s="1">
        <v>7</v>
      </c>
      <c r="G82" s="1">
        <v>6</v>
      </c>
      <c r="H82" s="1">
        <v>2</v>
      </c>
      <c r="I82" s="1">
        <v>2</v>
      </c>
      <c r="J82" s="1">
        <v>3</v>
      </c>
      <c r="K82" s="1">
        <v>3</v>
      </c>
      <c r="L82" s="1">
        <v>1</v>
      </c>
      <c r="M82" s="1">
        <v>0</v>
      </c>
      <c r="N82" s="5">
        <v>16.8</v>
      </c>
      <c r="O82" s="6">
        <v>282.24</v>
      </c>
      <c r="P82" s="5">
        <v>176</v>
      </c>
      <c r="Q82">
        <v>88.460600982037548</v>
      </c>
      <c r="R82" s="6">
        <v>11.507160000000001</v>
      </c>
      <c r="S82" s="6">
        <v>23.483999999999998</v>
      </c>
      <c r="T82" s="6">
        <v>356.0702222222215</v>
      </c>
      <c r="U82" s="6">
        <v>155.55555555555537</v>
      </c>
      <c r="V82" s="6">
        <f t="shared" si="4"/>
        <v>1.2253092817258628</v>
      </c>
      <c r="W82" s="6">
        <f t="shared" si="5"/>
        <v>2.2455126678141499</v>
      </c>
      <c r="X82" s="6">
        <v>1.946749885545636</v>
      </c>
      <c r="Y82" s="6">
        <f t="shared" si="6"/>
        <v>1.0609681517341396</v>
      </c>
      <c r="Z82" s="6">
        <f t="shared" si="6"/>
        <v>1.370772071705626</v>
      </c>
      <c r="AA82" s="6">
        <f t="shared" si="6"/>
        <v>2.5515356556026001</v>
      </c>
      <c r="AB82" s="6">
        <f t="shared" si="3"/>
        <v>2.1918855262389125</v>
      </c>
    </row>
    <row r="83" spans="1:28">
      <c r="A83" s="1">
        <v>82</v>
      </c>
      <c r="B83" s="1">
        <v>1</v>
      </c>
      <c r="C83" s="1">
        <v>1</v>
      </c>
      <c r="D83" s="1">
        <v>1</v>
      </c>
      <c r="E83" s="1">
        <v>1</v>
      </c>
      <c r="F83" s="1">
        <v>21</v>
      </c>
      <c r="G83" s="1">
        <v>18</v>
      </c>
      <c r="H83" s="1">
        <v>3</v>
      </c>
      <c r="I83" s="1">
        <v>2</v>
      </c>
      <c r="J83" s="1">
        <v>6</v>
      </c>
      <c r="K83" s="1">
        <v>7</v>
      </c>
      <c r="L83" s="1">
        <v>1</v>
      </c>
      <c r="M83" s="1">
        <v>0</v>
      </c>
      <c r="N83" s="5">
        <v>28.8</v>
      </c>
      <c r="O83" s="6">
        <v>829.44</v>
      </c>
      <c r="P83" s="5">
        <v>276</v>
      </c>
      <c r="Q83">
        <v>201.59500794760282</v>
      </c>
      <c r="R83" s="6">
        <v>81.215500000000006</v>
      </c>
      <c r="S83" s="6">
        <v>144.42660000000001</v>
      </c>
      <c r="T83" s="6">
        <v>2491.2729777777768</v>
      </c>
      <c r="U83" s="6">
        <v>355.55555555555497</v>
      </c>
      <c r="V83" s="6">
        <f t="shared" si="4"/>
        <v>1.4593924877592308</v>
      </c>
      <c r="W83" s="6">
        <f t="shared" si="5"/>
        <v>2.4409090820652177</v>
      </c>
      <c r="X83" s="6">
        <v>2.3044797735688629</v>
      </c>
      <c r="Y83" s="6">
        <f t="shared" si="6"/>
        <v>1.9096389223700938</v>
      </c>
      <c r="Z83" s="6">
        <f t="shared" si="6"/>
        <v>2.1596471874810428</v>
      </c>
      <c r="AA83" s="6">
        <f t="shared" si="6"/>
        <v>3.3964213173587496</v>
      </c>
      <c r="AB83" s="6">
        <f t="shared" si="3"/>
        <v>2.5509074688805802</v>
      </c>
    </row>
    <row r="84" spans="1:28">
      <c r="A84" s="1">
        <v>83</v>
      </c>
      <c r="B84" s="1">
        <v>1</v>
      </c>
      <c r="C84" s="1">
        <v>1</v>
      </c>
      <c r="D84" s="1">
        <v>1</v>
      </c>
      <c r="E84" s="1">
        <v>1</v>
      </c>
      <c r="F84" s="1">
        <v>18</v>
      </c>
      <c r="G84" s="1">
        <v>6</v>
      </c>
      <c r="H84" s="1">
        <v>3</v>
      </c>
      <c r="I84" s="1">
        <v>2</v>
      </c>
      <c r="J84" s="1">
        <v>5</v>
      </c>
      <c r="K84" s="1">
        <v>6</v>
      </c>
      <c r="L84" s="1">
        <v>1</v>
      </c>
      <c r="M84" s="1">
        <v>0</v>
      </c>
      <c r="N84" s="5">
        <v>94.8</v>
      </c>
      <c r="O84" s="6">
        <v>8987.0400000000009</v>
      </c>
      <c r="P84" s="5">
        <v>451</v>
      </c>
      <c r="Q84">
        <v>529.11960662036506</v>
      </c>
      <c r="R84" s="6">
        <v>110.17910000000001</v>
      </c>
      <c r="S84" s="6">
        <v>72.311149999999998</v>
      </c>
      <c r="T84" s="6">
        <v>22390.52</v>
      </c>
      <c r="U84" s="6">
        <v>7222.2222222222235</v>
      </c>
      <c r="V84" s="6">
        <f t="shared" si="4"/>
        <v>1.9768083373380663</v>
      </c>
      <c r="W84" s="6">
        <f t="shared" si="5"/>
        <v>2.6541765418779604</v>
      </c>
      <c r="X84" s="6">
        <v>2.7235538546888667</v>
      </c>
      <c r="Y84" s="6">
        <f t="shared" si="6"/>
        <v>2.0420992205093476</v>
      </c>
      <c r="Z84" s="6">
        <f t="shared" si="6"/>
        <v>1.8592052683888456</v>
      </c>
      <c r="AA84" s="6">
        <f t="shared" si="6"/>
        <v>4.3500641798009232</v>
      </c>
      <c r="AB84" s="6">
        <f t="shared" si="3"/>
        <v>3.8586708472035309</v>
      </c>
    </row>
    <row r="85" spans="1:28">
      <c r="A85" s="1">
        <v>84</v>
      </c>
      <c r="B85" s="1">
        <v>1</v>
      </c>
      <c r="C85" s="1">
        <v>1</v>
      </c>
      <c r="D85" s="1">
        <v>1</v>
      </c>
      <c r="E85" s="1">
        <v>1</v>
      </c>
      <c r="F85" s="1">
        <v>24</v>
      </c>
      <c r="G85" s="1">
        <v>18</v>
      </c>
      <c r="H85" s="1">
        <v>3</v>
      </c>
      <c r="I85" s="1">
        <v>2</v>
      </c>
      <c r="J85" s="1">
        <v>6</v>
      </c>
      <c r="K85" s="1">
        <v>7</v>
      </c>
      <c r="L85" s="1">
        <v>1</v>
      </c>
      <c r="M85" s="1">
        <v>0</v>
      </c>
      <c r="N85" s="5">
        <v>96.8</v>
      </c>
      <c r="O85" s="6">
        <v>9370.24</v>
      </c>
      <c r="P85" s="5">
        <v>401</v>
      </c>
      <c r="Q85">
        <v>417.88528234172946</v>
      </c>
      <c r="R85" s="6">
        <v>60.079900000000002</v>
      </c>
      <c r="S85" s="6">
        <v>20.744200000000003</v>
      </c>
      <c r="T85" s="6">
        <v>19202.72688888889</v>
      </c>
      <c r="U85" s="6">
        <v>6355.5555555555557</v>
      </c>
      <c r="V85" s="6">
        <f t="shared" si="4"/>
        <v>1.9858753573083936</v>
      </c>
      <c r="W85" s="6">
        <f t="shared" si="5"/>
        <v>2.6031443726201822</v>
      </c>
      <c r="X85" s="6">
        <v>2.6210570758329541</v>
      </c>
      <c r="Y85" s="6">
        <f t="shared" si="6"/>
        <v>1.7787292011351876</v>
      </c>
      <c r="Z85" s="6">
        <f t="shared" si="6"/>
        <v>1.3168966909227715</v>
      </c>
      <c r="AA85" s="6">
        <f t="shared" si="6"/>
        <v>4.2833629051986915</v>
      </c>
      <c r="AB85" s="6">
        <f t="shared" si="3"/>
        <v>3.8031535193536992</v>
      </c>
    </row>
    <row r="86" spans="1:28">
      <c r="A86" s="1">
        <v>85</v>
      </c>
      <c r="B86" s="1">
        <v>1</v>
      </c>
      <c r="C86" s="1">
        <v>1</v>
      </c>
      <c r="D86" s="1">
        <v>1</v>
      </c>
      <c r="E86" s="1">
        <v>1</v>
      </c>
      <c r="F86" s="1">
        <v>20</v>
      </c>
      <c r="G86" s="1">
        <v>18</v>
      </c>
      <c r="H86" s="1">
        <v>3</v>
      </c>
      <c r="I86" s="1">
        <v>2</v>
      </c>
      <c r="J86" s="1">
        <v>6</v>
      </c>
      <c r="K86" s="1">
        <v>7</v>
      </c>
      <c r="L86" s="1">
        <v>1</v>
      </c>
      <c r="M86" s="1">
        <v>0</v>
      </c>
      <c r="N86" s="5">
        <v>86.8</v>
      </c>
      <c r="O86" s="6">
        <v>7534.24</v>
      </c>
      <c r="P86" s="5">
        <v>351</v>
      </c>
      <c r="Q86">
        <v>320.97811743734667</v>
      </c>
      <c r="R86" s="6">
        <v>75.735900000000001</v>
      </c>
      <c r="S86" s="6">
        <v>136.5986</v>
      </c>
      <c r="T86" s="6">
        <v>7473.54</v>
      </c>
      <c r="U86" s="6">
        <v>1088.8888888888894</v>
      </c>
      <c r="V86" s="6">
        <f t="shared" si="4"/>
        <v>1.9385197251764918</v>
      </c>
      <c r="W86" s="6">
        <f t="shared" si="5"/>
        <v>2.5453071164658239</v>
      </c>
      <c r="X86" s="6">
        <v>2.5064754255508195</v>
      </c>
      <c r="Y86" s="6">
        <f t="shared" si="6"/>
        <v>1.8793017906769125</v>
      </c>
      <c r="Z86" s="6">
        <f t="shared" si="6"/>
        <v>2.1354462482811623</v>
      </c>
      <c r="AA86" s="6">
        <f t="shared" si="6"/>
        <v>3.8735263633009231</v>
      </c>
      <c r="AB86" s="6">
        <f t="shared" si="3"/>
        <v>3.0369835662531703</v>
      </c>
    </row>
    <row r="87" spans="1:28">
      <c r="A87" s="1">
        <v>86</v>
      </c>
      <c r="B87" s="1">
        <v>1</v>
      </c>
      <c r="C87" s="1">
        <v>1</v>
      </c>
      <c r="D87" s="1">
        <v>1</v>
      </c>
      <c r="E87" s="1">
        <v>1</v>
      </c>
      <c r="F87" s="1">
        <v>17</v>
      </c>
      <c r="G87" s="1">
        <v>6</v>
      </c>
      <c r="H87" s="1">
        <v>3</v>
      </c>
      <c r="I87" s="1">
        <v>2</v>
      </c>
      <c r="J87" s="1">
        <v>5</v>
      </c>
      <c r="K87" s="1">
        <v>6</v>
      </c>
      <c r="L87" s="1">
        <v>1</v>
      </c>
      <c r="M87" s="1">
        <v>0</v>
      </c>
      <c r="N87" s="5">
        <v>86.8</v>
      </c>
      <c r="O87" s="6">
        <v>7534.24</v>
      </c>
      <c r="P87" s="5">
        <v>351</v>
      </c>
      <c r="Q87">
        <v>320.97811743734667</v>
      </c>
      <c r="R87" s="6">
        <v>61.254100000000008</v>
      </c>
      <c r="S87" s="6">
        <v>24.56035</v>
      </c>
      <c r="T87" s="6">
        <v>10699.186444444445</v>
      </c>
      <c r="U87" s="6">
        <v>1933.3333333333333</v>
      </c>
      <c r="V87" s="6">
        <f t="shared" si="4"/>
        <v>1.9385197251764918</v>
      </c>
      <c r="W87" s="6">
        <f t="shared" si="5"/>
        <v>2.5453071164658239</v>
      </c>
      <c r="X87" s="6">
        <v>2.5064754255508195</v>
      </c>
      <c r="Y87" s="6">
        <f t="shared" si="6"/>
        <v>1.7871351632044497</v>
      </c>
      <c r="Z87" s="6">
        <f t="shared" si="6"/>
        <v>1.390234551475058</v>
      </c>
      <c r="AA87" s="6">
        <f t="shared" si="6"/>
        <v>4.0293507556177977</v>
      </c>
      <c r="AB87" s="6">
        <f t="shared" si="3"/>
        <v>3.2863067388432747</v>
      </c>
    </row>
    <row r="88" spans="1:28">
      <c r="A88" s="1">
        <v>87</v>
      </c>
      <c r="B88" s="1">
        <v>0</v>
      </c>
      <c r="C88" s="1">
        <v>1</v>
      </c>
      <c r="D88" s="1">
        <v>1</v>
      </c>
      <c r="E88" s="1">
        <v>0</v>
      </c>
      <c r="F88" s="1">
        <v>12</v>
      </c>
      <c r="G88" s="1">
        <v>6</v>
      </c>
      <c r="H88" s="1">
        <v>2</v>
      </c>
      <c r="I88" s="1">
        <v>2</v>
      </c>
      <c r="J88" s="1">
        <v>4</v>
      </c>
      <c r="K88" s="1">
        <v>4</v>
      </c>
      <c r="L88" s="1">
        <v>1</v>
      </c>
      <c r="M88" s="1">
        <v>0</v>
      </c>
      <c r="N88" s="5">
        <v>146.80000000000001</v>
      </c>
      <c r="O88" s="6">
        <v>21550.240000000002</v>
      </c>
      <c r="P88" s="5">
        <v>476</v>
      </c>
      <c r="Q88">
        <v>590.22538564033709</v>
      </c>
      <c r="R88" s="6">
        <v>124.26949999999999</v>
      </c>
      <c r="S88" s="6">
        <v>9.1978999999999989</v>
      </c>
      <c r="T88" s="6">
        <v>11285.514444444445</v>
      </c>
      <c r="U88" s="6">
        <v>2777.7777777777787</v>
      </c>
      <c r="V88" s="6">
        <f t="shared" si="4"/>
        <v>2.1667260555800518</v>
      </c>
      <c r="W88" s="6">
        <f t="shared" si="5"/>
        <v>2.6776069527204931</v>
      </c>
      <c r="X88" s="6">
        <v>2.771017884605528</v>
      </c>
      <c r="Y88" s="6">
        <f t="shared" si="6"/>
        <v>2.0943645509499769</v>
      </c>
      <c r="Z88" s="6">
        <f t="shared" si="6"/>
        <v>0.96368868359371862</v>
      </c>
      <c r="AA88" s="6">
        <f t="shared" si="6"/>
        <v>4.0525213609584094</v>
      </c>
      <c r="AB88" s="6">
        <f t="shared" si="3"/>
        <v>3.4436974992327127</v>
      </c>
    </row>
    <row r="89" spans="1:28">
      <c r="A89" s="1">
        <v>88</v>
      </c>
      <c r="B89" s="1">
        <v>1</v>
      </c>
      <c r="C89" s="1">
        <v>1</v>
      </c>
      <c r="D89" s="1">
        <v>1</v>
      </c>
      <c r="E89" s="1">
        <v>1</v>
      </c>
      <c r="F89" s="1">
        <v>15</v>
      </c>
      <c r="G89" s="1">
        <v>6</v>
      </c>
      <c r="H89" s="1">
        <v>3</v>
      </c>
      <c r="I89" s="1">
        <v>2</v>
      </c>
      <c r="J89" s="1">
        <v>5</v>
      </c>
      <c r="K89" s="1">
        <v>5</v>
      </c>
      <c r="L89" s="1">
        <v>1</v>
      </c>
      <c r="M89" s="1">
        <v>0</v>
      </c>
      <c r="N89" s="5">
        <v>2.8</v>
      </c>
      <c r="O89" s="6">
        <v>7.84</v>
      </c>
      <c r="P89" s="5">
        <v>151</v>
      </c>
      <c r="Q89">
        <v>67.946679077755547</v>
      </c>
      <c r="R89" s="6">
        <v>36.752460000000006</v>
      </c>
      <c r="S89" s="6">
        <v>686.90700000000004</v>
      </c>
      <c r="T89" s="6">
        <v>2330.3200000000002</v>
      </c>
      <c r="U89" s="6">
        <v>600</v>
      </c>
      <c r="V89" s="6">
        <f t="shared" si="4"/>
        <v>0.44715803134221921</v>
      </c>
      <c r="W89" s="6">
        <f t="shared" si="5"/>
        <v>2.1789769472931693</v>
      </c>
      <c r="X89" s="6">
        <v>1.832168235263502</v>
      </c>
      <c r="Y89" s="6">
        <f t="shared" si="6"/>
        <v>1.5652864135880933</v>
      </c>
      <c r="Z89" s="6">
        <f t="shared" si="6"/>
        <v>2.8368979421238252</v>
      </c>
      <c r="AA89" s="6">
        <f t="shared" si="6"/>
        <v>3.3674155625246405</v>
      </c>
      <c r="AB89" s="6">
        <f t="shared" si="3"/>
        <v>2.7781512503836434</v>
      </c>
    </row>
    <row r="90" spans="1:28">
      <c r="A90" s="1">
        <v>89</v>
      </c>
      <c r="B90" s="1">
        <v>1</v>
      </c>
      <c r="C90" s="1">
        <v>0</v>
      </c>
      <c r="D90" s="1">
        <v>0</v>
      </c>
      <c r="E90" s="1">
        <v>0</v>
      </c>
      <c r="F90" s="1">
        <v>3</v>
      </c>
      <c r="G90" s="1">
        <v>6</v>
      </c>
      <c r="H90" s="1">
        <v>1</v>
      </c>
      <c r="I90" s="1">
        <v>2</v>
      </c>
      <c r="J90" s="1">
        <v>1</v>
      </c>
      <c r="K90" s="1">
        <v>1</v>
      </c>
      <c r="L90" s="1">
        <v>1</v>
      </c>
      <c r="M90" s="1">
        <v>0</v>
      </c>
      <c r="N90" s="5">
        <v>0.1</v>
      </c>
      <c r="O90" s="6">
        <v>0.01</v>
      </c>
      <c r="P90" s="5">
        <v>151</v>
      </c>
      <c r="Q90">
        <v>67.946679077755547</v>
      </c>
      <c r="R90" s="6">
        <v>8.7282200000000003</v>
      </c>
      <c r="S90" s="6">
        <v>273.98</v>
      </c>
      <c r="T90" s="6">
        <v>2084.5315999999989</v>
      </c>
      <c r="U90" s="6">
        <v>1022.2222222222222</v>
      </c>
      <c r="V90" s="6">
        <f t="shared" si="4"/>
        <v>-1</v>
      </c>
      <c r="W90" s="6">
        <f t="shared" si="5"/>
        <v>2.1789769472931693</v>
      </c>
      <c r="X90" s="6">
        <v>1.832168235263502</v>
      </c>
      <c r="Y90" s="6">
        <f t="shared" si="6"/>
        <v>0.94092568437014301</v>
      </c>
      <c r="Z90" s="6">
        <f t="shared" si="6"/>
        <v>2.4377188613362391</v>
      </c>
      <c r="AA90" s="6">
        <f t="shared" si="6"/>
        <v>3.3190084831042479</v>
      </c>
      <c r="AB90" s="6">
        <f t="shared" si="3"/>
        <v>3.0095453179062304</v>
      </c>
    </row>
    <row r="91" spans="1:28">
      <c r="A91" s="1">
        <v>90</v>
      </c>
      <c r="B91" s="1">
        <v>1</v>
      </c>
      <c r="C91" s="1">
        <v>1</v>
      </c>
      <c r="D91" s="1">
        <v>1</v>
      </c>
      <c r="E91" s="1">
        <v>1</v>
      </c>
      <c r="F91" s="1">
        <v>16</v>
      </c>
      <c r="G91" s="1">
        <v>6</v>
      </c>
      <c r="H91" s="1">
        <v>3</v>
      </c>
      <c r="I91" s="1">
        <v>2</v>
      </c>
      <c r="J91" s="1">
        <v>5</v>
      </c>
      <c r="K91" s="1">
        <v>6</v>
      </c>
      <c r="L91" s="1">
        <v>1</v>
      </c>
      <c r="M91" s="1">
        <v>0</v>
      </c>
      <c r="N91" s="5">
        <v>114.8</v>
      </c>
      <c r="O91" s="6">
        <v>13179.04</v>
      </c>
      <c r="P91" s="5">
        <v>451</v>
      </c>
      <c r="Q91">
        <v>529.11960662036506</v>
      </c>
      <c r="R91" s="6">
        <v>159.49549999999999</v>
      </c>
      <c r="S91" s="6">
        <v>165.17079999999999</v>
      </c>
      <c r="T91" s="6">
        <v>4192.4650222222235</v>
      </c>
      <c r="U91" s="6">
        <v>711.11111111111143</v>
      </c>
      <c r="V91" s="6">
        <f t="shared" si="4"/>
        <v>2.0599418880619549</v>
      </c>
      <c r="W91" s="6">
        <f t="shared" si="5"/>
        <v>2.6541765418779604</v>
      </c>
      <c r="X91" s="6">
        <v>2.7235538546888667</v>
      </c>
      <c r="Y91" s="6">
        <f t="shared" si="6"/>
        <v>2.2027484343979777</v>
      </c>
      <c r="Z91" s="6">
        <f t="shared" si="6"/>
        <v>2.217933272283656</v>
      </c>
      <c r="AA91" s="6">
        <f t="shared" si="6"/>
        <v>3.6224694479700146</v>
      </c>
      <c r="AB91" s="6">
        <f t="shared" si="3"/>
        <v>2.8519374645445623</v>
      </c>
    </row>
    <row r="92" spans="1:28">
      <c r="A92" s="1">
        <v>91</v>
      </c>
      <c r="B92" s="1">
        <v>1</v>
      </c>
      <c r="C92" s="1">
        <v>1</v>
      </c>
      <c r="D92" s="1">
        <v>1</v>
      </c>
      <c r="E92" s="1">
        <v>0</v>
      </c>
      <c r="F92" s="1">
        <v>22</v>
      </c>
      <c r="G92" s="1">
        <v>18</v>
      </c>
      <c r="H92" s="1">
        <v>3</v>
      </c>
      <c r="I92" s="1">
        <v>2</v>
      </c>
      <c r="J92" s="1">
        <v>6</v>
      </c>
      <c r="K92" s="1">
        <v>7</v>
      </c>
      <c r="L92" s="1">
        <v>1</v>
      </c>
      <c r="M92" s="1">
        <v>0</v>
      </c>
      <c r="N92" s="5">
        <v>42.8</v>
      </c>
      <c r="O92" s="6">
        <v>1831.84</v>
      </c>
      <c r="P92" s="5">
        <v>201</v>
      </c>
      <c r="Q92">
        <v>112.00738664622469</v>
      </c>
      <c r="R92" s="6">
        <v>28.885320000000004</v>
      </c>
      <c r="S92" s="6">
        <v>30.333500000000001</v>
      </c>
      <c r="T92" s="6">
        <v>977.42746666666653</v>
      </c>
      <c r="U92" s="6">
        <v>88.888888888888346</v>
      </c>
      <c r="V92" s="6">
        <f t="shared" si="4"/>
        <v>1.631443769013172</v>
      </c>
      <c r="W92" s="6">
        <f t="shared" si="5"/>
        <v>2.3031960574204891</v>
      </c>
      <c r="X92" s="6">
        <v>2.049246664401549</v>
      </c>
      <c r="Y92" s="6">
        <f t="shared" si="6"/>
        <v>1.460677183145024</v>
      </c>
      <c r="Z92" s="6">
        <f t="shared" si="6"/>
        <v>1.4819225238282927</v>
      </c>
      <c r="AA92" s="6">
        <f t="shared" si="6"/>
        <v>2.9900845389628357</v>
      </c>
      <c r="AB92" s="6">
        <f t="shared" si="3"/>
        <v>1.9488474775526161</v>
      </c>
    </row>
    <row r="93" spans="1:28">
      <c r="A93" s="1">
        <v>92</v>
      </c>
      <c r="B93" s="1">
        <v>1</v>
      </c>
      <c r="C93" s="1">
        <v>1</v>
      </c>
      <c r="D93" s="1">
        <v>0</v>
      </c>
      <c r="E93" s="1">
        <v>1</v>
      </c>
      <c r="F93" s="1">
        <v>7</v>
      </c>
      <c r="G93" s="1">
        <v>6</v>
      </c>
      <c r="H93" s="1">
        <v>2</v>
      </c>
      <c r="I93" s="1">
        <v>2</v>
      </c>
      <c r="J93" s="1">
        <v>3</v>
      </c>
      <c r="K93" s="1">
        <v>3</v>
      </c>
      <c r="L93" s="1">
        <v>1</v>
      </c>
      <c r="M93" s="1">
        <v>0</v>
      </c>
      <c r="N93" s="5">
        <v>60.8</v>
      </c>
      <c r="O93" s="6">
        <v>3696.64</v>
      </c>
      <c r="P93" s="5">
        <v>376</v>
      </c>
      <c r="Q93">
        <v>367.66496551835189</v>
      </c>
      <c r="R93" s="6">
        <v>15.342880000000001</v>
      </c>
      <c r="S93" s="6">
        <v>20.254949999999997</v>
      </c>
      <c r="T93" s="6">
        <v>1413.5649333333326</v>
      </c>
      <c r="U93" s="6">
        <v>599.99999999999864</v>
      </c>
      <c r="V93" s="6">
        <f t="shared" si="4"/>
        <v>1.7839035792727349</v>
      </c>
      <c r="W93" s="6">
        <f t="shared" si="5"/>
        <v>2.5751878449276608</v>
      </c>
      <c r="X93" s="6">
        <v>2.565452248288882</v>
      </c>
      <c r="Y93" s="6">
        <f t="shared" si="6"/>
        <v>1.1859068883424397</v>
      </c>
      <c r="Z93" s="6">
        <f t="shared" si="6"/>
        <v>1.3065311754509377</v>
      </c>
      <c r="AA93" s="6">
        <f t="shared" si="6"/>
        <v>3.1503157629781016</v>
      </c>
      <c r="AB93" s="6">
        <f t="shared" si="3"/>
        <v>2.7781512503836425</v>
      </c>
    </row>
    <row r="94" spans="1:28">
      <c r="A94" s="1">
        <v>93</v>
      </c>
      <c r="B94" s="1">
        <v>0</v>
      </c>
      <c r="C94" s="1">
        <v>1</v>
      </c>
      <c r="D94" s="1">
        <v>1</v>
      </c>
      <c r="E94" s="1">
        <v>1</v>
      </c>
      <c r="F94" s="1">
        <v>11</v>
      </c>
      <c r="G94" s="1">
        <v>6</v>
      </c>
      <c r="H94" s="1">
        <v>2</v>
      </c>
      <c r="I94" s="1">
        <v>2</v>
      </c>
      <c r="J94" s="1">
        <v>4</v>
      </c>
      <c r="K94" s="1">
        <v>4</v>
      </c>
      <c r="L94" s="1">
        <v>1</v>
      </c>
      <c r="M94" s="1">
        <v>0</v>
      </c>
      <c r="N94" s="5">
        <v>110.8</v>
      </c>
      <c r="O94" s="6">
        <v>12276.64</v>
      </c>
      <c r="P94" s="5">
        <v>251</v>
      </c>
      <c r="Q94">
        <v>168.5049470211209</v>
      </c>
      <c r="R94" s="6">
        <v>100.78550000000001</v>
      </c>
      <c r="S94" s="6">
        <v>167.51920000000001</v>
      </c>
      <c r="T94" s="6">
        <v>4508.927066666668</v>
      </c>
      <c r="U94" s="6">
        <v>2133.3333333333339</v>
      </c>
      <c r="V94" s="6">
        <f t="shared" si="4"/>
        <v>2.0445397603924111</v>
      </c>
      <c r="W94" s="6">
        <f t="shared" si="5"/>
        <v>2.399673721481038</v>
      </c>
      <c r="X94" s="6">
        <v>2.226612655548228</v>
      </c>
      <c r="Y94" s="6">
        <f t="shared" si="6"/>
        <v>2.0033980546991921</v>
      </c>
      <c r="Z94" s="6">
        <f t="shared" si="6"/>
        <v>2.2240645903351544</v>
      </c>
      <c r="AA94" s="6">
        <f t="shared" si="6"/>
        <v>3.6540732105116307</v>
      </c>
      <c r="AB94" s="6">
        <f t="shared" si="3"/>
        <v>3.3290587192642249</v>
      </c>
    </row>
    <row r="95" spans="1:28">
      <c r="A95" s="1">
        <v>94</v>
      </c>
      <c r="B95" s="1">
        <v>1</v>
      </c>
      <c r="C95" s="1">
        <v>0</v>
      </c>
      <c r="D95" s="1">
        <v>0</v>
      </c>
      <c r="E95" s="1">
        <v>1</v>
      </c>
      <c r="F95" s="1">
        <v>3</v>
      </c>
      <c r="G95" s="1">
        <v>6</v>
      </c>
      <c r="H95" s="1">
        <v>1</v>
      </c>
      <c r="I95" s="1">
        <v>2</v>
      </c>
      <c r="J95" s="1">
        <v>1</v>
      </c>
      <c r="K95" s="1">
        <v>1</v>
      </c>
      <c r="L95" s="1">
        <v>1</v>
      </c>
      <c r="M95" s="1">
        <v>0</v>
      </c>
      <c r="N95" s="5">
        <v>280.8</v>
      </c>
      <c r="O95" s="6">
        <v>78848.639999999999</v>
      </c>
      <c r="P95" s="5">
        <v>501</v>
      </c>
      <c r="Q95">
        <v>655.04851954613616</v>
      </c>
      <c r="R95" s="6">
        <v>118.98560000000001</v>
      </c>
      <c r="S95" s="6">
        <v>275.54559999999998</v>
      </c>
      <c r="T95" s="6">
        <v>22655.30644444445</v>
      </c>
      <c r="U95" s="6">
        <v>6911.1111111111104</v>
      </c>
      <c r="V95" s="6">
        <f t="shared" si="4"/>
        <v>2.4483971034577676</v>
      </c>
      <c r="W95" s="6">
        <f t="shared" si="5"/>
        <v>2.6998377258672459</v>
      </c>
      <c r="X95" s="6">
        <v>2.8162734694432907</v>
      </c>
      <c r="Y95" s="6">
        <f t="shared" si="6"/>
        <v>2.075494404930736</v>
      </c>
      <c r="Z95" s="6">
        <f t="shared" si="6"/>
        <v>2.4401934804640946</v>
      </c>
      <c r="AA95" s="6">
        <f t="shared" si="6"/>
        <v>4.3551699409902049</v>
      </c>
      <c r="AB95" s="6">
        <f t="shared" si="3"/>
        <v>3.839547875251494</v>
      </c>
    </row>
    <row r="96" spans="1:28">
      <c r="A96" s="1">
        <v>95</v>
      </c>
      <c r="B96" s="1">
        <v>1</v>
      </c>
      <c r="C96" s="1">
        <v>1</v>
      </c>
      <c r="D96" s="1">
        <v>0</v>
      </c>
      <c r="E96" s="1">
        <v>1</v>
      </c>
      <c r="F96" s="1">
        <v>8</v>
      </c>
      <c r="G96" s="1">
        <v>6</v>
      </c>
      <c r="H96" s="1">
        <v>2</v>
      </c>
      <c r="I96" s="1">
        <v>2</v>
      </c>
      <c r="J96" s="1">
        <v>3</v>
      </c>
      <c r="K96" s="1">
        <v>3</v>
      </c>
      <c r="L96" s="1">
        <v>1</v>
      </c>
      <c r="M96" s="1">
        <v>0</v>
      </c>
      <c r="N96" s="5">
        <v>224.8</v>
      </c>
      <c r="O96" s="6">
        <v>50535.040000000001</v>
      </c>
      <c r="P96" s="5">
        <v>426</v>
      </c>
      <c r="Q96">
        <v>471.6878944723527</v>
      </c>
      <c r="R96" s="6">
        <v>58.122900000000008</v>
      </c>
      <c r="S96" s="6">
        <v>66.244450000000001</v>
      </c>
      <c r="T96" s="6">
        <v>13349.939777777778</v>
      </c>
      <c r="U96" s="6">
        <v>2577.7777777777778</v>
      </c>
      <c r="V96" s="6">
        <f t="shared" si="4"/>
        <v>2.3517963068970236</v>
      </c>
      <c r="W96" s="6">
        <f t="shared" si="5"/>
        <v>2.6294095991027189</v>
      </c>
      <c r="X96" s="6">
        <v>2.6736547305358855</v>
      </c>
      <c r="Y96" s="6">
        <f t="shared" si="6"/>
        <v>1.7643472749752136</v>
      </c>
      <c r="Z96" s="6">
        <f t="shared" si="6"/>
        <v>1.8211494986791643</v>
      </c>
      <c r="AA96" s="6">
        <f t="shared" si="6"/>
        <v>4.1254793065816582</v>
      </c>
      <c r="AB96" s="6">
        <f t="shared" si="3"/>
        <v>3.4112454754515746</v>
      </c>
    </row>
    <row r="97" spans="1:28">
      <c r="A97" s="1">
        <v>96</v>
      </c>
      <c r="B97" s="1">
        <v>1</v>
      </c>
      <c r="C97" s="1">
        <v>1</v>
      </c>
      <c r="D97" s="1">
        <v>0</v>
      </c>
      <c r="E97" s="1">
        <v>1</v>
      </c>
      <c r="F97" s="1">
        <v>9</v>
      </c>
      <c r="G97" s="1">
        <v>6</v>
      </c>
      <c r="H97" s="1">
        <v>2</v>
      </c>
      <c r="I97" s="1">
        <v>2</v>
      </c>
      <c r="J97" s="1">
        <v>3</v>
      </c>
      <c r="K97" s="1">
        <v>3</v>
      </c>
      <c r="L97" s="1">
        <v>1</v>
      </c>
      <c r="M97" s="1">
        <v>0</v>
      </c>
      <c r="N97" s="5">
        <v>176.8</v>
      </c>
      <c r="O97" s="6">
        <v>31258.240000000002</v>
      </c>
      <c r="P97" s="5">
        <v>476</v>
      </c>
      <c r="Q97">
        <v>590.22538564033709</v>
      </c>
      <c r="R97" s="6">
        <v>136.79430000000002</v>
      </c>
      <c r="S97" s="6">
        <v>114.28879999999999</v>
      </c>
      <c r="T97" s="6">
        <v>27992.142888888891</v>
      </c>
      <c r="U97" s="6">
        <v>10755.555555555555</v>
      </c>
      <c r="V97" s="6">
        <f t="shared" si="4"/>
        <v>2.2474822606770544</v>
      </c>
      <c r="W97" s="6">
        <f t="shared" si="5"/>
        <v>2.6776069527204931</v>
      </c>
      <c r="X97" s="6">
        <v>2.771017884605528</v>
      </c>
      <c r="Y97" s="6">
        <f t="shared" si="6"/>
        <v>2.1360680014036828</v>
      </c>
      <c r="Z97" s="6">
        <f t="shared" si="6"/>
        <v>2.0580036727704005</v>
      </c>
      <c r="AA97" s="6">
        <f t="shared" si="6"/>
        <v>4.4470361463831658</v>
      </c>
      <c r="AB97" s="6">
        <f t="shared" si="3"/>
        <v>4.0316328478690684</v>
      </c>
    </row>
    <row r="98" spans="1:28">
      <c r="A98" s="1">
        <v>97</v>
      </c>
      <c r="B98" s="1">
        <v>1</v>
      </c>
      <c r="C98" s="1">
        <v>1</v>
      </c>
      <c r="D98" s="1">
        <v>1</v>
      </c>
      <c r="E98" s="1">
        <v>1</v>
      </c>
      <c r="F98" s="1">
        <v>19</v>
      </c>
      <c r="G98" s="1">
        <v>6</v>
      </c>
      <c r="H98" s="1">
        <v>3</v>
      </c>
      <c r="I98" s="1">
        <v>2</v>
      </c>
      <c r="J98" s="1">
        <v>5</v>
      </c>
      <c r="K98" s="1">
        <v>6</v>
      </c>
      <c r="L98" s="1">
        <v>1</v>
      </c>
      <c r="M98" s="1">
        <v>0</v>
      </c>
      <c r="N98" s="5">
        <v>78.8</v>
      </c>
      <c r="O98" s="6">
        <v>6209.44</v>
      </c>
      <c r="P98" s="5">
        <v>351</v>
      </c>
      <c r="Q98">
        <v>320.97811743734667</v>
      </c>
      <c r="R98" s="6">
        <v>50.490600000000001</v>
      </c>
      <c r="S98" s="6">
        <v>444.23899999999998</v>
      </c>
      <c r="T98" s="6">
        <v>6388.4115555555536</v>
      </c>
      <c r="U98" s="6">
        <v>2444.4444444444434</v>
      </c>
      <c r="V98" s="6">
        <f t="shared" si="4"/>
        <v>1.8965262174895554</v>
      </c>
      <c r="W98" s="6">
        <f t="shared" si="5"/>
        <v>2.5453071164658239</v>
      </c>
      <c r="X98" s="6">
        <v>2.5064754255508195</v>
      </c>
      <c r="Y98" s="6">
        <f t="shared" si="6"/>
        <v>1.7032105316212314</v>
      </c>
      <c r="Z98" s="6">
        <f t="shared" si="6"/>
        <v>2.6476166828511238</v>
      </c>
      <c r="AA98" s="6">
        <f t="shared" si="6"/>
        <v>3.8053928865756119</v>
      </c>
      <c r="AB98" s="6">
        <f t="shared" si="3"/>
        <v>3.388180171382881</v>
      </c>
    </row>
    <row r="99" spans="1:28">
      <c r="A99" s="1">
        <v>98</v>
      </c>
      <c r="B99" s="1">
        <v>1</v>
      </c>
      <c r="C99" s="1">
        <v>1</v>
      </c>
      <c r="D99" s="1">
        <v>1</v>
      </c>
      <c r="E99" s="1">
        <v>1</v>
      </c>
      <c r="F99" s="1">
        <v>25</v>
      </c>
      <c r="G99" s="1">
        <v>18</v>
      </c>
      <c r="H99" s="1">
        <v>3</v>
      </c>
      <c r="I99" s="1">
        <v>2</v>
      </c>
      <c r="J99" s="1">
        <v>6</v>
      </c>
      <c r="K99" s="1">
        <v>7</v>
      </c>
      <c r="L99" s="1">
        <v>1</v>
      </c>
      <c r="M99" s="1">
        <v>0</v>
      </c>
      <c r="N99" s="5">
        <v>2.8</v>
      </c>
      <c r="O99" s="6">
        <v>7.84</v>
      </c>
      <c r="P99" s="5">
        <v>376</v>
      </c>
      <c r="Q99">
        <v>367.66496551835189</v>
      </c>
      <c r="R99" s="6">
        <v>57.535799999999995</v>
      </c>
      <c r="S99" s="6">
        <v>58.514300000000006</v>
      </c>
      <c r="T99" s="6">
        <v>1364.7275111111112</v>
      </c>
      <c r="U99" s="6">
        <v>311.11111111111074</v>
      </c>
      <c r="V99" s="6">
        <f t="shared" si="4"/>
        <v>0.44715803134221921</v>
      </c>
      <c r="W99" s="6">
        <f t="shared" si="5"/>
        <v>2.5751878449276608</v>
      </c>
      <c r="X99" s="6">
        <v>2.565452248288882</v>
      </c>
      <c r="Y99" s="6">
        <f t="shared" si="6"/>
        <v>1.7599381560701584</v>
      </c>
      <c r="Z99" s="6">
        <f t="shared" si="6"/>
        <v>1.7672620139824309</v>
      </c>
      <c r="AA99" s="6">
        <f t="shared" si="6"/>
        <v>3.1350459464432343</v>
      </c>
      <c r="AB99" s="6">
        <f t="shared" si="3"/>
        <v>2.4929155219028938</v>
      </c>
    </row>
    <row r="100" spans="1:28">
      <c r="A100" s="1">
        <v>99</v>
      </c>
      <c r="B100" s="1">
        <v>1</v>
      </c>
      <c r="C100" s="1">
        <v>1</v>
      </c>
      <c r="D100" s="1">
        <v>1</v>
      </c>
      <c r="E100" s="1">
        <v>0</v>
      </c>
      <c r="F100" s="1">
        <v>26</v>
      </c>
      <c r="G100" s="1">
        <v>18</v>
      </c>
      <c r="H100" s="1">
        <v>3</v>
      </c>
      <c r="I100" s="1">
        <v>2</v>
      </c>
      <c r="J100" s="1">
        <v>6</v>
      </c>
      <c r="K100" s="1">
        <v>7</v>
      </c>
      <c r="L100" s="1">
        <v>1</v>
      </c>
      <c r="M100" s="1">
        <v>0</v>
      </c>
      <c r="N100" s="5">
        <v>0.1</v>
      </c>
      <c r="O100" s="6">
        <v>0.01</v>
      </c>
      <c r="P100" s="5">
        <v>251</v>
      </c>
      <c r="Q100">
        <v>168.5049470211209</v>
      </c>
      <c r="R100" s="6">
        <v>6.0667000000000009</v>
      </c>
      <c r="S100" s="6">
        <v>25.049600000000002</v>
      </c>
      <c r="T100" s="6">
        <v>853.66288888888971</v>
      </c>
      <c r="U100" s="6">
        <v>222.22222222222243</v>
      </c>
      <c r="V100" s="6">
        <f t="shared" si="4"/>
        <v>-1</v>
      </c>
      <c r="W100" s="6">
        <f t="shared" si="5"/>
        <v>2.399673721481038</v>
      </c>
      <c r="X100" s="6">
        <v>2.226612655548228</v>
      </c>
      <c r="Y100" s="6">
        <f t="shared" si="6"/>
        <v>0.78295251949227396</v>
      </c>
      <c r="Z100" s="6">
        <f t="shared" si="6"/>
        <v>1.3988007953058696</v>
      </c>
      <c r="AA100" s="6">
        <f t="shared" si="6"/>
        <v>2.9312864018373976</v>
      </c>
      <c r="AB100" s="6">
        <f t="shared" si="3"/>
        <v>2.3467874862246569</v>
      </c>
    </row>
    <row r="101" spans="1:28">
      <c r="A101" s="1">
        <v>100</v>
      </c>
      <c r="B101" s="1">
        <v>1</v>
      </c>
      <c r="C101" s="1">
        <v>1</v>
      </c>
      <c r="D101" s="1">
        <v>1</v>
      </c>
      <c r="E101" s="1">
        <v>1</v>
      </c>
      <c r="F101" s="1">
        <v>22</v>
      </c>
      <c r="G101" s="1">
        <v>18</v>
      </c>
      <c r="H101" s="1">
        <v>3</v>
      </c>
      <c r="I101" s="1">
        <v>2</v>
      </c>
      <c r="J101" s="1">
        <v>6</v>
      </c>
      <c r="K101" s="1">
        <v>7</v>
      </c>
      <c r="L101" s="1">
        <v>1</v>
      </c>
      <c r="M101" s="1">
        <v>0</v>
      </c>
      <c r="N101" s="5">
        <v>74.8</v>
      </c>
      <c r="O101" s="6">
        <v>5595.04</v>
      </c>
      <c r="P101" s="5">
        <v>351</v>
      </c>
      <c r="Q101">
        <v>320.97811743734667</v>
      </c>
      <c r="R101" s="6">
        <v>58.514300000000006</v>
      </c>
      <c r="S101" s="6">
        <v>11.9377</v>
      </c>
      <c r="T101" s="6">
        <v>4411.9063555555567</v>
      </c>
      <c r="U101" s="6">
        <v>1844.4444444444448</v>
      </c>
      <c r="V101" s="6">
        <f t="shared" si="4"/>
        <v>1.8739015978644613</v>
      </c>
      <c r="W101" s="6">
        <f t="shared" si="5"/>
        <v>2.5453071164658239</v>
      </c>
      <c r="X101" s="6">
        <v>2.5064754255508195</v>
      </c>
      <c r="Y101" s="6">
        <f t="shared" si="6"/>
        <v>1.7672620139824309</v>
      </c>
      <c r="Z101" s="6">
        <f t="shared" si="6"/>
        <v>1.0769206606687682</v>
      </c>
      <c r="AA101" s="6">
        <f t="shared" si="6"/>
        <v>3.6446262857951046</v>
      </c>
      <c r="AB101" s="6">
        <f t="shared" si="3"/>
        <v>3.2658655786007302</v>
      </c>
    </row>
    <row r="102" spans="1:28">
      <c r="A102" s="1">
        <v>101</v>
      </c>
      <c r="B102" s="1">
        <v>1</v>
      </c>
      <c r="C102" s="1">
        <v>1</v>
      </c>
      <c r="D102" s="1">
        <v>1</v>
      </c>
      <c r="E102" s="1">
        <v>1</v>
      </c>
      <c r="F102" s="1">
        <v>13</v>
      </c>
      <c r="G102" s="1">
        <v>6</v>
      </c>
      <c r="H102" s="1">
        <v>3</v>
      </c>
      <c r="I102" s="1">
        <v>2</v>
      </c>
      <c r="J102" s="1">
        <v>5</v>
      </c>
      <c r="K102" s="1">
        <v>5</v>
      </c>
      <c r="L102" s="1">
        <v>1</v>
      </c>
      <c r="M102" s="1">
        <v>0</v>
      </c>
      <c r="N102" s="5">
        <v>122.8</v>
      </c>
      <c r="O102" s="6">
        <v>15079.84</v>
      </c>
      <c r="P102" s="5">
        <v>501</v>
      </c>
      <c r="Q102">
        <v>655.04851954613616</v>
      </c>
      <c r="R102" s="6">
        <v>86.499400000000009</v>
      </c>
      <c r="S102" s="6">
        <v>9.5892999999999997</v>
      </c>
      <c r="T102" s="6">
        <v>3701.0168888888888</v>
      </c>
      <c r="U102" s="6">
        <v>2066.666666666667</v>
      </c>
      <c r="V102" s="6">
        <f t="shared" si="4"/>
        <v>2.089198366805149</v>
      </c>
      <c r="W102" s="6">
        <f t="shared" si="5"/>
        <v>2.6998377258672459</v>
      </c>
      <c r="X102" s="6">
        <v>2.8162734694432907</v>
      </c>
      <c r="Y102" s="6">
        <f t="shared" si="6"/>
        <v>1.9370130950070932</v>
      </c>
      <c r="Z102" s="6">
        <f t="shared" si="6"/>
        <v>0.98178690568651483</v>
      </c>
      <c r="AA102" s="6">
        <f t="shared" si="6"/>
        <v>3.5683210669201628</v>
      </c>
      <c r="AB102" s="6">
        <f t="shared" si="3"/>
        <v>3.3152704347785913</v>
      </c>
    </row>
    <row r="103" spans="1:28">
      <c r="A103" s="1">
        <v>102</v>
      </c>
      <c r="B103" s="1">
        <v>0</v>
      </c>
      <c r="C103" s="1">
        <v>1</v>
      </c>
      <c r="D103" s="1">
        <v>0</v>
      </c>
      <c r="E103" s="1">
        <v>1</v>
      </c>
      <c r="F103" s="1">
        <v>4</v>
      </c>
      <c r="G103" s="1">
        <v>6</v>
      </c>
      <c r="H103" s="1">
        <v>1</v>
      </c>
      <c r="I103" s="1">
        <v>2</v>
      </c>
      <c r="J103" s="1">
        <v>2</v>
      </c>
      <c r="K103" s="1">
        <v>2</v>
      </c>
      <c r="L103" s="1">
        <v>1</v>
      </c>
      <c r="M103" s="1">
        <v>0</v>
      </c>
      <c r="N103" s="5">
        <v>0.1</v>
      </c>
      <c r="O103" s="6">
        <v>0.01</v>
      </c>
      <c r="P103" s="5">
        <v>201</v>
      </c>
      <c r="Q103">
        <v>112.00738664622469</v>
      </c>
      <c r="R103" s="6">
        <v>9.4327400000000008</v>
      </c>
      <c r="S103" s="6">
        <v>23.386150000000001</v>
      </c>
      <c r="T103" s="6">
        <v>215.60951111111234</v>
      </c>
      <c r="U103" s="6">
        <v>0.1</v>
      </c>
      <c r="V103" s="6">
        <f t="shared" si="4"/>
        <v>-1</v>
      </c>
      <c r="W103" s="6">
        <f t="shared" si="5"/>
        <v>2.3031960574204891</v>
      </c>
      <c r="X103" s="6">
        <v>2.049246664401549</v>
      </c>
      <c r="Y103" s="6">
        <f t="shared" si="6"/>
        <v>0.97463786389685081</v>
      </c>
      <c r="Z103" s="6">
        <f t="shared" si="6"/>
        <v>1.3689587309421576</v>
      </c>
      <c r="AA103" s="6">
        <f t="shared" si="6"/>
        <v>2.3336679148262274</v>
      </c>
      <c r="AB103" s="6">
        <f t="shared" si="3"/>
        <v>-1</v>
      </c>
    </row>
    <row r="104" spans="1:28">
      <c r="A104" s="1">
        <v>103</v>
      </c>
      <c r="B104" s="1">
        <v>0</v>
      </c>
      <c r="C104" s="1">
        <v>1</v>
      </c>
      <c r="D104" s="1">
        <v>1</v>
      </c>
      <c r="E104" s="1">
        <v>1</v>
      </c>
      <c r="F104" s="1">
        <v>10</v>
      </c>
      <c r="G104" s="1">
        <v>6</v>
      </c>
      <c r="H104" s="1">
        <v>2</v>
      </c>
      <c r="I104" s="1">
        <v>2</v>
      </c>
      <c r="J104" s="1">
        <v>4</v>
      </c>
      <c r="K104" s="1">
        <v>4</v>
      </c>
      <c r="L104" s="1">
        <v>1</v>
      </c>
      <c r="M104" s="1">
        <v>0</v>
      </c>
      <c r="N104" s="5">
        <v>96.8</v>
      </c>
      <c r="O104" s="6">
        <v>9370.24</v>
      </c>
      <c r="P104" s="5">
        <v>476</v>
      </c>
      <c r="Q104">
        <v>590.22538564033709</v>
      </c>
      <c r="R104" s="6">
        <v>75.344500000000011</v>
      </c>
      <c r="S104" s="6">
        <v>105.67800000000001</v>
      </c>
      <c r="T104" s="6">
        <v>26151.82</v>
      </c>
      <c r="U104" s="6">
        <v>13244.444444444445</v>
      </c>
      <c r="V104" s="6">
        <f t="shared" si="4"/>
        <v>1.9858753573083936</v>
      </c>
      <c r="W104" s="6">
        <f t="shared" si="5"/>
        <v>2.6776069527204931</v>
      </c>
      <c r="X104" s="6">
        <v>2.771017884605528</v>
      </c>
      <c r="Y104" s="6">
        <f t="shared" si="6"/>
        <v>1.8770515551665019</v>
      </c>
      <c r="Z104" s="6">
        <f t="shared" si="6"/>
        <v>2.0239845854809699</v>
      </c>
      <c r="AA104" s="6">
        <f t="shared" si="6"/>
        <v>4.4175019183831195</v>
      </c>
      <c r="AB104" s="6">
        <f t="shared" si="3"/>
        <v>4.1220337459648926</v>
      </c>
    </row>
    <row r="105" spans="1:28">
      <c r="A105" s="1">
        <v>104</v>
      </c>
      <c r="B105" s="1">
        <v>0</v>
      </c>
      <c r="C105" s="1">
        <v>1</v>
      </c>
      <c r="D105" s="1">
        <v>1</v>
      </c>
      <c r="E105" s="1">
        <v>1</v>
      </c>
      <c r="F105" s="1">
        <v>12</v>
      </c>
      <c r="G105" s="1">
        <v>6</v>
      </c>
      <c r="H105" s="1">
        <v>2</v>
      </c>
      <c r="I105" s="1">
        <v>2</v>
      </c>
      <c r="J105" s="1">
        <v>4</v>
      </c>
      <c r="K105" s="1">
        <v>4</v>
      </c>
      <c r="L105" s="1">
        <v>1</v>
      </c>
      <c r="M105" s="1">
        <v>0</v>
      </c>
      <c r="N105" s="5">
        <v>208.8</v>
      </c>
      <c r="O105" s="6">
        <v>43597.440000000002</v>
      </c>
      <c r="P105" s="5">
        <v>476</v>
      </c>
      <c r="Q105">
        <v>590.22538564033709</v>
      </c>
      <c r="R105" s="6">
        <v>163.0181</v>
      </c>
      <c r="S105" s="6">
        <v>371.04720000000003</v>
      </c>
      <c r="T105" s="6">
        <v>20338.890888888887</v>
      </c>
      <c r="U105" s="6">
        <v>4066.6666666666674</v>
      </c>
      <c r="V105" s="6">
        <f t="shared" si="4"/>
        <v>2.3197304943302246</v>
      </c>
      <c r="W105" s="6">
        <f t="shared" si="5"/>
        <v>2.6776069527204931</v>
      </c>
      <c r="X105" s="6">
        <v>2.771017884605528</v>
      </c>
      <c r="Y105" s="6">
        <f t="shared" si="6"/>
        <v>2.2122358270647888</v>
      </c>
      <c r="Z105" s="6">
        <f t="shared" si="6"/>
        <v>2.5694291586600486</v>
      </c>
      <c r="AA105" s="6">
        <f t="shared" si="6"/>
        <v>4.3083272664840448</v>
      </c>
      <c r="AB105" s="6">
        <f t="shared" si="3"/>
        <v>3.6092385759550858</v>
      </c>
    </row>
    <row r="106" spans="1:28">
      <c r="A106" s="1">
        <v>105</v>
      </c>
      <c r="B106" s="1">
        <v>1</v>
      </c>
      <c r="C106" s="1">
        <v>1</v>
      </c>
      <c r="D106" s="1">
        <v>1</v>
      </c>
      <c r="E106" s="1">
        <v>1</v>
      </c>
      <c r="F106" s="1">
        <v>14</v>
      </c>
      <c r="G106" s="1">
        <v>6</v>
      </c>
      <c r="H106" s="1">
        <v>3</v>
      </c>
      <c r="I106" s="1">
        <v>2</v>
      </c>
      <c r="J106" s="1">
        <v>5</v>
      </c>
      <c r="K106" s="1">
        <v>5</v>
      </c>
      <c r="L106" s="1">
        <v>1</v>
      </c>
      <c r="M106" s="1">
        <v>0</v>
      </c>
      <c r="N106" s="5">
        <v>66.8</v>
      </c>
      <c r="O106" s="6">
        <v>4462.24</v>
      </c>
      <c r="P106" s="5">
        <v>376</v>
      </c>
      <c r="Q106">
        <v>367.66496551835189</v>
      </c>
      <c r="R106" s="6">
        <v>75.148799999999994</v>
      </c>
      <c r="S106" s="6">
        <v>69.375649999999993</v>
      </c>
      <c r="T106" s="6">
        <v>0.1</v>
      </c>
      <c r="U106" s="6">
        <v>244.44444444444531</v>
      </c>
      <c r="V106" s="6">
        <f t="shared" si="4"/>
        <v>1.8247764624755456</v>
      </c>
      <c r="W106" s="6">
        <f t="shared" si="5"/>
        <v>2.5751878449276608</v>
      </c>
      <c r="X106" s="6">
        <v>2.565452248288882</v>
      </c>
      <c r="Y106" s="6">
        <f t="shared" si="6"/>
        <v>1.875922050025532</v>
      </c>
      <c r="Z106" s="6">
        <f t="shared" si="6"/>
        <v>1.8412070651770864</v>
      </c>
      <c r="AA106" s="6">
        <f t="shared" si="6"/>
        <v>-1</v>
      </c>
      <c r="AB106" s="6">
        <f t="shared" si="3"/>
        <v>2.3881801713828827</v>
      </c>
    </row>
    <row r="107" spans="1:28">
      <c r="A107" s="1">
        <v>106</v>
      </c>
      <c r="B107" s="1">
        <v>1</v>
      </c>
      <c r="C107" s="1">
        <v>1</v>
      </c>
      <c r="D107" s="1">
        <v>1</v>
      </c>
      <c r="E107" s="1">
        <v>0</v>
      </c>
      <c r="F107" s="1">
        <v>19</v>
      </c>
      <c r="G107" s="1">
        <v>6</v>
      </c>
      <c r="H107" s="1">
        <v>3</v>
      </c>
      <c r="I107" s="1">
        <v>2</v>
      </c>
      <c r="J107" s="1">
        <v>5</v>
      </c>
      <c r="K107" s="1">
        <v>6</v>
      </c>
      <c r="L107" s="1">
        <v>1</v>
      </c>
      <c r="M107" s="1">
        <v>0</v>
      </c>
      <c r="N107" s="5">
        <v>292.8</v>
      </c>
      <c r="O107" s="6">
        <v>85731.839999999997</v>
      </c>
      <c r="P107" s="5">
        <v>376</v>
      </c>
      <c r="Q107">
        <v>367.66496551835189</v>
      </c>
      <c r="R107" s="6">
        <v>21.409580000000002</v>
      </c>
      <c r="S107" s="6">
        <v>477.50799999999998</v>
      </c>
      <c r="T107" s="6">
        <v>5363.1975999999995</v>
      </c>
      <c r="U107" s="6">
        <v>2022.2222222222215</v>
      </c>
      <c r="V107" s="6">
        <f t="shared" si="4"/>
        <v>2.4665710723863543</v>
      </c>
      <c r="W107" s="6">
        <f t="shared" si="5"/>
        <v>2.5751878449276608</v>
      </c>
      <c r="X107" s="6">
        <v>2.565452248288882</v>
      </c>
      <c r="Y107" s="6">
        <f t="shared" si="6"/>
        <v>1.3306081476554132</v>
      </c>
      <c r="Z107" s="6">
        <f t="shared" si="6"/>
        <v>2.6789806519967305</v>
      </c>
      <c r="AA107" s="6">
        <f t="shared" si="6"/>
        <v>3.7294237982699308</v>
      </c>
      <c r="AB107" s="6">
        <f t="shared" si="3"/>
        <v>3.3058288785457499</v>
      </c>
    </row>
    <row r="108" spans="1:28">
      <c r="A108" s="1">
        <v>107</v>
      </c>
      <c r="B108" s="1">
        <v>1</v>
      </c>
      <c r="C108" s="1">
        <v>1</v>
      </c>
      <c r="D108" s="1">
        <v>1</v>
      </c>
      <c r="E108" s="1">
        <v>1</v>
      </c>
      <c r="F108" s="1">
        <v>26</v>
      </c>
      <c r="G108" s="1">
        <v>18</v>
      </c>
      <c r="H108" s="1">
        <v>3</v>
      </c>
      <c r="I108" s="1">
        <v>2</v>
      </c>
      <c r="J108" s="1">
        <v>6</v>
      </c>
      <c r="K108" s="1">
        <v>7</v>
      </c>
      <c r="L108" s="1">
        <v>1</v>
      </c>
      <c r="M108" s="1">
        <v>0</v>
      </c>
      <c r="N108" s="5">
        <v>60.8</v>
      </c>
      <c r="O108" s="6">
        <v>3696.64</v>
      </c>
      <c r="P108" s="5">
        <v>176</v>
      </c>
      <c r="Q108">
        <v>88.460600982037548</v>
      </c>
      <c r="R108" s="6">
        <v>7.8671399999999991</v>
      </c>
      <c r="S108" s="6">
        <v>41.097000000000001</v>
      </c>
      <c r="T108" s="6">
        <v>888.23475555555524</v>
      </c>
      <c r="U108" s="6">
        <v>311.11111111111074</v>
      </c>
      <c r="V108" s="6">
        <f t="shared" si="4"/>
        <v>1.7839035792727349</v>
      </c>
      <c r="W108" s="6">
        <f t="shared" si="5"/>
        <v>2.2455126678141499</v>
      </c>
      <c r="X108" s="6">
        <v>1.946749885545636</v>
      </c>
      <c r="Y108" s="6">
        <f t="shared" si="6"/>
        <v>0.89581687874247118</v>
      </c>
      <c r="Z108" s="6">
        <f t="shared" si="6"/>
        <v>1.6138101203919204</v>
      </c>
      <c r="AA108" s="6">
        <f t="shared" si="6"/>
        <v>2.9485277625898316</v>
      </c>
      <c r="AB108" s="6">
        <f t="shared" si="3"/>
        <v>2.4929155219028938</v>
      </c>
    </row>
    <row r="109" spans="1:28">
      <c r="A109" s="1">
        <v>108</v>
      </c>
      <c r="B109" s="1">
        <v>1</v>
      </c>
      <c r="C109" s="1">
        <v>0</v>
      </c>
      <c r="D109" s="1">
        <v>0</v>
      </c>
      <c r="E109" s="1">
        <v>1</v>
      </c>
      <c r="F109" s="1">
        <v>2</v>
      </c>
      <c r="G109" s="1">
        <v>6</v>
      </c>
      <c r="H109" s="1">
        <v>1</v>
      </c>
      <c r="I109" s="1">
        <v>2</v>
      </c>
      <c r="J109" s="1">
        <v>1</v>
      </c>
      <c r="K109" s="1">
        <v>1</v>
      </c>
      <c r="L109" s="1">
        <v>1</v>
      </c>
      <c r="M109" s="1">
        <v>0</v>
      </c>
      <c r="N109" s="5">
        <v>82.8</v>
      </c>
      <c r="O109" s="6">
        <v>6855.84</v>
      </c>
      <c r="P109" s="5">
        <v>326</v>
      </c>
      <c r="Q109">
        <v>277.77367501946367</v>
      </c>
      <c r="R109" s="6">
        <v>15.499440000000002</v>
      </c>
      <c r="S109" s="6">
        <v>491.20700000000005</v>
      </c>
      <c r="T109" s="6">
        <v>4761.8428444444444</v>
      </c>
      <c r="U109" s="6">
        <v>1200</v>
      </c>
      <c r="V109" s="6">
        <f t="shared" si="4"/>
        <v>1.9180303367848801</v>
      </c>
      <c r="W109" s="6">
        <f t="shared" si="5"/>
        <v>2.5132176000679389</v>
      </c>
      <c r="X109" s="6">
        <v>2.4436910846862743</v>
      </c>
      <c r="Y109" s="6">
        <f t="shared" si="6"/>
        <v>1.1903160072474948</v>
      </c>
      <c r="Z109" s="6">
        <f t="shared" si="6"/>
        <v>2.6912645471390393</v>
      </c>
      <c r="AA109" s="6">
        <f t="shared" si="6"/>
        <v>3.6777750582429842</v>
      </c>
      <c r="AB109" s="6">
        <f t="shared" si="3"/>
        <v>3.0791812460476247</v>
      </c>
    </row>
    <row r="110" spans="1:28">
      <c r="A110" s="1">
        <v>1</v>
      </c>
      <c r="B110" s="1">
        <v>1</v>
      </c>
      <c r="C110" s="1">
        <v>1</v>
      </c>
      <c r="D110" s="1">
        <v>1</v>
      </c>
      <c r="E110" s="1">
        <v>0</v>
      </c>
      <c r="F110" s="1">
        <v>14</v>
      </c>
      <c r="G110" s="1">
        <v>6</v>
      </c>
      <c r="H110" s="1">
        <v>3</v>
      </c>
      <c r="I110" s="1">
        <v>1</v>
      </c>
      <c r="J110" s="1">
        <v>5</v>
      </c>
      <c r="K110" s="1">
        <v>5</v>
      </c>
      <c r="L110" s="1">
        <v>2</v>
      </c>
      <c r="M110" s="1">
        <v>23</v>
      </c>
      <c r="N110" s="5">
        <v>56.8</v>
      </c>
      <c r="O110" s="6">
        <v>3226.24</v>
      </c>
      <c r="P110" s="5">
        <v>396.173</v>
      </c>
      <c r="Q110">
        <v>416.23655111562346</v>
      </c>
      <c r="R110" s="6">
        <v>55.578800000000001</v>
      </c>
      <c r="S110" s="6">
        <v>133.4674</v>
      </c>
      <c r="T110" s="6">
        <v>2344.1065777777767</v>
      </c>
      <c r="U110">
        <v>466.66666666666617</v>
      </c>
      <c r="V110" s="6">
        <f t="shared" si="4"/>
        <v>1.7543483357110188</v>
      </c>
      <c r="W110" s="6">
        <f t="shared" si="5"/>
        <v>2.5978848741541283</v>
      </c>
      <c r="X110" s="6">
        <v>2.6193402143927398</v>
      </c>
      <c r="Y110" s="6">
        <f t="shared" si="6"/>
        <v>1.7449091657050388</v>
      </c>
      <c r="Z110" s="6">
        <f t="shared" si="6"/>
        <v>2.1253752003144801</v>
      </c>
      <c r="AA110" s="6">
        <f t="shared" si="6"/>
        <v>3.3699773535442343</v>
      </c>
      <c r="AB110" s="6">
        <f t="shared" si="3"/>
        <v>2.6690067809585751</v>
      </c>
    </row>
    <row r="111" spans="1:28">
      <c r="A111" s="1">
        <v>2</v>
      </c>
      <c r="B111" s="1">
        <v>1</v>
      </c>
      <c r="C111" s="1">
        <v>1</v>
      </c>
      <c r="D111" s="1">
        <v>1</v>
      </c>
      <c r="E111" s="1">
        <v>0</v>
      </c>
      <c r="F111" s="1">
        <v>15</v>
      </c>
      <c r="G111" s="1">
        <v>6</v>
      </c>
      <c r="H111" s="1">
        <v>3</v>
      </c>
      <c r="I111" s="1">
        <v>1</v>
      </c>
      <c r="J111" s="1">
        <v>5</v>
      </c>
      <c r="K111" s="1">
        <v>5</v>
      </c>
      <c r="L111" s="1">
        <v>2</v>
      </c>
      <c r="M111" s="1">
        <v>23</v>
      </c>
      <c r="N111" s="5">
        <v>132.80000000000001</v>
      </c>
      <c r="O111" s="6">
        <v>17635.84</v>
      </c>
      <c r="P111" s="5">
        <v>1735.6602259999991</v>
      </c>
      <c r="Q111">
        <v>1829.8258532482125</v>
      </c>
      <c r="R111" s="6">
        <v>187.08920000000001</v>
      </c>
      <c r="S111" s="6">
        <v>324.47059999999999</v>
      </c>
      <c r="T111" s="6">
        <v>13557.817555555554</v>
      </c>
      <c r="U111">
        <v>3222.2222222222217</v>
      </c>
      <c r="V111" s="6">
        <f t="shared" si="4"/>
        <v>2.1231980750319988</v>
      </c>
      <c r="W111" s="6">
        <f t="shared" si="5"/>
        <v>3.239464711384386</v>
      </c>
      <c r="X111" s="6">
        <v>3.2624097593631212</v>
      </c>
      <c r="Y111" s="6">
        <f t="shared" si="6"/>
        <v>2.2720487179341013</v>
      </c>
      <c r="Z111" s="6">
        <f t="shared" si="6"/>
        <v>2.5111753518722559</v>
      </c>
      <c r="AA111" s="6">
        <f t="shared" si="6"/>
        <v>4.1321897854114091</v>
      </c>
      <c r="AB111" s="6">
        <f t="shared" si="3"/>
        <v>3.5081554884596313</v>
      </c>
    </row>
    <row r="112" spans="1:28">
      <c r="A112" s="1">
        <v>3</v>
      </c>
      <c r="B112" s="1">
        <v>1</v>
      </c>
      <c r="C112" s="1">
        <v>1</v>
      </c>
      <c r="D112" s="1">
        <v>1</v>
      </c>
      <c r="E112" s="1">
        <v>0</v>
      </c>
      <c r="F112" s="1">
        <v>13</v>
      </c>
      <c r="G112" s="1">
        <v>6</v>
      </c>
      <c r="H112" s="1">
        <v>3</v>
      </c>
      <c r="I112" s="1">
        <v>1</v>
      </c>
      <c r="J112" s="1">
        <v>5</v>
      </c>
      <c r="K112" s="1">
        <v>5</v>
      </c>
      <c r="L112" s="1">
        <v>2</v>
      </c>
      <c r="M112" s="1">
        <v>23</v>
      </c>
      <c r="N112" s="5">
        <v>108.8</v>
      </c>
      <c r="O112" s="6">
        <v>11837.44</v>
      </c>
      <c r="P112" s="5">
        <v>420.09199999999998</v>
      </c>
      <c r="Q112">
        <v>465.1509008272937</v>
      </c>
      <c r="R112" s="6">
        <v>89.239200000000011</v>
      </c>
      <c r="S112" s="6">
        <v>73.974599999999995</v>
      </c>
      <c r="T112" s="6">
        <v>3471.2488888888879</v>
      </c>
      <c r="U112">
        <v>1600</v>
      </c>
      <c r="V112" s="6">
        <f t="shared" si="4"/>
        <v>2.0366288953621612</v>
      </c>
      <c r="W112" s="6">
        <f t="shared" si="5"/>
        <v>2.6233444111525199</v>
      </c>
      <c r="X112" s="6">
        <v>2.6675938663635095</v>
      </c>
      <c r="Y112" s="6">
        <f t="shared" si="6"/>
        <v>1.9505556683224361</v>
      </c>
      <c r="Z112" s="6">
        <f t="shared" si="6"/>
        <v>1.8690826254952264</v>
      </c>
      <c r="AA112" s="6">
        <f t="shared" si="6"/>
        <v>3.5404857537451337</v>
      </c>
      <c r="AB112" s="6">
        <f t="shared" si="3"/>
        <v>3.2041199826559246</v>
      </c>
    </row>
    <row r="113" spans="1:28">
      <c r="A113" s="1">
        <v>4</v>
      </c>
      <c r="B113" s="1">
        <v>1</v>
      </c>
      <c r="C113" s="1">
        <v>0</v>
      </c>
      <c r="D113" s="1">
        <v>0</v>
      </c>
      <c r="E113" s="1">
        <v>0</v>
      </c>
      <c r="F113" s="1">
        <v>1</v>
      </c>
      <c r="G113" s="1">
        <v>6</v>
      </c>
      <c r="H113" s="1">
        <v>1</v>
      </c>
      <c r="I113" s="1">
        <v>1</v>
      </c>
      <c r="J113" s="1">
        <v>1</v>
      </c>
      <c r="K113" s="1">
        <v>1</v>
      </c>
      <c r="L113" s="1">
        <v>2</v>
      </c>
      <c r="M113" s="1">
        <v>23</v>
      </c>
      <c r="N113" s="5">
        <v>158.80000000000001</v>
      </c>
      <c r="O113" s="6">
        <v>25217.439999999999</v>
      </c>
      <c r="P113" s="5">
        <v>2052.288834</v>
      </c>
      <c r="Q113">
        <v>2038.8861880028253</v>
      </c>
      <c r="R113" s="6">
        <v>187.08920000000001</v>
      </c>
      <c r="S113" s="6">
        <v>76.714399999999998</v>
      </c>
      <c r="T113" s="6">
        <v>16115.768</v>
      </c>
      <c r="U113">
        <v>3066.6666666666683</v>
      </c>
      <c r="V113" s="6">
        <f t="shared" si="4"/>
        <v>2.2008504980910777</v>
      </c>
      <c r="W113" s="6">
        <f t="shared" si="5"/>
        <v>3.3122384822609217</v>
      </c>
      <c r="X113" s="6">
        <v>3.3093929838449023</v>
      </c>
      <c r="Y113" s="6">
        <f t="shared" si="6"/>
        <v>2.2720487179341013</v>
      </c>
      <c r="Z113" s="6">
        <f t="shared" si="6"/>
        <v>1.8848768926784585</v>
      </c>
      <c r="AA113" s="6">
        <f t="shared" si="6"/>
        <v>4.2072510067279412</v>
      </c>
      <c r="AB113" s="6">
        <f t="shared" si="3"/>
        <v>3.486666572625893</v>
      </c>
    </row>
    <row r="114" spans="1:28">
      <c r="A114" s="1">
        <v>5</v>
      </c>
      <c r="B114" s="1">
        <v>1</v>
      </c>
      <c r="C114" s="1">
        <v>1</v>
      </c>
      <c r="D114" s="1">
        <v>0</v>
      </c>
      <c r="E114" s="1">
        <v>0</v>
      </c>
      <c r="F114" s="1">
        <v>8</v>
      </c>
      <c r="G114" s="1">
        <v>6</v>
      </c>
      <c r="H114" s="1">
        <v>2</v>
      </c>
      <c r="I114" s="1">
        <v>1</v>
      </c>
      <c r="J114" s="1">
        <v>3</v>
      </c>
      <c r="K114" s="1">
        <v>3</v>
      </c>
      <c r="L114" s="1">
        <v>2</v>
      </c>
      <c r="M114" s="1">
        <v>23</v>
      </c>
      <c r="N114" s="5">
        <v>94.8</v>
      </c>
      <c r="O114" s="6">
        <v>8987.0400000000009</v>
      </c>
      <c r="P114" s="5">
        <v>420.09199999999998</v>
      </c>
      <c r="Q114">
        <v>465.1509008272937</v>
      </c>
      <c r="R114" s="6">
        <v>51.860500000000002</v>
      </c>
      <c r="S114" s="6">
        <v>13.307600000000001</v>
      </c>
      <c r="T114" s="6">
        <v>597.81595555555509</v>
      </c>
      <c r="U114">
        <v>266.66666666666663</v>
      </c>
      <c r="V114" s="6">
        <f t="shared" si="4"/>
        <v>1.9768083373380663</v>
      </c>
      <c r="W114" s="6">
        <f t="shared" si="5"/>
        <v>2.6233444111525199</v>
      </c>
      <c r="X114" s="6">
        <v>2.6675938663635095</v>
      </c>
      <c r="Y114" s="6">
        <f t="shared" si="6"/>
        <v>1.714836699594809</v>
      </c>
      <c r="Z114" s="6">
        <f t="shared" si="6"/>
        <v>1.1240997383642375</v>
      </c>
      <c r="AA114" s="6">
        <f t="shared" si="6"/>
        <v>2.7765675020670297</v>
      </c>
      <c r="AB114" s="6">
        <f t="shared" si="3"/>
        <v>2.4259687322722812</v>
      </c>
    </row>
    <row r="115" spans="1:28">
      <c r="A115" s="1">
        <v>6</v>
      </c>
      <c r="B115" s="1">
        <v>1</v>
      </c>
      <c r="C115" s="1">
        <v>0</v>
      </c>
      <c r="D115" s="1">
        <v>0</v>
      </c>
      <c r="E115" s="1">
        <v>0</v>
      </c>
      <c r="F115" s="1">
        <v>2</v>
      </c>
      <c r="G115" s="1">
        <v>6</v>
      </c>
      <c r="H115" s="1">
        <v>1</v>
      </c>
      <c r="I115" s="1">
        <v>1</v>
      </c>
      <c r="J115" s="1">
        <v>1</v>
      </c>
      <c r="K115" s="1">
        <v>1</v>
      </c>
      <c r="L115" s="1">
        <v>2</v>
      </c>
      <c r="M115" s="1">
        <v>23</v>
      </c>
      <c r="N115" s="5">
        <v>108.8</v>
      </c>
      <c r="O115" s="6">
        <v>11837.44</v>
      </c>
      <c r="P115" s="5">
        <v>467.93</v>
      </c>
      <c r="Q115">
        <v>571.36793872492774</v>
      </c>
      <c r="R115" s="6">
        <v>57.535799999999995</v>
      </c>
      <c r="S115" s="6">
        <v>45.4024</v>
      </c>
      <c r="T115" s="6">
        <v>7107.3755555555545</v>
      </c>
      <c r="U115">
        <v>1422.2222222222215</v>
      </c>
      <c r="V115" s="6">
        <f t="shared" si="4"/>
        <v>2.0366288953621612</v>
      </c>
      <c r="W115" s="6">
        <f t="shared" si="5"/>
        <v>2.6701808896392731</v>
      </c>
      <c r="X115" s="6">
        <v>2.7569158670836504</v>
      </c>
      <c r="Y115" s="6">
        <f t="shared" si="6"/>
        <v>1.7599381560701584</v>
      </c>
      <c r="Z115" s="6">
        <f t="shared" si="6"/>
        <v>1.6570788105489009</v>
      </c>
      <c r="AA115" s="6">
        <f t="shared" si="6"/>
        <v>3.8517092642810629</v>
      </c>
      <c r="AB115" s="6">
        <f t="shared" si="3"/>
        <v>3.1529674602085431</v>
      </c>
    </row>
    <row r="116" spans="1:28">
      <c r="A116" s="1">
        <v>7</v>
      </c>
      <c r="B116" s="1">
        <v>1</v>
      </c>
      <c r="C116" s="1">
        <v>1</v>
      </c>
      <c r="D116" s="1">
        <v>1</v>
      </c>
      <c r="E116" s="1">
        <v>0</v>
      </c>
      <c r="F116" s="1">
        <v>24</v>
      </c>
      <c r="G116" s="1">
        <v>18</v>
      </c>
      <c r="H116" s="1">
        <v>3</v>
      </c>
      <c r="I116" s="1">
        <v>1</v>
      </c>
      <c r="J116" s="1">
        <v>6</v>
      </c>
      <c r="K116" s="1">
        <v>7</v>
      </c>
      <c r="L116" s="1">
        <v>2</v>
      </c>
      <c r="M116" s="1">
        <v>23</v>
      </c>
      <c r="N116" s="5">
        <v>68.8</v>
      </c>
      <c r="O116" s="6">
        <v>4733.4399999999996</v>
      </c>
      <c r="P116" s="5">
        <v>396.173</v>
      </c>
      <c r="Q116">
        <v>416.23655111562346</v>
      </c>
      <c r="R116" s="6">
        <v>56.948700000000009</v>
      </c>
      <c r="S116" s="6">
        <v>93.544600000000003</v>
      </c>
      <c r="T116" s="6">
        <v>9281.6502222222225</v>
      </c>
      <c r="U116">
        <v>1755.555555555555</v>
      </c>
      <c r="V116" s="6">
        <f t="shared" si="4"/>
        <v>1.8375884382355112</v>
      </c>
      <c r="W116" s="6">
        <f t="shared" si="5"/>
        <v>2.5978848741541283</v>
      </c>
      <c r="X116" s="6">
        <v>2.6193402143927398</v>
      </c>
      <c r="Y116" s="6">
        <f t="shared" si="6"/>
        <v>1.7554838146439085</v>
      </c>
      <c r="Z116" s="6">
        <f t="shared" si="6"/>
        <v>1.9710187222701201</v>
      </c>
      <c r="AA116" s="6">
        <f t="shared" si="6"/>
        <v>3.9676251980604906</v>
      </c>
      <c r="AB116" s="6">
        <f t="shared" si="3"/>
        <v>3.2444145775150974</v>
      </c>
    </row>
    <row r="117" spans="1:28">
      <c r="A117" s="1">
        <v>8</v>
      </c>
      <c r="B117" s="1">
        <v>1</v>
      </c>
      <c r="C117" s="1">
        <v>1</v>
      </c>
      <c r="D117" s="1">
        <v>1</v>
      </c>
      <c r="E117" s="1">
        <v>0</v>
      </c>
      <c r="F117" s="1">
        <v>26</v>
      </c>
      <c r="G117" s="1">
        <v>18</v>
      </c>
      <c r="H117" s="1">
        <v>3</v>
      </c>
      <c r="I117" s="1">
        <v>1</v>
      </c>
      <c r="J117" s="1">
        <v>6</v>
      </c>
      <c r="K117" s="1">
        <v>7</v>
      </c>
      <c r="L117" s="1">
        <v>2</v>
      </c>
      <c r="M117" s="1">
        <v>23</v>
      </c>
      <c r="N117" s="5">
        <v>86.8</v>
      </c>
      <c r="O117" s="6">
        <v>7534.24</v>
      </c>
      <c r="P117" s="5">
        <v>548.78630399999975</v>
      </c>
      <c r="Q117">
        <v>751.77749061715963</v>
      </c>
      <c r="R117" s="6">
        <v>69.86490000000002</v>
      </c>
      <c r="S117" s="6">
        <v>68.886399999999995</v>
      </c>
      <c r="T117" s="6">
        <v>4507.4793333333328</v>
      </c>
      <c r="U117">
        <v>911.11111111111086</v>
      </c>
      <c r="V117" s="6">
        <f t="shared" si="4"/>
        <v>1.9385197251764918</v>
      </c>
      <c r="W117" s="6">
        <f t="shared" si="5"/>
        <v>2.7394032641938728</v>
      </c>
      <c r="X117" s="6">
        <v>2.8760893181227964</v>
      </c>
      <c r="Y117" s="6">
        <f t="shared" si="6"/>
        <v>1.8442590417701945</v>
      </c>
      <c r="Z117" s="6">
        <f t="shared" si="6"/>
        <v>1.8381334891361321</v>
      </c>
      <c r="AA117" s="6">
        <f t="shared" si="6"/>
        <v>3.6539337441709523</v>
      </c>
      <c r="AB117" s="6">
        <f t="shared" si="3"/>
        <v>2.9595713429443915</v>
      </c>
    </row>
    <row r="118" spans="1:28">
      <c r="A118" s="1">
        <v>9</v>
      </c>
      <c r="B118" s="1">
        <v>1</v>
      </c>
      <c r="C118" s="1">
        <v>1</v>
      </c>
      <c r="D118" s="1">
        <v>1</v>
      </c>
      <c r="E118" s="1">
        <v>0</v>
      </c>
      <c r="F118" s="1">
        <v>21</v>
      </c>
      <c r="G118" s="1">
        <v>18</v>
      </c>
      <c r="H118" s="1">
        <v>3</v>
      </c>
      <c r="I118" s="1">
        <v>1</v>
      </c>
      <c r="J118" s="1">
        <v>6</v>
      </c>
      <c r="K118" s="1">
        <v>7</v>
      </c>
      <c r="L118" s="1">
        <v>2</v>
      </c>
      <c r="M118" s="1">
        <v>23</v>
      </c>
      <c r="N118" s="5">
        <v>56.8</v>
      </c>
      <c r="O118" s="6">
        <v>3226.24</v>
      </c>
      <c r="P118" s="5">
        <v>420.09199999999998</v>
      </c>
      <c r="Q118">
        <v>465.1509008272937</v>
      </c>
      <c r="R118" s="6">
        <v>142.6653</v>
      </c>
      <c r="S118" s="6">
        <v>166.345</v>
      </c>
      <c r="T118" s="6">
        <v>4134.2588888888877</v>
      </c>
      <c r="U118">
        <v>688.88888888888857</v>
      </c>
      <c r="V118" s="6">
        <f t="shared" si="4"/>
        <v>1.7543483357110188</v>
      </c>
      <c r="W118" s="6">
        <f t="shared" si="5"/>
        <v>2.6233444111525199</v>
      </c>
      <c r="X118" s="6">
        <v>2.6675938663635095</v>
      </c>
      <c r="Y118" s="6">
        <f t="shared" si="6"/>
        <v>2.1543183539759756</v>
      </c>
      <c r="Z118" s="6">
        <f t="shared" si="6"/>
        <v>2.2210097513722937</v>
      </c>
      <c r="AA118" s="6">
        <f t="shared" si="6"/>
        <v>3.6163976688310533</v>
      </c>
      <c r="AB118" s="6">
        <f t="shared" si="3"/>
        <v>2.8381491800589287</v>
      </c>
    </row>
    <row r="119" spans="1:28">
      <c r="A119" s="1">
        <v>10</v>
      </c>
      <c r="B119" s="1">
        <v>1</v>
      </c>
      <c r="C119" s="1">
        <v>1</v>
      </c>
      <c r="D119" s="1">
        <v>1</v>
      </c>
      <c r="E119" s="1">
        <v>0</v>
      </c>
      <c r="F119" s="1">
        <v>25</v>
      </c>
      <c r="G119" s="1">
        <v>18</v>
      </c>
      <c r="H119" s="1">
        <v>3</v>
      </c>
      <c r="I119" s="1">
        <v>1</v>
      </c>
      <c r="J119" s="1">
        <v>6</v>
      </c>
      <c r="K119" s="1">
        <v>7</v>
      </c>
      <c r="L119" s="1">
        <v>2</v>
      </c>
      <c r="M119" s="1">
        <v>23</v>
      </c>
      <c r="N119" s="5">
        <v>90.8</v>
      </c>
      <c r="O119" s="6">
        <v>8244.64</v>
      </c>
      <c r="P119" s="5">
        <v>444.01099999999997</v>
      </c>
      <c r="Q119">
        <v>516.85873163577901</v>
      </c>
      <c r="R119" s="6">
        <v>139.14269999999999</v>
      </c>
      <c r="S119" s="6">
        <v>55.578800000000001</v>
      </c>
      <c r="T119" s="6">
        <v>3603.6815555555559</v>
      </c>
      <c r="U119">
        <v>733.33333333333428</v>
      </c>
      <c r="V119" s="6">
        <f t="shared" si="4"/>
        <v>1.958085848521085</v>
      </c>
      <c r="W119" s="6">
        <f t="shared" si="5"/>
        <v>2.6473937295293144</v>
      </c>
      <c r="X119" s="6">
        <v>2.7133718574949275</v>
      </c>
      <c r="Y119" s="6">
        <f t="shared" si="6"/>
        <v>2.1434604263877675</v>
      </c>
      <c r="Z119" s="6">
        <f t="shared" si="6"/>
        <v>1.7449091657050388</v>
      </c>
      <c r="AA119" s="6">
        <f t="shared" si="6"/>
        <v>3.5567464069531645</v>
      </c>
      <c r="AB119" s="6">
        <f t="shared" si="3"/>
        <v>2.8653014261025445</v>
      </c>
    </row>
    <row r="120" spans="1:28">
      <c r="A120" s="1">
        <v>11</v>
      </c>
      <c r="B120" s="1">
        <v>1</v>
      </c>
      <c r="C120" s="1">
        <v>1</v>
      </c>
      <c r="D120" s="1">
        <v>1</v>
      </c>
      <c r="E120" s="1">
        <v>0</v>
      </c>
      <c r="F120" s="1">
        <v>20</v>
      </c>
      <c r="G120" s="1">
        <v>18</v>
      </c>
      <c r="H120" s="1">
        <v>3</v>
      </c>
      <c r="I120" s="1">
        <v>1</v>
      </c>
      <c r="J120" s="1">
        <v>6</v>
      </c>
      <c r="K120" s="1">
        <v>7</v>
      </c>
      <c r="L120" s="1">
        <v>2</v>
      </c>
      <c r="M120" s="1">
        <v>23</v>
      </c>
      <c r="N120" s="5">
        <v>70.8</v>
      </c>
      <c r="O120" s="6">
        <v>5012.6400000000003</v>
      </c>
      <c r="P120" s="5">
        <v>444.01099999999997</v>
      </c>
      <c r="Q120">
        <v>516.85873163577901</v>
      </c>
      <c r="R120" s="6">
        <v>98.241400000000013</v>
      </c>
      <c r="S120" s="6">
        <v>837.596</v>
      </c>
      <c r="T120" s="6">
        <v>9754.2148888888914</v>
      </c>
      <c r="U120">
        <v>1755.5555555555566</v>
      </c>
      <c r="V120" s="6">
        <f t="shared" si="4"/>
        <v>1.8500332576897689</v>
      </c>
      <c r="W120" s="6">
        <f t="shared" si="5"/>
        <v>2.6473937295293144</v>
      </c>
      <c r="X120" s="6">
        <v>2.7133718574949275</v>
      </c>
      <c r="Y120" s="6">
        <f t="shared" si="6"/>
        <v>1.9922945428030205</v>
      </c>
      <c r="Z120" s="6">
        <f t="shared" si="6"/>
        <v>2.9230345946711731</v>
      </c>
      <c r="AA120" s="6">
        <f t="shared" si="6"/>
        <v>3.9891923190257614</v>
      </c>
      <c r="AB120" s="6">
        <f t="shared" si="3"/>
        <v>3.2444145775150979</v>
      </c>
    </row>
    <row r="121" spans="1:28">
      <c r="A121" s="1">
        <v>12</v>
      </c>
      <c r="B121" s="1">
        <v>1</v>
      </c>
      <c r="C121" s="1">
        <v>1</v>
      </c>
      <c r="D121" s="1">
        <v>1</v>
      </c>
      <c r="E121" s="1">
        <v>1</v>
      </c>
      <c r="F121" s="1">
        <v>18</v>
      </c>
      <c r="G121" s="1">
        <v>6</v>
      </c>
      <c r="H121" s="1">
        <v>3</v>
      </c>
      <c r="I121" s="1">
        <v>1</v>
      </c>
      <c r="J121" s="1">
        <v>5</v>
      </c>
      <c r="K121" s="1">
        <v>6</v>
      </c>
      <c r="L121" s="1">
        <v>2</v>
      </c>
      <c r="M121" s="1">
        <v>23</v>
      </c>
      <c r="N121" s="5">
        <v>72.8</v>
      </c>
      <c r="O121" s="6">
        <v>5299.84</v>
      </c>
      <c r="P121" s="5">
        <v>444.01099999999997</v>
      </c>
      <c r="Q121">
        <v>516.85873163577901</v>
      </c>
      <c r="R121" s="6">
        <v>16.243100000000002</v>
      </c>
      <c r="S121" s="6">
        <v>90.8048</v>
      </c>
      <c r="T121" s="6">
        <v>1868.700444444444</v>
      </c>
      <c r="U121">
        <v>244.44444444444375</v>
      </c>
      <c r="V121" s="6">
        <f t="shared" si="4"/>
        <v>1.8621313793130372</v>
      </c>
      <c r="W121" s="6">
        <f t="shared" si="5"/>
        <v>2.6473937295293144</v>
      </c>
      <c r="X121" s="6">
        <v>2.7133718574949275</v>
      </c>
      <c r="Y121" s="6">
        <f t="shared" si="6"/>
        <v>1.2106689180340751</v>
      </c>
      <c r="Z121" s="6">
        <f t="shared" si="6"/>
        <v>1.958108806212882</v>
      </c>
      <c r="AA121" s="6">
        <f t="shared" si="6"/>
        <v>3.2715396888847259</v>
      </c>
      <c r="AB121" s="6">
        <f t="shared" si="3"/>
        <v>2.3881801713828801</v>
      </c>
    </row>
    <row r="122" spans="1:28">
      <c r="A122" s="1">
        <v>13</v>
      </c>
      <c r="B122" s="1">
        <v>1</v>
      </c>
      <c r="C122" s="1">
        <v>1</v>
      </c>
      <c r="D122" s="1">
        <v>1</v>
      </c>
      <c r="E122" s="1">
        <v>1</v>
      </c>
      <c r="F122" s="1">
        <v>25</v>
      </c>
      <c r="G122" s="1">
        <v>18</v>
      </c>
      <c r="H122" s="1">
        <v>3</v>
      </c>
      <c r="I122" s="1">
        <v>1</v>
      </c>
      <c r="J122" s="1">
        <v>6</v>
      </c>
      <c r="K122" s="1">
        <v>7</v>
      </c>
      <c r="L122" s="1">
        <v>2</v>
      </c>
      <c r="M122" s="1">
        <v>23</v>
      </c>
      <c r="N122" s="5">
        <v>42.8</v>
      </c>
      <c r="O122" s="6">
        <v>1831.84</v>
      </c>
      <c r="P122" s="5">
        <v>548.78630399999975</v>
      </c>
      <c r="Q122">
        <v>751.77749061715963</v>
      </c>
      <c r="R122" s="6">
        <v>5.7535800000000004</v>
      </c>
      <c r="S122" s="6">
        <v>30.529200000000003</v>
      </c>
      <c r="T122" s="6">
        <v>1281.7972</v>
      </c>
      <c r="U122">
        <v>155.55555555555691</v>
      </c>
      <c r="V122" s="6">
        <f t="shared" si="4"/>
        <v>1.631443769013172</v>
      </c>
      <c r="W122" s="6">
        <f t="shared" si="5"/>
        <v>2.7394032641938728</v>
      </c>
      <c r="X122" s="6">
        <v>2.8760893181227964</v>
      </c>
      <c r="Y122" s="6">
        <f t="shared" si="6"/>
        <v>0.75993815607015847</v>
      </c>
      <c r="Z122" s="6">
        <f t="shared" si="6"/>
        <v>1.4847154240124627</v>
      </c>
      <c r="AA122" s="6">
        <f t="shared" si="6"/>
        <v>3.107819318561921</v>
      </c>
      <c r="AB122" s="6">
        <f t="shared" si="3"/>
        <v>2.191885526238917</v>
      </c>
    </row>
    <row r="123" spans="1:28">
      <c r="A123" s="1">
        <v>14</v>
      </c>
      <c r="B123" s="1">
        <v>1</v>
      </c>
      <c r="C123" s="1">
        <v>1</v>
      </c>
      <c r="D123" s="1">
        <v>1</v>
      </c>
      <c r="E123" s="1">
        <v>1</v>
      </c>
      <c r="F123" s="1">
        <v>14</v>
      </c>
      <c r="G123" s="1">
        <v>6</v>
      </c>
      <c r="H123" s="1">
        <v>3</v>
      </c>
      <c r="I123" s="1">
        <v>1</v>
      </c>
      <c r="J123" s="1">
        <v>5</v>
      </c>
      <c r="K123" s="1">
        <v>5</v>
      </c>
      <c r="L123" s="1">
        <v>2</v>
      </c>
      <c r="M123" s="1">
        <v>23</v>
      </c>
      <c r="N123" s="5">
        <v>56.8</v>
      </c>
      <c r="O123" s="6">
        <v>3226.24</v>
      </c>
      <c r="P123" s="5">
        <v>548.78630399999975</v>
      </c>
      <c r="Q123">
        <v>751.77749061715963</v>
      </c>
      <c r="R123" s="6">
        <v>10.019840000000002</v>
      </c>
      <c r="S123" s="6">
        <v>99.024199999999993</v>
      </c>
      <c r="T123" s="6">
        <v>2310.5856444444453</v>
      </c>
      <c r="U123">
        <v>555.55555555555611</v>
      </c>
      <c r="V123" s="6">
        <f t="shared" si="4"/>
        <v>1.7543483357110188</v>
      </c>
      <c r="W123" s="6">
        <f t="shared" si="5"/>
        <v>2.7394032641938728</v>
      </c>
      <c r="X123" s="6">
        <v>2.8760893181227964</v>
      </c>
      <c r="Y123" s="6">
        <f t="shared" si="6"/>
        <v>1.0008607866338319</v>
      </c>
      <c r="Z123" s="6">
        <f t="shared" si="6"/>
        <v>1.9957413424978003</v>
      </c>
      <c r="AA123" s="6">
        <f t="shared" si="6"/>
        <v>3.36372207076439</v>
      </c>
      <c r="AB123" s="6">
        <f t="shared" si="3"/>
        <v>2.7447274948966944</v>
      </c>
    </row>
    <row r="124" spans="1:28">
      <c r="A124" s="1">
        <v>15</v>
      </c>
      <c r="B124" s="1">
        <v>1</v>
      </c>
      <c r="C124" s="1">
        <v>1</v>
      </c>
      <c r="D124" s="1">
        <v>1</v>
      </c>
      <c r="E124" s="1">
        <v>0</v>
      </c>
      <c r="F124" s="1">
        <v>18</v>
      </c>
      <c r="G124" s="1">
        <v>6</v>
      </c>
      <c r="H124" s="1">
        <v>3</v>
      </c>
      <c r="I124" s="1">
        <v>1</v>
      </c>
      <c r="J124" s="1">
        <v>5</v>
      </c>
      <c r="K124" s="1">
        <v>6</v>
      </c>
      <c r="L124" s="1">
        <v>2</v>
      </c>
      <c r="M124" s="1">
        <v>23</v>
      </c>
      <c r="N124" s="5">
        <v>130.80000000000001</v>
      </c>
      <c r="O124" s="6">
        <v>17108.64</v>
      </c>
      <c r="P124" s="5">
        <v>548.78630399999975</v>
      </c>
      <c r="Q124">
        <v>751.77749061715963</v>
      </c>
      <c r="R124" s="6">
        <v>131.90180000000001</v>
      </c>
      <c r="S124" s="6">
        <v>70.060600000000008</v>
      </c>
      <c r="T124" s="6">
        <v>7877.5004888888889</v>
      </c>
      <c r="U124">
        <v>1333.333333333333</v>
      </c>
      <c r="V124" s="6">
        <f t="shared" si="4"/>
        <v>2.1166077439882485</v>
      </c>
      <c r="W124" s="6">
        <f t="shared" si="5"/>
        <v>2.7394032641938728</v>
      </c>
      <c r="X124" s="6">
        <v>2.8760893181227964</v>
      </c>
      <c r="Y124" s="6">
        <f t="shared" si="6"/>
        <v>2.1202507221933211</v>
      </c>
      <c r="Z124" s="6">
        <f t="shared" si="6"/>
        <v>1.8454738523018757</v>
      </c>
      <c r="AA124" s="6">
        <f t="shared" si="6"/>
        <v>3.8963884387989718</v>
      </c>
      <c r="AB124" s="6">
        <f t="shared" si="3"/>
        <v>3.1249387366082999</v>
      </c>
    </row>
    <row r="125" spans="1:28">
      <c r="A125" s="1">
        <v>16</v>
      </c>
      <c r="B125" s="1">
        <v>1</v>
      </c>
      <c r="C125" s="1">
        <v>1</v>
      </c>
      <c r="D125" s="1">
        <v>1</v>
      </c>
      <c r="E125" s="1">
        <v>1</v>
      </c>
      <c r="F125" s="1">
        <v>21</v>
      </c>
      <c r="G125" s="1">
        <v>18</v>
      </c>
      <c r="H125" s="1">
        <v>3</v>
      </c>
      <c r="I125" s="1">
        <v>1</v>
      </c>
      <c r="J125" s="1">
        <v>6</v>
      </c>
      <c r="K125" s="1">
        <v>7</v>
      </c>
      <c r="L125" s="1">
        <v>2</v>
      </c>
      <c r="M125" s="1">
        <v>23</v>
      </c>
      <c r="N125" s="5">
        <v>60.8</v>
      </c>
      <c r="O125" s="6">
        <v>3696.64</v>
      </c>
      <c r="P125" s="5">
        <v>420.09199999999998</v>
      </c>
      <c r="Q125">
        <v>465.1509008272937</v>
      </c>
      <c r="R125" s="6">
        <v>16.869340000000001</v>
      </c>
      <c r="S125" s="6">
        <v>61.058400000000006</v>
      </c>
      <c r="T125" s="6">
        <v>1234.4324000000011</v>
      </c>
      <c r="U125">
        <v>222.22222222222243</v>
      </c>
      <c r="V125" s="6">
        <f t="shared" si="4"/>
        <v>1.7839035792727349</v>
      </c>
      <c r="W125" s="6">
        <f t="shared" si="5"/>
        <v>2.6233444111525199</v>
      </c>
      <c r="X125" s="6">
        <v>2.6675938663635095</v>
      </c>
      <c r="Y125" s="6">
        <f t="shared" si="6"/>
        <v>1.2270980914827141</v>
      </c>
      <c r="Z125" s="6">
        <f t="shared" si="6"/>
        <v>1.785745419676444</v>
      </c>
      <c r="AA125" s="6">
        <f t="shared" si="6"/>
        <v>3.0914673120801655</v>
      </c>
      <c r="AB125" s="6">
        <f t="shared" si="3"/>
        <v>2.3467874862246569</v>
      </c>
    </row>
    <row r="126" spans="1:28">
      <c r="A126" s="1">
        <v>17</v>
      </c>
      <c r="B126" s="1">
        <v>1</v>
      </c>
      <c r="C126" s="1">
        <v>0</v>
      </c>
      <c r="D126" s="1">
        <v>0</v>
      </c>
      <c r="E126" s="1">
        <v>1</v>
      </c>
      <c r="F126" s="1">
        <v>1</v>
      </c>
      <c r="G126" s="1">
        <v>6</v>
      </c>
      <c r="H126" s="1">
        <v>1</v>
      </c>
      <c r="I126" s="1">
        <v>1</v>
      </c>
      <c r="J126" s="1">
        <v>1</v>
      </c>
      <c r="K126" s="1">
        <v>1</v>
      </c>
      <c r="L126" s="1">
        <v>2</v>
      </c>
      <c r="M126" s="1">
        <v>23</v>
      </c>
      <c r="N126" s="5">
        <v>42.8</v>
      </c>
      <c r="O126" s="6">
        <v>1831.84</v>
      </c>
      <c r="P126" s="5">
        <v>467.93</v>
      </c>
      <c r="Q126">
        <v>571.36793872492774</v>
      </c>
      <c r="R126" s="6">
        <v>8.1019799999999993</v>
      </c>
      <c r="S126" s="6">
        <v>31.312000000000001</v>
      </c>
      <c r="T126" s="6">
        <v>1351.7237333333326</v>
      </c>
      <c r="U126">
        <v>333.33333333333366</v>
      </c>
      <c r="V126" s="6">
        <f t="shared" si="4"/>
        <v>1.631443769013172</v>
      </c>
      <c r="W126" s="6">
        <f t="shared" si="5"/>
        <v>2.6701808896392731</v>
      </c>
      <c r="X126" s="6">
        <v>2.7569158670836504</v>
      </c>
      <c r="Y126" s="6">
        <f t="shared" si="6"/>
        <v>0.90859116677890006</v>
      </c>
      <c r="Z126" s="6">
        <f t="shared" si="6"/>
        <v>1.4957108083139259</v>
      </c>
      <c r="AA126" s="6">
        <f t="shared" si="6"/>
        <v>3.1308879391285753</v>
      </c>
      <c r="AB126" s="6">
        <f t="shared" si="3"/>
        <v>2.5228787452803378</v>
      </c>
    </row>
    <row r="127" spans="1:28">
      <c r="A127" s="1">
        <v>18</v>
      </c>
      <c r="B127" s="1">
        <v>1</v>
      </c>
      <c r="C127" s="1">
        <v>1</v>
      </c>
      <c r="D127" s="1">
        <v>1</v>
      </c>
      <c r="E127" s="1">
        <v>0</v>
      </c>
      <c r="F127" s="1">
        <v>22</v>
      </c>
      <c r="G127" s="1">
        <v>18</v>
      </c>
      <c r="H127" s="1">
        <v>3</v>
      </c>
      <c r="I127" s="1">
        <v>1</v>
      </c>
      <c r="J127" s="1">
        <v>6</v>
      </c>
      <c r="K127" s="1">
        <v>7</v>
      </c>
      <c r="L127" s="1">
        <v>2</v>
      </c>
      <c r="M127" s="1">
        <v>23</v>
      </c>
      <c r="N127" s="5">
        <v>36.799999999999997</v>
      </c>
      <c r="O127" s="6">
        <v>1354.24</v>
      </c>
      <c r="P127" s="5">
        <v>348.33499999999998</v>
      </c>
      <c r="Q127">
        <v>326.75465307152854</v>
      </c>
      <c r="R127" s="6">
        <v>28.337360000000004</v>
      </c>
      <c r="S127" s="6">
        <v>845.42400000000009</v>
      </c>
      <c r="T127" s="6">
        <v>5158.3862222222206</v>
      </c>
      <c r="U127">
        <v>422.22222222222194</v>
      </c>
      <c r="V127" s="6">
        <f t="shared" si="4"/>
        <v>1.5658478186735176</v>
      </c>
      <c r="W127" s="6">
        <f t="shared" si="5"/>
        <v>2.5419971136864672</v>
      </c>
      <c r="X127" s="6">
        <v>2.5142217807633709</v>
      </c>
      <c r="Y127" s="6">
        <f t="shared" si="6"/>
        <v>1.4523593875191294</v>
      </c>
      <c r="Z127" s="6">
        <f t="shared" si="6"/>
        <v>2.9270745724729132</v>
      </c>
      <c r="AA127" s="6">
        <f t="shared" si="6"/>
        <v>3.7125138558128508</v>
      </c>
      <c r="AB127" s="6">
        <f t="shared" si="3"/>
        <v>2.6255410871774849</v>
      </c>
    </row>
    <row r="128" spans="1:28">
      <c r="A128" s="1">
        <v>19</v>
      </c>
      <c r="B128" s="1">
        <v>1</v>
      </c>
      <c r="C128" s="1">
        <v>1</v>
      </c>
      <c r="D128" s="1">
        <v>1</v>
      </c>
      <c r="E128" s="1">
        <v>1</v>
      </c>
      <c r="F128" s="1">
        <v>26</v>
      </c>
      <c r="G128" s="1">
        <v>18</v>
      </c>
      <c r="H128" s="1">
        <v>3</v>
      </c>
      <c r="I128" s="1">
        <v>1</v>
      </c>
      <c r="J128" s="1">
        <v>6</v>
      </c>
      <c r="K128" s="1">
        <v>7</v>
      </c>
      <c r="L128" s="1">
        <v>2</v>
      </c>
      <c r="M128" s="1">
        <v>23</v>
      </c>
      <c r="N128" s="5">
        <v>36.799999999999997</v>
      </c>
      <c r="O128" s="6">
        <v>1354.24</v>
      </c>
      <c r="P128" s="5">
        <v>348.33499999999998</v>
      </c>
      <c r="Q128">
        <v>326.75465307152854</v>
      </c>
      <c r="R128" s="6">
        <v>5.3230400000000007</v>
      </c>
      <c r="S128" s="6">
        <v>57.144399999999997</v>
      </c>
      <c r="T128" s="6">
        <v>681.31822222222263</v>
      </c>
      <c r="U128">
        <v>444.44444444444485</v>
      </c>
      <c r="V128" s="6">
        <f t="shared" si="4"/>
        <v>1.5658478186735176</v>
      </c>
      <c r="W128" s="6">
        <f t="shared" si="5"/>
        <v>2.5419971136864672</v>
      </c>
      <c r="X128" s="6">
        <v>2.5142217807633709</v>
      </c>
      <c r="Y128" s="6">
        <f t="shared" si="6"/>
        <v>0.72615972969219988</v>
      </c>
      <c r="Z128" s="6">
        <f t="shared" si="6"/>
        <v>1.7569736771064195</v>
      </c>
      <c r="AA128" s="6">
        <f t="shared" si="6"/>
        <v>2.8333500045341853</v>
      </c>
      <c r="AB128" s="6">
        <f t="shared" si="3"/>
        <v>2.6478174818886377</v>
      </c>
    </row>
    <row r="129" spans="1:28">
      <c r="A129" s="1">
        <v>20</v>
      </c>
      <c r="B129" s="1">
        <v>1</v>
      </c>
      <c r="C129" s="1">
        <v>1</v>
      </c>
      <c r="D129" s="1">
        <v>1</v>
      </c>
      <c r="E129" s="1">
        <v>0</v>
      </c>
      <c r="F129" s="1">
        <v>17</v>
      </c>
      <c r="G129" s="1">
        <v>6</v>
      </c>
      <c r="H129" s="1">
        <v>3</v>
      </c>
      <c r="I129" s="1">
        <v>1</v>
      </c>
      <c r="J129" s="1">
        <v>5</v>
      </c>
      <c r="K129" s="1">
        <v>6</v>
      </c>
      <c r="L129" s="1">
        <v>2</v>
      </c>
      <c r="M129" s="1">
        <v>23</v>
      </c>
      <c r="N129" s="5">
        <v>66.8</v>
      </c>
      <c r="O129" s="6">
        <v>4462.24</v>
      </c>
      <c r="P129" s="5">
        <v>372.25400000000002</v>
      </c>
      <c r="Q129">
        <v>370.10738405250993</v>
      </c>
      <c r="R129" s="6">
        <v>64.385300000000001</v>
      </c>
      <c r="S129" s="6">
        <v>19.57</v>
      </c>
      <c r="T129" s="6">
        <v>9279.8737777777769</v>
      </c>
      <c r="U129">
        <v>1355.5555555555543</v>
      </c>
      <c r="V129" s="6">
        <f t="shared" si="4"/>
        <v>1.8247764624755456</v>
      </c>
      <c r="W129" s="6">
        <f t="shared" si="5"/>
        <v>2.5708393730960588</v>
      </c>
      <c r="X129" s="6">
        <v>2.5683277498377999</v>
      </c>
      <c r="Y129" s="6">
        <f t="shared" si="6"/>
        <v>1.8087867236079755</v>
      </c>
      <c r="Z129" s="6">
        <f t="shared" si="6"/>
        <v>1.2915908256580011</v>
      </c>
      <c r="AA129" s="6">
        <f t="shared" si="6"/>
        <v>3.9675420691081498</v>
      </c>
      <c r="AB129" s="6">
        <f t="shared" si="3"/>
        <v>3.1321173212354227</v>
      </c>
    </row>
    <row r="130" spans="1:28">
      <c r="A130" s="1">
        <v>21</v>
      </c>
      <c r="B130" s="1">
        <v>1</v>
      </c>
      <c r="C130" s="1">
        <v>1</v>
      </c>
      <c r="D130" s="1">
        <v>1</v>
      </c>
      <c r="E130" s="1">
        <v>0</v>
      </c>
      <c r="F130" s="1">
        <v>19</v>
      </c>
      <c r="G130" s="1">
        <v>6</v>
      </c>
      <c r="H130" s="1">
        <v>3</v>
      </c>
      <c r="I130" s="1">
        <v>1</v>
      </c>
      <c r="J130" s="1">
        <v>5</v>
      </c>
      <c r="K130" s="1">
        <v>6</v>
      </c>
      <c r="L130" s="1">
        <v>2</v>
      </c>
      <c r="M130" s="1">
        <v>23</v>
      </c>
      <c r="N130" s="5">
        <v>36.799999999999997</v>
      </c>
      <c r="O130" s="6">
        <v>1354.24</v>
      </c>
      <c r="P130" s="5">
        <v>491.84899999999993</v>
      </c>
      <c r="Q130">
        <v>628.68605239885198</v>
      </c>
      <c r="R130" s="6">
        <v>86.108000000000004</v>
      </c>
      <c r="S130" s="6">
        <v>418.40659999999997</v>
      </c>
      <c r="T130" s="6">
        <v>14283.426666666668</v>
      </c>
      <c r="U130">
        <v>1844.4444444444448</v>
      </c>
      <c r="V130" s="6">
        <f t="shared" si="4"/>
        <v>1.5658478186735176</v>
      </c>
      <c r="W130" s="6">
        <f t="shared" si="5"/>
        <v>2.6918317927425854</v>
      </c>
      <c r="X130" s="6">
        <v>2.79843382549508</v>
      </c>
      <c r="Y130" s="6">
        <f t="shared" si="6"/>
        <v>1.9350435021441885</v>
      </c>
      <c r="Z130" s="6">
        <f t="shared" si="6"/>
        <v>2.6215985265307604</v>
      </c>
      <c r="AA130" s="6">
        <f t="shared" si="6"/>
        <v>4.1548324093938751</v>
      </c>
      <c r="AB130" s="6">
        <f t="shared" si="6"/>
        <v>3.2658655786007302</v>
      </c>
    </row>
    <row r="131" spans="1:28">
      <c r="A131" s="1">
        <v>22</v>
      </c>
      <c r="B131" s="1">
        <v>1</v>
      </c>
      <c r="C131" s="1">
        <v>0</v>
      </c>
      <c r="D131" s="1">
        <v>0</v>
      </c>
      <c r="E131" s="1">
        <v>0</v>
      </c>
      <c r="F131" s="1">
        <v>3</v>
      </c>
      <c r="G131" s="1">
        <v>6</v>
      </c>
      <c r="H131" s="1">
        <v>1</v>
      </c>
      <c r="I131" s="1">
        <v>1</v>
      </c>
      <c r="J131" s="1">
        <v>1</v>
      </c>
      <c r="K131" s="1">
        <v>1</v>
      </c>
      <c r="L131" s="1">
        <v>2</v>
      </c>
      <c r="M131" s="1">
        <v>23</v>
      </c>
      <c r="N131" s="5">
        <v>156.80000000000001</v>
      </c>
      <c r="O131" s="6">
        <v>24586.240000000002</v>
      </c>
      <c r="P131" s="5">
        <v>467.93</v>
      </c>
      <c r="Q131">
        <v>571.36793872492774</v>
      </c>
      <c r="R131" s="6">
        <v>130.1405</v>
      </c>
      <c r="S131" s="6">
        <v>66.146599999999992</v>
      </c>
      <c r="T131" s="6">
        <v>13981.019333333334</v>
      </c>
      <c r="U131">
        <v>1866.6666666666679</v>
      </c>
      <c r="V131" s="6">
        <f t="shared" ref="V131:V194" si="7">LOG(N131)</f>
        <v>2.1953460583484197</v>
      </c>
      <c r="W131" s="6">
        <f t="shared" ref="W131:W194" si="8">LOG(P131)</f>
        <v>2.6701808896392731</v>
      </c>
      <c r="X131" s="6">
        <v>2.7569158670836504</v>
      </c>
      <c r="Y131" s="6">
        <f t="shared" ref="Y131:AB194" si="9">LOG(R131)</f>
        <v>2.1144124709611058</v>
      </c>
      <c r="Z131" s="6">
        <f t="shared" si="9"/>
        <v>1.8205075259356558</v>
      </c>
      <c r="AA131" s="6">
        <f t="shared" si="9"/>
        <v>4.1455388362668559</v>
      </c>
      <c r="AB131" s="6">
        <f t="shared" si="9"/>
        <v>3.2710667722865381</v>
      </c>
    </row>
    <row r="132" spans="1:28">
      <c r="A132" s="1">
        <v>23</v>
      </c>
      <c r="B132" s="1">
        <v>1</v>
      </c>
      <c r="C132" s="1">
        <v>1</v>
      </c>
      <c r="D132" s="1">
        <v>1</v>
      </c>
      <c r="E132" s="1">
        <v>1</v>
      </c>
      <c r="F132" s="1">
        <v>24</v>
      </c>
      <c r="G132" s="1">
        <v>18</v>
      </c>
      <c r="H132" s="1">
        <v>3</v>
      </c>
      <c r="I132" s="1">
        <v>1</v>
      </c>
      <c r="J132" s="1">
        <v>6</v>
      </c>
      <c r="K132" s="1">
        <v>7</v>
      </c>
      <c r="L132" s="1">
        <v>2</v>
      </c>
      <c r="M132" s="1">
        <v>23</v>
      </c>
      <c r="N132" s="5">
        <v>72.8</v>
      </c>
      <c r="O132" s="6">
        <v>5299.84</v>
      </c>
      <c r="P132" s="5">
        <v>348.33499999999998</v>
      </c>
      <c r="Q132">
        <v>326.75465307152854</v>
      </c>
      <c r="R132" s="6">
        <v>23.327440000000003</v>
      </c>
      <c r="S132" s="6">
        <v>39.14</v>
      </c>
      <c r="T132" s="6">
        <v>3088.4347999999991</v>
      </c>
      <c r="U132">
        <v>1111.1111111111104</v>
      </c>
      <c r="V132" s="6">
        <f t="shared" si="7"/>
        <v>1.8621313793130372</v>
      </c>
      <c r="W132" s="6">
        <f t="shared" si="8"/>
        <v>2.5419971136864672</v>
      </c>
      <c r="X132" s="6">
        <v>2.5142217807633709</v>
      </c>
      <c r="Y132" s="6">
        <f t="shared" si="9"/>
        <v>1.3678670810622189</v>
      </c>
      <c r="Z132" s="6">
        <f t="shared" si="9"/>
        <v>1.5926208213219823</v>
      </c>
      <c r="AA132" s="6">
        <f t="shared" si="9"/>
        <v>3.4897384373722367</v>
      </c>
      <c r="AB132" s="6">
        <f t="shared" si="9"/>
        <v>3.0457574905606748</v>
      </c>
    </row>
    <row r="133" spans="1:28">
      <c r="A133" s="1">
        <v>24</v>
      </c>
      <c r="B133" s="1">
        <v>1</v>
      </c>
      <c r="C133" s="1">
        <v>1</v>
      </c>
      <c r="D133" s="1">
        <v>1</v>
      </c>
      <c r="E133" s="1">
        <v>0</v>
      </c>
      <c r="F133" s="1">
        <v>16</v>
      </c>
      <c r="G133" s="1">
        <v>6</v>
      </c>
      <c r="H133" s="1">
        <v>3</v>
      </c>
      <c r="I133" s="1">
        <v>1</v>
      </c>
      <c r="J133" s="1">
        <v>5</v>
      </c>
      <c r="K133" s="1">
        <v>6</v>
      </c>
      <c r="L133" s="1">
        <v>2</v>
      </c>
      <c r="M133" s="1">
        <v>23</v>
      </c>
      <c r="N133" s="5">
        <v>44.8</v>
      </c>
      <c r="O133" s="6">
        <v>2007.04</v>
      </c>
      <c r="P133" s="5">
        <v>372.25400000000002</v>
      </c>
      <c r="Q133">
        <v>370.10738405250993</v>
      </c>
      <c r="R133" s="6">
        <v>27.202300000000005</v>
      </c>
      <c r="S133" s="6">
        <v>126.03080000000001</v>
      </c>
      <c r="T133" s="6">
        <v>5158.4543111111116</v>
      </c>
      <c r="U133">
        <v>1155.5555555555563</v>
      </c>
      <c r="V133" s="6">
        <f t="shared" si="7"/>
        <v>1.651278013998144</v>
      </c>
      <c r="W133" s="6">
        <f t="shared" si="8"/>
        <v>2.5708393730960588</v>
      </c>
      <c r="X133" s="6">
        <v>2.5683277498377999</v>
      </c>
      <c r="Y133" s="6">
        <f t="shared" si="9"/>
        <v>1.4346056259120963</v>
      </c>
      <c r="Z133" s="6">
        <f t="shared" si="9"/>
        <v>2.1004766930178134</v>
      </c>
      <c r="AA133" s="6">
        <f t="shared" si="9"/>
        <v>3.712519588309855</v>
      </c>
      <c r="AB133" s="6">
        <f t="shared" si="9"/>
        <v>3.0627908298594559</v>
      </c>
    </row>
    <row r="134" spans="1:28">
      <c r="A134" s="1">
        <v>25</v>
      </c>
      <c r="B134" s="1">
        <v>0</v>
      </c>
      <c r="C134" s="1">
        <v>1</v>
      </c>
      <c r="D134" s="1">
        <v>1</v>
      </c>
      <c r="E134" s="1">
        <v>0</v>
      </c>
      <c r="F134" s="1">
        <v>10</v>
      </c>
      <c r="G134" s="1">
        <v>6</v>
      </c>
      <c r="H134" s="1">
        <v>2</v>
      </c>
      <c r="I134" s="1">
        <v>1</v>
      </c>
      <c r="J134" s="1">
        <v>4</v>
      </c>
      <c r="K134" s="1">
        <v>4</v>
      </c>
      <c r="L134" s="1">
        <v>2</v>
      </c>
      <c r="M134" s="1">
        <v>23</v>
      </c>
      <c r="N134" s="5">
        <v>264.8</v>
      </c>
      <c r="O134" s="6">
        <v>70119.039999999994</v>
      </c>
      <c r="P134" s="5">
        <v>2404.659474000001</v>
      </c>
      <c r="Q134">
        <v>2259.571258726477</v>
      </c>
      <c r="R134" s="6">
        <v>203.13660000000002</v>
      </c>
      <c r="S134" s="6">
        <v>38.748600000000003</v>
      </c>
      <c r="T134" s="6">
        <v>20331.448888888888</v>
      </c>
      <c r="U134">
        <v>5644.4444444444443</v>
      </c>
      <c r="V134" s="6">
        <f t="shared" si="7"/>
        <v>2.4229179807676622</v>
      </c>
      <c r="W134" s="6">
        <f t="shared" si="8"/>
        <v>3.3810535842301972</v>
      </c>
      <c r="X134" s="6">
        <v>3.3540260419645027</v>
      </c>
      <c r="Y134" s="6">
        <f t="shared" si="9"/>
        <v>2.3077881791704402</v>
      </c>
      <c r="Z134" s="6">
        <f t="shared" si="9"/>
        <v>1.5882560159195322</v>
      </c>
      <c r="AA134" s="6">
        <f t="shared" si="9"/>
        <v>4.3081683290575041</v>
      </c>
      <c r="AB134" s="6">
        <f t="shared" si="9"/>
        <v>3.7516212028445945</v>
      </c>
    </row>
    <row r="135" spans="1:28">
      <c r="A135" s="1">
        <v>26</v>
      </c>
      <c r="B135" s="1">
        <v>0</v>
      </c>
      <c r="C135" s="1">
        <v>1</v>
      </c>
      <c r="D135" s="1">
        <v>0</v>
      </c>
      <c r="E135" s="1">
        <v>0</v>
      </c>
      <c r="F135" s="1">
        <v>6</v>
      </c>
      <c r="G135" s="1">
        <v>6</v>
      </c>
      <c r="H135" s="1">
        <v>1</v>
      </c>
      <c r="I135" s="1">
        <v>1</v>
      </c>
      <c r="J135" s="1">
        <v>2</v>
      </c>
      <c r="K135" s="1">
        <v>2</v>
      </c>
      <c r="L135" s="1">
        <v>2</v>
      </c>
      <c r="M135" s="1">
        <v>23</v>
      </c>
      <c r="N135" s="5">
        <v>28.8</v>
      </c>
      <c r="O135" s="6">
        <v>829.44</v>
      </c>
      <c r="P135" s="5">
        <v>372.25400000000002</v>
      </c>
      <c r="Q135">
        <v>370.10738405250993</v>
      </c>
      <c r="R135" s="6">
        <v>109.7877</v>
      </c>
      <c r="S135" s="6">
        <v>6.6538000000000004</v>
      </c>
      <c r="T135" s="6">
        <v>1577.9313333333321</v>
      </c>
      <c r="U135">
        <v>533.33333333333326</v>
      </c>
      <c r="V135" s="6">
        <f t="shared" si="7"/>
        <v>1.4593924877592308</v>
      </c>
      <c r="W135" s="6">
        <f t="shared" si="8"/>
        <v>2.5708393730960588</v>
      </c>
      <c r="X135" s="6">
        <v>2.5683277498377999</v>
      </c>
      <c r="Y135" s="6">
        <f t="shared" si="9"/>
        <v>2.0405536869141625</v>
      </c>
      <c r="Z135" s="6">
        <f t="shared" si="9"/>
        <v>0.82306974270025635</v>
      </c>
      <c r="AA135" s="6">
        <f t="shared" si="9"/>
        <v>3.1980881001387464</v>
      </c>
      <c r="AB135" s="6">
        <f t="shared" si="9"/>
        <v>2.7269987279362624</v>
      </c>
    </row>
    <row r="136" spans="1:28">
      <c r="A136" s="1">
        <v>27</v>
      </c>
      <c r="B136" s="1">
        <v>1</v>
      </c>
      <c r="C136" s="1">
        <v>1</v>
      </c>
      <c r="D136" s="1">
        <v>0</v>
      </c>
      <c r="E136" s="1">
        <v>0</v>
      </c>
      <c r="F136" s="1">
        <v>9</v>
      </c>
      <c r="G136" s="1">
        <v>6</v>
      </c>
      <c r="H136" s="1">
        <v>2</v>
      </c>
      <c r="I136" s="1">
        <v>1</v>
      </c>
      <c r="J136" s="1">
        <v>3</v>
      </c>
      <c r="K136" s="1">
        <v>3</v>
      </c>
      <c r="L136" s="1">
        <v>2</v>
      </c>
      <c r="M136" s="1">
        <v>23</v>
      </c>
      <c r="N136" s="5">
        <v>292.8</v>
      </c>
      <c r="O136" s="6">
        <v>85731.839999999997</v>
      </c>
      <c r="P136" s="5">
        <v>2224.0064000000002</v>
      </c>
      <c r="Q136">
        <v>2147.7735939148547</v>
      </c>
      <c r="R136" s="6">
        <v>180.04400000000001</v>
      </c>
      <c r="S136" s="6">
        <v>330.34159999999997</v>
      </c>
      <c r="T136">
        <v>56152.795333333335</v>
      </c>
      <c r="U136">
        <v>11866.666666666666</v>
      </c>
      <c r="V136" s="6">
        <f t="shared" si="7"/>
        <v>2.4665710723863543</v>
      </c>
      <c r="W136" s="6">
        <f t="shared" si="8"/>
        <v>3.3471360326765147</v>
      </c>
      <c r="X136" s="6">
        <v>3.3319884985844093</v>
      </c>
      <c r="Y136" s="6">
        <f t="shared" si="9"/>
        <v>2.2553786530035564</v>
      </c>
      <c r="Z136" s="6">
        <f t="shared" si="9"/>
        <v>2.5189632679476373</v>
      </c>
      <c r="AA136" s="6">
        <f t="shared" si="9"/>
        <v>4.7493713806798334</v>
      </c>
      <c r="AB136" s="6">
        <f t="shared" si="9"/>
        <v>4.0743287432532131</v>
      </c>
    </row>
    <row r="137" spans="1:28">
      <c r="A137" s="1">
        <v>28</v>
      </c>
      <c r="B137" s="1">
        <v>1</v>
      </c>
      <c r="C137" s="1">
        <v>1</v>
      </c>
      <c r="D137" s="1">
        <v>0</v>
      </c>
      <c r="E137" s="1">
        <v>0</v>
      </c>
      <c r="F137" s="1">
        <v>7</v>
      </c>
      <c r="G137" s="1">
        <v>6</v>
      </c>
      <c r="H137" s="1">
        <v>2</v>
      </c>
      <c r="I137" s="1">
        <v>1</v>
      </c>
      <c r="J137" s="1">
        <v>3</v>
      </c>
      <c r="K137" s="1">
        <v>3</v>
      </c>
      <c r="L137" s="1">
        <v>2</v>
      </c>
      <c r="M137" s="1">
        <v>23</v>
      </c>
      <c r="N137" s="5">
        <v>22.8</v>
      </c>
      <c r="O137" s="6">
        <v>519.84</v>
      </c>
      <c r="P137" s="5">
        <v>300.49699999999996</v>
      </c>
      <c r="Q137">
        <v>248.34094519242922</v>
      </c>
      <c r="R137" s="6">
        <v>22.936040000000006</v>
      </c>
      <c r="S137" s="6">
        <v>30.137800000000002</v>
      </c>
      <c r="T137" s="6">
        <v>256.72600000000034</v>
      </c>
      <c r="U137">
        <v>133.33333333333405</v>
      </c>
      <c r="V137" s="6">
        <f t="shared" si="7"/>
        <v>1.3579348470004537</v>
      </c>
      <c r="W137" s="6">
        <f t="shared" si="8"/>
        <v>2.4778401405984942</v>
      </c>
      <c r="X137" s="6">
        <v>2.3950483297242249</v>
      </c>
      <c r="Y137" s="6">
        <f t="shared" si="9"/>
        <v>1.3605184373400732</v>
      </c>
      <c r="Z137" s="6">
        <f t="shared" si="9"/>
        <v>1.4791115464944642</v>
      </c>
      <c r="AA137" s="6">
        <f t="shared" si="9"/>
        <v>2.4094698541982349</v>
      </c>
      <c r="AB137" s="6">
        <f t="shared" si="9"/>
        <v>2.1249387366083021</v>
      </c>
    </row>
    <row r="138" spans="1:28">
      <c r="A138" s="1">
        <v>29</v>
      </c>
      <c r="B138" s="1">
        <v>1</v>
      </c>
      <c r="C138" s="1">
        <v>1</v>
      </c>
      <c r="D138" s="1">
        <v>1</v>
      </c>
      <c r="E138" s="1">
        <v>0</v>
      </c>
      <c r="F138" s="1">
        <v>23</v>
      </c>
      <c r="G138" s="1">
        <v>18</v>
      </c>
      <c r="H138" s="1">
        <v>3</v>
      </c>
      <c r="I138" s="1">
        <v>1</v>
      </c>
      <c r="J138" s="1">
        <v>6</v>
      </c>
      <c r="K138" s="1">
        <v>7</v>
      </c>
      <c r="L138" s="1">
        <v>2</v>
      </c>
      <c r="M138" s="1">
        <v>23</v>
      </c>
      <c r="N138" s="5">
        <v>188.8</v>
      </c>
      <c r="O138" s="6">
        <v>35645.440000000002</v>
      </c>
      <c r="P138" s="5">
        <v>491.84899999999993</v>
      </c>
      <c r="Q138">
        <v>628.68605239885198</v>
      </c>
      <c r="R138" s="6">
        <v>81.802599999999998</v>
      </c>
      <c r="S138" s="6">
        <v>86.890800000000013</v>
      </c>
      <c r="T138" s="6">
        <v>11495.40111111111</v>
      </c>
      <c r="U138">
        <v>1222.2222222222233</v>
      </c>
      <c r="V138" s="6">
        <f t="shared" si="7"/>
        <v>2.2760019899620501</v>
      </c>
      <c r="W138" s="6">
        <f t="shared" si="8"/>
        <v>2.6918317927425854</v>
      </c>
      <c r="X138" s="6">
        <v>2.79843382549508</v>
      </c>
      <c r="Y138" s="6">
        <f t="shared" si="9"/>
        <v>1.9127671074330364</v>
      </c>
      <c r="Z138" s="6">
        <f t="shared" si="9"/>
        <v>1.938973795772621</v>
      </c>
      <c r="AA138" s="6">
        <f t="shared" si="9"/>
        <v>4.0605241297856329</v>
      </c>
      <c r="AB138" s="6">
        <f t="shared" si="9"/>
        <v>3.0871501757189006</v>
      </c>
    </row>
    <row r="139" spans="1:28">
      <c r="A139" s="1">
        <v>30</v>
      </c>
      <c r="B139" s="1">
        <v>0</v>
      </c>
      <c r="C139" s="1">
        <v>1</v>
      </c>
      <c r="D139" s="1">
        <v>0</v>
      </c>
      <c r="E139" s="1">
        <v>0</v>
      </c>
      <c r="F139" s="1">
        <v>4</v>
      </c>
      <c r="G139" s="1">
        <v>6</v>
      </c>
      <c r="H139" s="1">
        <v>1</v>
      </c>
      <c r="I139" s="1">
        <v>1</v>
      </c>
      <c r="J139" s="1">
        <v>2</v>
      </c>
      <c r="K139" s="1">
        <v>2</v>
      </c>
      <c r="L139" s="1">
        <v>2</v>
      </c>
      <c r="M139" s="1">
        <v>23</v>
      </c>
      <c r="N139" s="5">
        <v>320.8</v>
      </c>
      <c r="O139" s="6">
        <v>102912.64</v>
      </c>
      <c r="P139" s="5">
        <v>467.93</v>
      </c>
      <c r="Q139">
        <v>571.36793872492774</v>
      </c>
      <c r="R139" s="6">
        <v>38.552900000000001</v>
      </c>
      <c r="S139" s="6">
        <v>13.307600000000001</v>
      </c>
      <c r="T139">
        <v>6992.4542222222208</v>
      </c>
      <c r="U139">
        <v>1644.4444444444423</v>
      </c>
      <c r="V139" s="6">
        <f t="shared" si="7"/>
        <v>2.5062343596121259</v>
      </c>
      <c r="W139" s="6">
        <f t="shared" si="8"/>
        <v>2.6701808896392731</v>
      </c>
      <c r="X139" s="6">
        <v>2.7569158670836504</v>
      </c>
      <c r="Y139" s="6">
        <f t="shared" si="9"/>
        <v>1.586057051819594</v>
      </c>
      <c r="Z139" s="6">
        <f t="shared" si="9"/>
        <v>1.1240997383642375</v>
      </c>
      <c r="AA139" s="6">
        <f t="shared" si="9"/>
        <v>3.844629631839938</v>
      </c>
      <c r="AB139" s="6">
        <f t="shared" si="9"/>
        <v>3.2160192059556318</v>
      </c>
    </row>
    <row r="140" spans="1:28">
      <c r="A140" s="1">
        <v>31</v>
      </c>
      <c r="B140" s="1">
        <v>1</v>
      </c>
      <c r="C140" s="1">
        <v>0</v>
      </c>
      <c r="D140" s="1">
        <v>0</v>
      </c>
      <c r="E140" s="1">
        <v>1</v>
      </c>
      <c r="F140" s="1">
        <v>3</v>
      </c>
      <c r="G140" s="1">
        <v>6</v>
      </c>
      <c r="H140" s="1">
        <v>1</v>
      </c>
      <c r="I140" s="1">
        <v>1</v>
      </c>
      <c r="J140" s="1">
        <v>1</v>
      </c>
      <c r="K140" s="1">
        <v>1</v>
      </c>
      <c r="L140" s="1">
        <v>2</v>
      </c>
      <c r="M140" s="1">
        <v>23</v>
      </c>
      <c r="N140" s="5">
        <v>216.8</v>
      </c>
      <c r="O140" s="6">
        <v>47002.239999999998</v>
      </c>
      <c r="P140" s="5">
        <v>633.09170399999994</v>
      </c>
      <c r="Q140">
        <v>886.18714623428752</v>
      </c>
      <c r="R140" s="6">
        <v>95.501599999999996</v>
      </c>
      <c r="S140" s="6">
        <v>77.105800000000002</v>
      </c>
      <c r="T140" s="6">
        <v>57187.24933333334</v>
      </c>
      <c r="U140">
        <v>34577.777777777781</v>
      </c>
      <c r="V140" s="6">
        <f t="shared" si="7"/>
        <v>2.3360592778663491</v>
      </c>
      <c r="W140" s="6">
        <f t="shared" si="8"/>
        <v>2.8014666225869775</v>
      </c>
      <c r="X140" s="6">
        <v>2.9475254464854768</v>
      </c>
      <c r="Y140" s="6">
        <f t="shared" si="9"/>
        <v>1.9800106476607118</v>
      </c>
      <c r="Z140" s="6">
        <f t="shared" si="9"/>
        <v>1.8870870474835753</v>
      </c>
      <c r="AA140" s="6">
        <f t="shared" si="9"/>
        <v>4.7572992077884262</v>
      </c>
      <c r="AB140" s="6">
        <f t="shared" si="9"/>
        <v>4.5387970788783267</v>
      </c>
    </row>
    <row r="141" spans="1:28">
      <c r="A141" s="1">
        <v>32</v>
      </c>
      <c r="B141" s="1">
        <v>1</v>
      </c>
      <c r="C141" s="1">
        <v>1</v>
      </c>
      <c r="D141" s="1">
        <v>1</v>
      </c>
      <c r="E141" s="1">
        <v>1</v>
      </c>
      <c r="F141" s="1">
        <v>13</v>
      </c>
      <c r="G141" s="1">
        <v>6</v>
      </c>
      <c r="H141" s="1">
        <v>3</v>
      </c>
      <c r="I141" s="1">
        <v>1</v>
      </c>
      <c r="J141" s="1">
        <v>5</v>
      </c>
      <c r="K141" s="1">
        <v>5</v>
      </c>
      <c r="L141" s="1">
        <v>2</v>
      </c>
      <c r="M141" s="1">
        <v>23</v>
      </c>
      <c r="N141" s="5">
        <v>20.8</v>
      </c>
      <c r="O141" s="6">
        <v>432.64</v>
      </c>
      <c r="P141" s="5">
        <v>372.25400000000002</v>
      </c>
      <c r="Q141">
        <v>370.10738405250993</v>
      </c>
      <c r="R141" s="6">
        <v>12.3291</v>
      </c>
      <c r="S141" s="6">
        <v>37.183</v>
      </c>
      <c r="T141" s="6">
        <v>475.52399999999943</v>
      </c>
      <c r="U141">
        <v>177.77777777777669</v>
      </c>
      <c r="V141" s="6">
        <f t="shared" si="7"/>
        <v>1.3180633349627615</v>
      </c>
      <c r="W141" s="6">
        <f t="shared" si="8"/>
        <v>2.5708393730960588</v>
      </c>
      <c r="X141" s="6">
        <v>2.5683277498377999</v>
      </c>
      <c r="Y141" s="6">
        <f t="shared" si="9"/>
        <v>1.0909313751115828</v>
      </c>
      <c r="Z141" s="6">
        <f t="shared" si="9"/>
        <v>1.5703444266108302</v>
      </c>
      <c r="AA141" s="6">
        <f t="shared" si="9"/>
        <v>2.677172440946475</v>
      </c>
      <c r="AB141" s="6">
        <f t="shared" si="9"/>
        <v>2.2498774732165971</v>
      </c>
    </row>
    <row r="142" spans="1:28">
      <c r="A142" s="1">
        <v>33</v>
      </c>
      <c r="B142" s="1">
        <v>0</v>
      </c>
      <c r="C142" s="1">
        <v>1</v>
      </c>
      <c r="D142" s="1">
        <v>1</v>
      </c>
      <c r="E142" s="1">
        <v>0</v>
      </c>
      <c r="F142" s="1">
        <v>12</v>
      </c>
      <c r="G142" s="1">
        <v>6</v>
      </c>
      <c r="H142" s="1">
        <v>2</v>
      </c>
      <c r="I142" s="1">
        <v>1</v>
      </c>
      <c r="J142" s="1">
        <v>4</v>
      </c>
      <c r="K142" s="1">
        <v>4</v>
      </c>
      <c r="L142" s="1">
        <v>2</v>
      </c>
      <c r="M142" s="1">
        <v>23</v>
      </c>
      <c r="N142" s="5">
        <v>82.8</v>
      </c>
      <c r="O142" s="6">
        <v>6855.84</v>
      </c>
      <c r="P142" s="5">
        <v>444.01099999999997</v>
      </c>
      <c r="Q142">
        <v>516.85873163577901</v>
      </c>
      <c r="R142" s="6">
        <v>76.714400000000012</v>
      </c>
      <c r="S142" s="6">
        <v>155.77719999999999</v>
      </c>
      <c r="T142" s="6">
        <v>9272.174444444443</v>
      </c>
      <c r="U142">
        <v>1955.5555555555543</v>
      </c>
      <c r="V142" s="6">
        <f t="shared" si="7"/>
        <v>1.9180303367848801</v>
      </c>
      <c r="W142" s="6">
        <f t="shared" si="8"/>
        <v>2.6473937295293144</v>
      </c>
      <c r="X142" s="6">
        <v>2.7133718574949275</v>
      </c>
      <c r="Y142" s="6">
        <f t="shared" si="9"/>
        <v>1.8848768926784585</v>
      </c>
      <c r="Z142" s="6">
        <f t="shared" si="9"/>
        <v>2.1925038933956702</v>
      </c>
      <c r="AA142" s="6">
        <f t="shared" si="9"/>
        <v>3.9671815937436055</v>
      </c>
      <c r="AB142" s="6">
        <f t="shared" si="9"/>
        <v>3.2912701583748247</v>
      </c>
    </row>
    <row r="143" spans="1:28">
      <c r="A143" s="1">
        <v>34</v>
      </c>
      <c r="B143" s="1">
        <v>0</v>
      </c>
      <c r="C143" s="1">
        <v>1</v>
      </c>
      <c r="D143" s="1">
        <v>1</v>
      </c>
      <c r="E143" s="1">
        <v>1</v>
      </c>
      <c r="F143" s="1">
        <v>10</v>
      </c>
      <c r="G143" s="1">
        <v>6</v>
      </c>
      <c r="H143" s="1">
        <v>2</v>
      </c>
      <c r="I143" s="1">
        <v>1</v>
      </c>
      <c r="J143" s="1">
        <v>4</v>
      </c>
      <c r="K143" s="1">
        <v>4</v>
      </c>
      <c r="L143" s="1">
        <v>2</v>
      </c>
      <c r="M143" s="1">
        <v>23</v>
      </c>
      <c r="N143" s="5">
        <v>82.8</v>
      </c>
      <c r="O143" s="6">
        <v>6855.84</v>
      </c>
      <c r="P143" s="5">
        <v>396.173</v>
      </c>
      <c r="Q143">
        <v>416.23655111562346</v>
      </c>
      <c r="R143" s="6">
        <v>23.640560000000001</v>
      </c>
      <c r="S143" s="6">
        <v>81.411200000000008</v>
      </c>
      <c r="T143" s="6">
        <v>8751.5377777777776</v>
      </c>
      <c r="U143">
        <v>1755.5555555555566</v>
      </c>
      <c r="V143" s="6">
        <f t="shared" si="7"/>
        <v>1.9180303367848801</v>
      </c>
      <c r="W143" s="6">
        <f t="shared" si="8"/>
        <v>2.5978848741541283</v>
      </c>
      <c r="X143" s="6">
        <v>2.6193402143927398</v>
      </c>
      <c r="Y143" s="6">
        <f t="shared" si="9"/>
        <v>1.3736577599431141</v>
      </c>
      <c r="Z143" s="6">
        <f t="shared" si="9"/>
        <v>1.9106841562847439</v>
      </c>
      <c r="AA143" s="6">
        <f t="shared" si="9"/>
        <v>3.9420843718479479</v>
      </c>
      <c r="AB143" s="6">
        <f t="shared" si="9"/>
        <v>3.2444145775150979</v>
      </c>
    </row>
    <row r="144" spans="1:28">
      <c r="A144" s="1">
        <v>35</v>
      </c>
      <c r="B144" s="1">
        <v>1</v>
      </c>
      <c r="C144" s="1">
        <v>1</v>
      </c>
      <c r="D144" s="1">
        <v>0</v>
      </c>
      <c r="E144" s="1">
        <v>1</v>
      </c>
      <c r="F144" s="1">
        <v>8</v>
      </c>
      <c r="G144" s="1">
        <v>6</v>
      </c>
      <c r="H144" s="1">
        <v>2</v>
      </c>
      <c r="I144" s="1">
        <v>1</v>
      </c>
      <c r="J144" s="1">
        <v>3</v>
      </c>
      <c r="K144" s="1">
        <v>3</v>
      </c>
      <c r="L144" s="1">
        <v>2</v>
      </c>
      <c r="M144" s="1">
        <v>23</v>
      </c>
      <c r="N144" s="5">
        <v>28.8</v>
      </c>
      <c r="O144" s="6">
        <v>829.44</v>
      </c>
      <c r="P144" s="5">
        <v>348.33499999999998</v>
      </c>
      <c r="Q144">
        <v>326.75465307152854</v>
      </c>
      <c r="R144" s="6">
        <v>1.4873200000000002</v>
      </c>
      <c r="S144" s="6">
        <v>8.6107999999999993</v>
      </c>
      <c r="T144" s="6">
        <v>360.94217777777737</v>
      </c>
      <c r="U144">
        <v>66.666666666667027</v>
      </c>
      <c r="V144" s="6">
        <f t="shared" si="7"/>
        <v>1.4593924877592308</v>
      </c>
      <c r="W144" s="6">
        <f t="shared" si="8"/>
        <v>2.5419971136864672</v>
      </c>
      <c r="X144" s="6">
        <v>2.5142217807633709</v>
      </c>
      <c r="Y144" s="6">
        <f t="shared" si="9"/>
        <v>0.17240441793879258</v>
      </c>
      <c r="Z144" s="6">
        <f t="shared" si="9"/>
        <v>0.93504350214418852</v>
      </c>
      <c r="AA144" s="6">
        <f t="shared" si="9"/>
        <v>2.5574376343616931</v>
      </c>
      <c r="AB144" s="6">
        <f t="shared" si="9"/>
        <v>1.8239087409443211</v>
      </c>
    </row>
    <row r="145" spans="1:28">
      <c r="A145" s="1">
        <v>36</v>
      </c>
      <c r="B145" s="1">
        <v>1</v>
      </c>
      <c r="C145" s="1">
        <v>1</v>
      </c>
      <c r="D145" s="1">
        <v>1</v>
      </c>
      <c r="E145" s="1">
        <v>1</v>
      </c>
      <c r="F145" s="1">
        <v>20</v>
      </c>
      <c r="G145" s="1">
        <v>18</v>
      </c>
      <c r="H145" s="1">
        <v>3</v>
      </c>
      <c r="I145" s="1">
        <v>1</v>
      </c>
      <c r="J145" s="1">
        <v>6</v>
      </c>
      <c r="K145" s="1">
        <v>7</v>
      </c>
      <c r="L145" s="1">
        <v>2</v>
      </c>
      <c r="M145" s="1">
        <v>23</v>
      </c>
      <c r="N145" s="5">
        <v>48.8</v>
      </c>
      <c r="O145" s="6">
        <v>2381.44</v>
      </c>
      <c r="P145" s="5">
        <v>396.173</v>
      </c>
      <c r="Q145">
        <v>416.23655111562346</v>
      </c>
      <c r="R145" s="6">
        <v>2.5049600000000005</v>
      </c>
      <c r="S145" s="6">
        <v>97.85</v>
      </c>
      <c r="T145" s="6">
        <v>0.1</v>
      </c>
      <c r="U145">
        <v>155.55555555555537</v>
      </c>
      <c r="V145" s="6">
        <f t="shared" si="7"/>
        <v>1.6884198220027107</v>
      </c>
      <c r="W145" s="6">
        <f t="shared" si="8"/>
        <v>2.5978848741541283</v>
      </c>
      <c r="X145" s="6">
        <v>2.6193402143927398</v>
      </c>
      <c r="Y145" s="6">
        <f t="shared" si="9"/>
        <v>0.39880079530586965</v>
      </c>
      <c r="Z145" s="6">
        <f t="shared" si="9"/>
        <v>1.9905608299940198</v>
      </c>
      <c r="AA145" s="6">
        <f t="shared" si="9"/>
        <v>-1</v>
      </c>
      <c r="AB145" s="6">
        <f t="shared" si="9"/>
        <v>2.1918855262389125</v>
      </c>
    </row>
    <row r="146" spans="1:28">
      <c r="A146" s="1">
        <v>37</v>
      </c>
      <c r="B146" s="1">
        <v>1</v>
      </c>
      <c r="C146" s="1">
        <v>1</v>
      </c>
      <c r="D146" s="1">
        <v>1</v>
      </c>
      <c r="E146" s="1">
        <v>1</v>
      </c>
      <c r="F146" s="1">
        <v>23</v>
      </c>
      <c r="G146" s="1">
        <v>18</v>
      </c>
      <c r="H146" s="1">
        <v>3</v>
      </c>
      <c r="I146" s="1">
        <v>1</v>
      </c>
      <c r="J146" s="1">
        <v>6</v>
      </c>
      <c r="K146" s="1">
        <v>7</v>
      </c>
      <c r="L146" s="1">
        <v>2</v>
      </c>
      <c r="M146" s="1">
        <v>23</v>
      </c>
      <c r="N146" s="5">
        <v>60.8</v>
      </c>
      <c r="O146" s="6">
        <v>3696.64</v>
      </c>
      <c r="P146" s="5">
        <v>372.25400000000002</v>
      </c>
      <c r="Q146">
        <v>370.10738405250993</v>
      </c>
      <c r="R146" s="6">
        <v>6.0667000000000009</v>
      </c>
      <c r="S146" s="6">
        <v>17.221599999999999</v>
      </c>
      <c r="T146" s="6">
        <v>642.65719999999976</v>
      </c>
      <c r="U146">
        <v>133.33333333333405</v>
      </c>
      <c r="V146" s="6">
        <f t="shared" si="7"/>
        <v>1.7839035792727349</v>
      </c>
      <c r="W146" s="6">
        <f t="shared" si="8"/>
        <v>2.5708393730960588</v>
      </c>
      <c r="X146" s="6">
        <v>2.5683277498377999</v>
      </c>
      <c r="Y146" s="6">
        <f t="shared" si="9"/>
        <v>0.78295251949227396</v>
      </c>
      <c r="Z146" s="6">
        <f t="shared" si="9"/>
        <v>1.2360734978081698</v>
      </c>
      <c r="AA146" s="6">
        <f t="shared" si="9"/>
        <v>2.8079793775161699</v>
      </c>
      <c r="AB146" s="6">
        <f t="shared" si="9"/>
        <v>2.1249387366083021</v>
      </c>
    </row>
    <row r="147" spans="1:28">
      <c r="A147" s="1">
        <v>38</v>
      </c>
      <c r="B147" s="1">
        <v>0</v>
      </c>
      <c r="C147" s="1">
        <v>1</v>
      </c>
      <c r="D147" s="1">
        <v>0</v>
      </c>
      <c r="E147" s="1">
        <v>1</v>
      </c>
      <c r="F147" s="1">
        <v>4</v>
      </c>
      <c r="G147" s="1">
        <v>6</v>
      </c>
      <c r="H147" s="1">
        <v>1</v>
      </c>
      <c r="I147" s="1">
        <v>1</v>
      </c>
      <c r="J147" s="1">
        <v>2</v>
      </c>
      <c r="K147" s="1">
        <v>2</v>
      </c>
      <c r="L147" s="1">
        <v>2</v>
      </c>
      <c r="M147" s="1">
        <v>23</v>
      </c>
      <c r="N147" s="5">
        <v>14.8</v>
      </c>
      <c r="O147" s="6">
        <v>219.04</v>
      </c>
      <c r="P147" s="5">
        <v>276.57799999999997</v>
      </c>
      <c r="Q147">
        <v>213.2597056283312</v>
      </c>
      <c r="R147" s="6">
        <v>6.7320800000000007</v>
      </c>
      <c r="S147" s="6">
        <v>8.6107999999999993</v>
      </c>
      <c r="T147" s="6">
        <v>531.41742222222308</v>
      </c>
      <c r="U147">
        <v>133.33333333333405</v>
      </c>
      <c r="V147" s="6">
        <f t="shared" si="7"/>
        <v>1.1702617153949575</v>
      </c>
      <c r="W147" s="6">
        <f t="shared" si="8"/>
        <v>2.441817631815987</v>
      </c>
      <c r="X147" s="6">
        <v>2.3289088053959959</v>
      </c>
      <c r="Y147" s="6">
        <f t="shared" si="9"/>
        <v>0.82814926822953128</v>
      </c>
      <c r="Z147" s="6">
        <f t="shared" si="9"/>
        <v>0.93504350214418852</v>
      </c>
      <c r="AA147" s="6">
        <f t="shared" si="9"/>
        <v>2.7254357884087392</v>
      </c>
      <c r="AB147" s="6">
        <f t="shared" si="9"/>
        <v>2.1249387366083021</v>
      </c>
    </row>
    <row r="148" spans="1:28">
      <c r="A148" s="1">
        <v>39</v>
      </c>
      <c r="B148" s="1">
        <v>1</v>
      </c>
      <c r="C148" s="1">
        <v>1</v>
      </c>
      <c r="D148" s="1">
        <v>1</v>
      </c>
      <c r="E148" s="1">
        <v>1</v>
      </c>
      <c r="F148" s="1">
        <v>22</v>
      </c>
      <c r="G148" s="1">
        <v>18</v>
      </c>
      <c r="H148" s="1">
        <v>3</v>
      </c>
      <c r="I148" s="1">
        <v>1</v>
      </c>
      <c r="J148" s="1">
        <v>6</v>
      </c>
      <c r="K148" s="1">
        <v>7</v>
      </c>
      <c r="L148" s="1">
        <v>2</v>
      </c>
      <c r="M148" s="1">
        <v>23</v>
      </c>
      <c r="N148" s="5">
        <v>72.8</v>
      </c>
      <c r="O148" s="6">
        <v>5299.84</v>
      </c>
      <c r="P148" s="5">
        <v>396.173</v>
      </c>
      <c r="Q148">
        <v>416.23655111562346</v>
      </c>
      <c r="R148" s="6">
        <v>5.0490600000000008</v>
      </c>
      <c r="S148" s="6">
        <v>242.27660000000003</v>
      </c>
      <c r="T148" s="6">
        <v>286.06151111111075</v>
      </c>
      <c r="U148">
        <v>0.1</v>
      </c>
      <c r="V148" s="6">
        <f t="shared" si="7"/>
        <v>1.8621313793130372</v>
      </c>
      <c r="W148" s="6">
        <f t="shared" si="8"/>
        <v>2.5978848741541283</v>
      </c>
      <c r="X148" s="6">
        <v>2.6193402143927398</v>
      </c>
      <c r="Y148" s="6">
        <f t="shared" si="9"/>
        <v>0.70321053162123137</v>
      </c>
      <c r="Z148" s="6">
        <f t="shared" si="9"/>
        <v>2.3843114703421002</v>
      </c>
      <c r="AA148" s="6">
        <f t="shared" si="9"/>
        <v>2.456459428457046</v>
      </c>
      <c r="AB148" s="6">
        <f t="shared" si="9"/>
        <v>-1</v>
      </c>
    </row>
    <row r="149" spans="1:28">
      <c r="A149" s="1">
        <v>40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</v>
      </c>
      <c r="J149" s="1">
        <v>0</v>
      </c>
      <c r="K149" s="1">
        <v>0</v>
      </c>
      <c r="L149" s="1">
        <v>2</v>
      </c>
      <c r="M149" s="1">
        <v>23</v>
      </c>
      <c r="N149" s="5">
        <v>142.80000000000001</v>
      </c>
      <c r="O149" s="6">
        <v>20391.84</v>
      </c>
      <c r="P149" s="5">
        <v>396.173</v>
      </c>
      <c r="Q149">
        <v>416.23655111562346</v>
      </c>
      <c r="R149" s="6">
        <v>102.54680000000002</v>
      </c>
      <c r="S149" s="6">
        <v>504.51460000000003</v>
      </c>
      <c r="T149" s="6">
        <v>15308.40488888889</v>
      </c>
      <c r="U149">
        <v>7600</v>
      </c>
      <c r="V149" s="6">
        <f t="shared" si="7"/>
        <v>2.1547282074401557</v>
      </c>
      <c r="W149" s="6">
        <f t="shared" si="8"/>
        <v>2.5978848741541283</v>
      </c>
      <c r="X149" s="6">
        <v>2.6193402143927398</v>
      </c>
      <c r="Y149" s="6">
        <f t="shared" si="9"/>
        <v>2.0109221126417278</v>
      </c>
      <c r="Z149" s="6">
        <f t="shared" si="9"/>
        <v>2.7028737386753856</v>
      </c>
      <c r="AA149" s="6">
        <f t="shared" si="9"/>
        <v>4.1849299402708322</v>
      </c>
      <c r="AB149" s="6">
        <f t="shared" si="9"/>
        <v>3.8808135922807914</v>
      </c>
    </row>
    <row r="150" spans="1:28">
      <c r="A150" s="1">
        <v>41</v>
      </c>
      <c r="B150" s="1">
        <v>1</v>
      </c>
      <c r="C150" s="1">
        <v>1</v>
      </c>
      <c r="D150" s="1">
        <v>0</v>
      </c>
      <c r="E150" s="1">
        <v>1</v>
      </c>
      <c r="F150" s="1">
        <v>9</v>
      </c>
      <c r="G150" s="1">
        <v>6</v>
      </c>
      <c r="H150" s="1">
        <v>2</v>
      </c>
      <c r="I150" s="1">
        <v>1</v>
      </c>
      <c r="J150" s="1">
        <v>3</v>
      </c>
      <c r="K150" s="1">
        <v>3</v>
      </c>
      <c r="L150" s="1">
        <v>2</v>
      </c>
      <c r="M150" s="1">
        <v>23</v>
      </c>
      <c r="N150" s="5">
        <v>104.8</v>
      </c>
      <c r="O150" s="6">
        <v>10983.04</v>
      </c>
      <c r="P150" s="5">
        <v>467.93</v>
      </c>
      <c r="Q150">
        <v>571.36793872492774</v>
      </c>
      <c r="R150" s="6">
        <v>8.6890800000000024</v>
      </c>
      <c r="S150" s="6">
        <v>20.744200000000003</v>
      </c>
      <c r="T150" s="6">
        <v>1332.2823999999996</v>
      </c>
      <c r="U150">
        <v>533.33333333333326</v>
      </c>
      <c r="V150" s="6">
        <f t="shared" si="7"/>
        <v>2.0203612826477078</v>
      </c>
      <c r="W150" s="6">
        <f t="shared" si="8"/>
        <v>2.6701808896392731</v>
      </c>
      <c r="X150" s="6">
        <v>2.7569158670836504</v>
      </c>
      <c r="Y150" s="6">
        <f t="shared" si="9"/>
        <v>0.93897379577262108</v>
      </c>
      <c r="Z150" s="6">
        <f t="shared" si="9"/>
        <v>1.3168966909227715</v>
      </c>
      <c r="AA150" s="6">
        <f t="shared" si="9"/>
        <v>3.1245962907220037</v>
      </c>
      <c r="AB150" s="6">
        <f t="shared" si="9"/>
        <v>2.7269987279362624</v>
      </c>
    </row>
    <row r="151" spans="1:28">
      <c r="A151" s="1">
        <v>42</v>
      </c>
      <c r="B151" s="1">
        <v>0</v>
      </c>
      <c r="C151" s="1">
        <v>0</v>
      </c>
      <c r="D151" s="1">
        <v>0</v>
      </c>
      <c r="E151" s="1">
        <v>1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2</v>
      </c>
      <c r="M151" s="1">
        <v>23</v>
      </c>
      <c r="N151" s="5">
        <v>94.8</v>
      </c>
      <c r="O151" s="6">
        <v>8987.0400000000009</v>
      </c>
      <c r="P151" s="5">
        <v>420.09199999999998</v>
      </c>
      <c r="Q151">
        <v>465.1509008272937</v>
      </c>
      <c r="R151" s="6">
        <v>11.663720000000001</v>
      </c>
      <c r="S151" s="6">
        <v>63.406800000000004</v>
      </c>
      <c r="T151" s="6">
        <v>2921.930844444445</v>
      </c>
      <c r="U151">
        <v>222.22222222222243</v>
      </c>
      <c r="V151" s="6">
        <f t="shared" si="7"/>
        <v>1.9768083373380663</v>
      </c>
      <c r="W151" s="6">
        <f t="shared" si="8"/>
        <v>2.6233444111525199</v>
      </c>
      <c r="X151" s="6">
        <v>2.6675938663635095</v>
      </c>
      <c r="Y151" s="6">
        <f t="shared" si="9"/>
        <v>1.0668370853982376</v>
      </c>
      <c r="Z151" s="6">
        <f t="shared" si="9"/>
        <v>1.8021358358646133</v>
      </c>
      <c r="AA151" s="6">
        <f t="shared" si="9"/>
        <v>3.4656699329427045</v>
      </c>
      <c r="AB151" s="6">
        <f t="shared" si="9"/>
        <v>2.3467874862246569</v>
      </c>
    </row>
    <row r="152" spans="1:28">
      <c r="A152" s="1">
        <v>43</v>
      </c>
      <c r="B152" s="1">
        <v>1</v>
      </c>
      <c r="C152" s="1">
        <v>1</v>
      </c>
      <c r="D152" s="1">
        <v>0</v>
      </c>
      <c r="E152" s="1">
        <v>1</v>
      </c>
      <c r="F152" s="1">
        <v>7</v>
      </c>
      <c r="G152" s="1">
        <v>6</v>
      </c>
      <c r="H152" s="1">
        <v>2</v>
      </c>
      <c r="I152" s="1">
        <v>1</v>
      </c>
      <c r="J152" s="1">
        <v>3</v>
      </c>
      <c r="K152" s="1">
        <v>3</v>
      </c>
      <c r="L152" s="1">
        <v>2</v>
      </c>
      <c r="M152" s="1">
        <v>23</v>
      </c>
      <c r="N152" s="5">
        <v>26.8</v>
      </c>
      <c r="O152" s="6">
        <v>718.24</v>
      </c>
      <c r="P152" s="5">
        <v>348.33499999999998</v>
      </c>
      <c r="Q152">
        <v>326.75465307152854</v>
      </c>
      <c r="R152" s="6">
        <v>43.445400000000006</v>
      </c>
      <c r="S152" s="6">
        <v>14.873200000000001</v>
      </c>
      <c r="T152" s="6">
        <v>387.38222222222305</v>
      </c>
      <c r="U152">
        <v>222.22222222222243</v>
      </c>
      <c r="V152" s="6">
        <f t="shared" si="7"/>
        <v>1.4281347940287887</v>
      </c>
      <c r="W152" s="6">
        <f t="shared" si="8"/>
        <v>2.5419971136864672</v>
      </c>
      <c r="X152" s="6">
        <v>2.5142217807633709</v>
      </c>
      <c r="Y152" s="6">
        <f t="shared" si="9"/>
        <v>1.6379438001086399</v>
      </c>
      <c r="Z152" s="6">
        <f t="shared" si="9"/>
        <v>1.1724044179387925</v>
      </c>
      <c r="AA152" s="6">
        <f t="shared" si="9"/>
        <v>2.5881396861612336</v>
      </c>
      <c r="AB152" s="6">
        <f t="shared" si="9"/>
        <v>2.3467874862246569</v>
      </c>
    </row>
    <row r="153" spans="1:28">
      <c r="A153" s="1">
        <v>44</v>
      </c>
      <c r="B153" s="1">
        <v>0</v>
      </c>
      <c r="C153" s="1">
        <v>1</v>
      </c>
      <c r="D153" s="1">
        <v>0</v>
      </c>
      <c r="E153" s="1">
        <v>0</v>
      </c>
      <c r="F153" s="1">
        <v>5</v>
      </c>
      <c r="G153" s="1">
        <v>6</v>
      </c>
      <c r="H153" s="1">
        <v>1</v>
      </c>
      <c r="I153" s="1">
        <v>1</v>
      </c>
      <c r="J153" s="1">
        <v>2</v>
      </c>
      <c r="K153" s="1">
        <v>2</v>
      </c>
      <c r="L153" s="1">
        <v>2</v>
      </c>
      <c r="M153" s="1">
        <v>23</v>
      </c>
      <c r="N153" s="5">
        <v>44.8</v>
      </c>
      <c r="O153" s="6">
        <v>2007.04</v>
      </c>
      <c r="P153" s="5">
        <v>444.01099999999997</v>
      </c>
      <c r="Q153">
        <v>516.85873163577901</v>
      </c>
      <c r="R153" s="6">
        <v>193.15590000000003</v>
      </c>
      <c r="S153" s="6">
        <v>27.398</v>
      </c>
      <c r="T153" s="6">
        <v>1490.1464444444446</v>
      </c>
      <c r="U153">
        <v>488.88888888888897</v>
      </c>
      <c r="V153" s="6">
        <f t="shared" si="7"/>
        <v>1.651278013998144</v>
      </c>
      <c r="W153" s="6">
        <f t="shared" si="8"/>
        <v>2.6473937295293144</v>
      </c>
      <c r="X153" s="6">
        <v>2.7133718574949275</v>
      </c>
      <c r="Y153" s="6">
        <f t="shared" si="9"/>
        <v>2.2859079783276379</v>
      </c>
      <c r="Z153" s="6">
        <f t="shared" si="9"/>
        <v>1.4377188613362393</v>
      </c>
      <c r="AA153" s="6">
        <f t="shared" si="9"/>
        <v>3.1732289508880278</v>
      </c>
      <c r="AB153" s="6">
        <f t="shared" si="9"/>
        <v>2.6892101670468627</v>
      </c>
    </row>
    <row r="154" spans="1:28">
      <c r="A154" s="1">
        <v>45</v>
      </c>
      <c r="B154" s="1">
        <v>0</v>
      </c>
      <c r="C154" s="1">
        <v>1</v>
      </c>
      <c r="D154" s="1">
        <v>0</v>
      </c>
      <c r="E154" s="1">
        <v>1</v>
      </c>
      <c r="F154" s="1">
        <v>5</v>
      </c>
      <c r="G154" s="1">
        <v>6</v>
      </c>
      <c r="H154" s="1">
        <v>1</v>
      </c>
      <c r="I154" s="1">
        <v>1</v>
      </c>
      <c r="J154" s="1">
        <v>2</v>
      </c>
      <c r="K154" s="1">
        <v>2</v>
      </c>
      <c r="L154" s="1">
        <v>2</v>
      </c>
      <c r="M154" s="1">
        <v>23</v>
      </c>
      <c r="N154" s="5">
        <v>112.8</v>
      </c>
      <c r="O154" s="6">
        <v>12723.84</v>
      </c>
      <c r="P154" s="5">
        <v>444.01099999999997</v>
      </c>
      <c r="Q154">
        <v>516.85873163577901</v>
      </c>
      <c r="R154" s="6">
        <v>31.038020000000003</v>
      </c>
      <c r="S154" s="6">
        <v>11.741999999999999</v>
      </c>
      <c r="T154" s="6">
        <v>5498.6717777777776</v>
      </c>
      <c r="U154">
        <v>1666.6666666666667</v>
      </c>
      <c r="V154" s="6">
        <f t="shared" si="7"/>
        <v>2.0523090996473234</v>
      </c>
      <c r="W154" s="6">
        <f t="shared" si="8"/>
        <v>2.6473937295293144</v>
      </c>
      <c r="X154" s="6">
        <v>2.7133718574949275</v>
      </c>
      <c r="Y154" s="6">
        <f t="shared" si="9"/>
        <v>1.4918940086395862</v>
      </c>
      <c r="Z154" s="6">
        <f t="shared" si="9"/>
        <v>1.0697420760416447</v>
      </c>
      <c r="AA154" s="6">
        <f t="shared" si="9"/>
        <v>3.7402577969042454</v>
      </c>
      <c r="AB154" s="6">
        <f t="shared" si="9"/>
        <v>3.2218487496163566</v>
      </c>
    </row>
    <row r="155" spans="1:28">
      <c r="A155" s="1">
        <v>46</v>
      </c>
      <c r="B155" s="1">
        <v>0</v>
      </c>
      <c r="C155" s="1">
        <v>1</v>
      </c>
      <c r="D155" s="1">
        <v>0</v>
      </c>
      <c r="E155" s="1">
        <v>1</v>
      </c>
      <c r="F155" s="1">
        <v>6</v>
      </c>
      <c r="G155" s="1">
        <v>6</v>
      </c>
      <c r="H155" s="1">
        <v>1</v>
      </c>
      <c r="I155" s="1">
        <v>1</v>
      </c>
      <c r="J155" s="1">
        <v>2</v>
      </c>
      <c r="K155" s="1">
        <v>2</v>
      </c>
      <c r="L155" s="1">
        <v>2</v>
      </c>
      <c r="M155" s="1">
        <v>23</v>
      </c>
      <c r="N155" s="5">
        <v>32.799999999999997</v>
      </c>
      <c r="O155" s="6">
        <v>1075.8399999999999</v>
      </c>
      <c r="P155" s="5">
        <v>300.49699999999996</v>
      </c>
      <c r="Q155">
        <v>248.34094519242922</v>
      </c>
      <c r="R155" s="6">
        <v>12.798780000000001</v>
      </c>
      <c r="S155" s="6">
        <v>7.8280000000000003</v>
      </c>
      <c r="T155" s="6">
        <v>317.70222222222219</v>
      </c>
      <c r="U155">
        <v>200</v>
      </c>
      <c r="V155" s="6">
        <f t="shared" si="7"/>
        <v>1.515873843711679</v>
      </c>
      <c r="W155" s="6">
        <f t="shared" si="8"/>
        <v>2.4778401405984942</v>
      </c>
      <c r="X155" s="6">
        <v>2.3950483297242249</v>
      </c>
      <c r="Y155" s="6">
        <f t="shared" si="9"/>
        <v>1.1071685739822685</v>
      </c>
      <c r="Z155" s="6">
        <f t="shared" si="9"/>
        <v>0.8936508169859636</v>
      </c>
      <c r="AA155" s="6">
        <f t="shared" si="9"/>
        <v>2.5020202525843818</v>
      </c>
      <c r="AB155" s="6">
        <f t="shared" si="9"/>
        <v>2.3010299956639813</v>
      </c>
    </row>
    <row r="156" spans="1:28">
      <c r="A156" s="1">
        <v>47</v>
      </c>
      <c r="B156" s="1">
        <v>1</v>
      </c>
      <c r="C156" s="1">
        <v>1</v>
      </c>
      <c r="D156" s="1">
        <v>1</v>
      </c>
      <c r="E156" s="1">
        <v>1</v>
      </c>
      <c r="F156" s="1">
        <v>16</v>
      </c>
      <c r="G156" s="1">
        <v>6</v>
      </c>
      <c r="H156" s="1">
        <v>3</v>
      </c>
      <c r="I156" s="1">
        <v>1</v>
      </c>
      <c r="J156" s="1">
        <v>5</v>
      </c>
      <c r="K156" s="1">
        <v>6</v>
      </c>
      <c r="L156" s="1">
        <v>2</v>
      </c>
      <c r="M156" s="1">
        <v>23</v>
      </c>
      <c r="N156" s="5">
        <v>76.8</v>
      </c>
      <c r="O156" s="6">
        <v>5898.24</v>
      </c>
      <c r="P156" s="5">
        <v>444.01099999999997</v>
      </c>
      <c r="Q156">
        <v>516.85873163577901</v>
      </c>
      <c r="R156" s="6">
        <v>32.52534</v>
      </c>
      <c r="S156" s="6">
        <v>100.19840000000001</v>
      </c>
      <c r="T156" s="6">
        <v>3109.9239999999991</v>
      </c>
      <c r="U156">
        <v>955.5555555555552</v>
      </c>
      <c r="V156" s="6">
        <f t="shared" si="7"/>
        <v>1.885361220031512</v>
      </c>
      <c r="W156" s="6">
        <f t="shared" si="8"/>
        <v>2.6473937295293144</v>
      </c>
      <c r="X156" s="6">
        <v>2.7133718574949275</v>
      </c>
      <c r="Y156" s="6">
        <f t="shared" si="9"/>
        <v>1.5122218451060934</v>
      </c>
      <c r="Z156" s="6">
        <f t="shared" si="9"/>
        <v>2.0008607866338322</v>
      </c>
      <c r="AA156" s="6">
        <f t="shared" si="9"/>
        <v>3.492749775913035</v>
      </c>
      <c r="AB156" s="6">
        <f t="shared" si="9"/>
        <v>2.9802559418042427</v>
      </c>
    </row>
    <row r="157" spans="1:28">
      <c r="A157" s="1">
        <v>48</v>
      </c>
      <c r="B157" s="1">
        <v>0</v>
      </c>
      <c r="C157" s="1">
        <v>1</v>
      </c>
      <c r="D157" s="1">
        <v>1</v>
      </c>
      <c r="E157" s="1">
        <v>1</v>
      </c>
      <c r="F157" s="1">
        <v>12</v>
      </c>
      <c r="G157" s="1">
        <v>6</v>
      </c>
      <c r="H157" s="1">
        <v>2</v>
      </c>
      <c r="I157" s="1">
        <v>1</v>
      </c>
      <c r="J157" s="1">
        <v>4</v>
      </c>
      <c r="K157" s="1">
        <v>4</v>
      </c>
      <c r="L157" s="1">
        <v>2</v>
      </c>
      <c r="M157" s="1">
        <v>23</v>
      </c>
      <c r="N157" s="5">
        <v>54.8</v>
      </c>
      <c r="O157" s="6">
        <v>3003.04</v>
      </c>
      <c r="P157" s="5">
        <v>372.25400000000002</v>
      </c>
      <c r="Q157">
        <v>370.10738405250993</v>
      </c>
      <c r="R157" s="6">
        <v>9.4327400000000008</v>
      </c>
      <c r="S157" s="6">
        <v>485.72739999999999</v>
      </c>
      <c r="T157" s="6">
        <v>498.87933333333393</v>
      </c>
      <c r="U157">
        <v>311.11111111111074</v>
      </c>
      <c r="V157" s="6">
        <f t="shared" si="7"/>
        <v>1.7387805584843692</v>
      </c>
      <c r="W157" s="6">
        <f t="shared" si="8"/>
        <v>2.5708393730960588</v>
      </c>
      <c r="X157" s="6">
        <v>2.5683277498377999</v>
      </c>
      <c r="Y157" s="6">
        <f t="shared" si="9"/>
        <v>0.97463786389685081</v>
      </c>
      <c r="Z157" s="6">
        <f t="shared" si="9"/>
        <v>2.6863926028207121</v>
      </c>
      <c r="AA157" s="6">
        <f t="shared" si="9"/>
        <v>2.6979955131490465</v>
      </c>
      <c r="AB157" s="6">
        <f t="shared" si="9"/>
        <v>2.4929155219028938</v>
      </c>
    </row>
    <row r="158" spans="1:28">
      <c r="A158" s="1">
        <v>49</v>
      </c>
      <c r="B158" s="1">
        <v>1</v>
      </c>
      <c r="C158" s="1">
        <v>0</v>
      </c>
      <c r="D158" s="1">
        <v>0</v>
      </c>
      <c r="E158" s="1">
        <v>1</v>
      </c>
      <c r="F158" s="1">
        <v>2</v>
      </c>
      <c r="G158" s="1">
        <v>6</v>
      </c>
      <c r="H158" s="1">
        <v>1</v>
      </c>
      <c r="I158" s="1">
        <v>1</v>
      </c>
      <c r="J158" s="1">
        <v>1</v>
      </c>
      <c r="K158" s="1">
        <v>1</v>
      </c>
      <c r="L158" s="1">
        <v>2</v>
      </c>
      <c r="M158" s="1">
        <v>23</v>
      </c>
      <c r="N158" s="5">
        <v>76.8</v>
      </c>
      <c r="O158" s="6">
        <v>5898.24</v>
      </c>
      <c r="P158" s="5">
        <v>372.25400000000002</v>
      </c>
      <c r="Q158">
        <v>370.10738405250993</v>
      </c>
      <c r="R158" s="6">
        <v>55.383100000000006</v>
      </c>
      <c r="S158" s="6">
        <v>109.20060000000001</v>
      </c>
      <c r="T158" s="6">
        <v>10216.674533333335</v>
      </c>
      <c r="U158">
        <v>5777.7777777777783</v>
      </c>
      <c r="V158" s="6">
        <f t="shared" si="7"/>
        <v>1.885361220031512</v>
      </c>
      <c r="W158" s="6">
        <f t="shared" si="8"/>
        <v>2.5708393730960588</v>
      </c>
      <c r="X158" s="6">
        <v>2.5683277498377999</v>
      </c>
      <c r="Y158" s="6">
        <f t="shared" si="9"/>
        <v>1.7433772611822915</v>
      </c>
      <c r="Z158" s="6">
        <f t="shared" si="9"/>
        <v>2.03822502459558</v>
      </c>
      <c r="AA158" s="6">
        <f t="shared" si="9"/>
        <v>4.0093095585343095</v>
      </c>
      <c r="AB158" s="6">
        <f t="shared" si="9"/>
        <v>3.7617608341954742</v>
      </c>
    </row>
    <row r="159" spans="1:28">
      <c r="A159" s="1">
        <v>50</v>
      </c>
      <c r="B159" s="1">
        <v>1</v>
      </c>
      <c r="C159" s="1">
        <v>1</v>
      </c>
      <c r="D159" s="1">
        <v>1</v>
      </c>
      <c r="E159" s="1">
        <v>1</v>
      </c>
      <c r="F159" s="1">
        <v>17</v>
      </c>
      <c r="G159" s="1">
        <v>6</v>
      </c>
      <c r="H159" s="1">
        <v>3</v>
      </c>
      <c r="I159" s="1">
        <v>1</v>
      </c>
      <c r="J159" s="1">
        <v>5</v>
      </c>
      <c r="K159" s="1">
        <v>6</v>
      </c>
      <c r="L159" s="1">
        <v>2</v>
      </c>
      <c r="M159" s="1">
        <v>23</v>
      </c>
      <c r="N159" s="5">
        <v>22.8</v>
      </c>
      <c r="O159" s="6">
        <v>519.84</v>
      </c>
      <c r="P159" s="5">
        <v>348.33499999999998</v>
      </c>
      <c r="Q159">
        <v>326.75465307152854</v>
      </c>
      <c r="R159" s="6">
        <v>40.509900000000002</v>
      </c>
      <c r="S159" s="6">
        <v>19.961400000000001</v>
      </c>
      <c r="T159" s="6">
        <v>21.392933333332508</v>
      </c>
      <c r="U159">
        <v>88.888888888888346</v>
      </c>
      <c r="V159" s="6">
        <f t="shared" si="7"/>
        <v>1.3579348470004537</v>
      </c>
      <c r="W159" s="6">
        <f t="shared" si="8"/>
        <v>2.5419971136864672</v>
      </c>
      <c r="X159" s="6">
        <v>2.5142217807633709</v>
      </c>
      <c r="Y159" s="6">
        <f t="shared" si="9"/>
        <v>1.6075611711149189</v>
      </c>
      <c r="Z159" s="6">
        <f t="shared" si="9"/>
        <v>1.3001909974199188</v>
      </c>
      <c r="AA159" s="6">
        <f t="shared" si="9"/>
        <v>1.3302703377803724</v>
      </c>
      <c r="AB159" s="6">
        <f t="shared" si="9"/>
        <v>1.9488474775526161</v>
      </c>
    </row>
    <row r="160" spans="1:28">
      <c r="A160" s="1">
        <v>51</v>
      </c>
      <c r="B160" s="1">
        <v>0</v>
      </c>
      <c r="C160" s="1">
        <v>1</v>
      </c>
      <c r="D160" s="1">
        <v>1</v>
      </c>
      <c r="E160" s="1">
        <v>0</v>
      </c>
      <c r="F160" s="1">
        <v>11</v>
      </c>
      <c r="G160" s="1">
        <v>6</v>
      </c>
      <c r="H160" s="1">
        <v>2</v>
      </c>
      <c r="I160" s="1">
        <v>1</v>
      </c>
      <c r="J160" s="1">
        <v>4</v>
      </c>
      <c r="K160" s="1">
        <v>4</v>
      </c>
      <c r="L160" s="1">
        <v>2</v>
      </c>
      <c r="M160" s="1">
        <v>23</v>
      </c>
      <c r="N160" s="5">
        <v>22.8</v>
      </c>
      <c r="O160" s="6">
        <v>519.84</v>
      </c>
      <c r="P160" s="5">
        <v>300.49699999999996</v>
      </c>
      <c r="Q160">
        <v>248.34094519242922</v>
      </c>
      <c r="R160" s="6">
        <v>10.176400000000001</v>
      </c>
      <c r="S160" s="6">
        <v>147.16639999999998</v>
      </c>
      <c r="T160" s="6">
        <v>1713.8919999999991</v>
      </c>
      <c r="U160">
        <v>422.22222222222194</v>
      </c>
      <c r="V160" s="6">
        <f t="shared" si="7"/>
        <v>1.3579348470004537</v>
      </c>
      <c r="W160" s="6">
        <f t="shared" si="8"/>
        <v>2.4778401405984942</v>
      </c>
      <c r="X160" s="6">
        <v>2.3950483297242249</v>
      </c>
      <c r="Y160" s="6">
        <f t="shared" si="9"/>
        <v>1.0075941692928003</v>
      </c>
      <c r="Z160" s="6">
        <f t="shared" si="9"/>
        <v>2.1678086662496434</v>
      </c>
      <c r="AA160" s="6">
        <f t="shared" si="9"/>
        <v>3.233983451611786</v>
      </c>
      <c r="AB160" s="6">
        <f t="shared" si="9"/>
        <v>2.6255410871774849</v>
      </c>
    </row>
    <row r="161" spans="1:28">
      <c r="A161" s="1">
        <v>52</v>
      </c>
      <c r="B161" s="1">
        <v>0</v>
      </c>
      <c r="C161" s="1">
        <v>1</v>
      </c>
      <c r="D161" s="1">
        <v>1</v>
      </c>
      <c r="E161" s="1">
        <v>1</v>
      </c>
      <c r="F161" s="1">
        <v>11</v>
      </c>
      <c r="G161" s="1">
        <v>6</v>
      </c>
      <c r="H161" s="1">
        <v>2</v>
      </c>
      <c r="I161" s="1">
        <v>1</v>
      </c>
      <c r="J161" s="1">
        <v>4</v>
      </c>
      <c r="K161" s="1">
        <v>4</v>
      </c>
      <c r="L161" s="1">
        <v>2</v>
      </c>
      <c r="M161" s="1">
        <v>23</v>
      </c>
      <c r="N161" s="5">
        <v>242.8</v>
      </c>
      <c r="O161" s="6">
        <v>58951.839999999997</v>
      </c>
      <c r="P161" s="5">
        <v>1454.7736500000001</v>
      </c>
      <c r="Q161">
        <v>1632.3566301453573</v>
      </c>
      <c r="R161" s="6">
        <v>115.65870000000001</v>
      </c>
      <c r="S161" s="6">
        <v>96.67580000000001</v>
      </c>
      <c r="T161" s="6">
        <v>27262.931111111109</v>
      </c>
      <c r="U161">
        <v>7622.2222222222235</v>
      </c>
      <c r="V161" s="6">
        <f t="shared" si="7"/>
        <v>2.38524868240322</v>
      </c>
      <c r="W161" s="6">
        <f t="shared" si="8"/>
        <v>3.1627954261720368</v>
      </c>
      <c r="X161" s="6">
        <v>3.2128150475452628</v>
      </c>
      <c r="Y161" s="6">
        <f t="shared" si="9"/>
        <v>2.0631783065392564</v>
      </c>
      <c r="Z161" s="6">
        <f t="shared" si="9"/>
        <v>1.9853177745816482</v>
      </c>
      <c r="AA161" s="6">
        <f t="shared" si="9"/>
        <v>4.4355725461776343</v>
      </c>
      <c r="AB161" s="6">
        <f t="shared" si="9"/>
        <v>3.8820816062674268</v>
      </c>
    </row>
    <row r="162" spans="1:28">
      <c r="A162" s="1">
        <v>53</v>
      </c>
      <c r="B162" s="1">
        <v>1</v>
      </c>
      <c r="C162" s="1">
        <v>1</v>
      </c>
      <c r="D162" s="1">
        <v>1</v>
      </c>
      <c r="E162" s="1">
        <v>1</v>
      </c>
      <c r="F162" s="1">
        <v>15</v>
      </c>
      <c r="G162" s="1">
        <v>6</v>
      </c>
      <c r="H162" s="1">
        <v>3</v>
      </c>
      <c r="I162" s="1">
        <v>1</v>
      </c>
      <c r="J162" s="1">
        <v>5</v>
      </c>
      <c r="K162" s="1">
        <v>5</v>
      </c>
      <c r="L162" s="1">
        <v>2</v>
      </c>
      <c r="M162" s="1">
        <v>23</v>
      </c>
      <c r="N162" s="5">
        <v>146.80000000000001</v>
      </c>
      <c r="O162" s="6">
        <v>21550.240000000002</v>
      </c>
      <c r="P162" s="5">
        <v>491.84899999999993</v>
      </c>
      <c r="Q162">
        <v>628.68605239885198</v>
      </c>
      <c r="R162" s="6">
        <v>10.88092</v>
      </c>
      <c r="S162" s="6">
        <v>57.144399999999997</v>
      </c>
      <c r="T162" s="6">
        <v>1617.782755555555</v>
      </c>
      <c r="U162">
        <v>377.77777777777783</v>
      </c>
      <c r="V162" s="6">
        <f t="shared" si="7"/>
        <v>2.1667260555800518</v>
      </c>
      <c r="W162" s="6">
        <f t="shared" si="8"/>
        <v>2.6918317927425854</v>
      </c>
      <c r="X162" s="6">
        <v>2.79843382549508</v>
      </c>
      <c r="Y162" s="6">
        <f t="shared" si="9"/>
        <v>1.0366656172400586</v>
      </c>
      <c r="Z162" s="6">
        <f t="shared" si="9"/>
        <v>1.7569736771064195</v>
      </c>
      <c r="AA162" s="6">
        <f t="shared" si="9"/>
        <v>3.2089202018263512</v>
      </c>
      <c r="AB162" s="6">
        <f t="shared" si="9"/>
        <v>2.5772364076029302</v>
      </c>
    </row>
    <row r="163" spans="1:28">
      <c r="A163" s="1">
        <v>54</v>
      </c>
      <c r="B163" s="1">
        <v>1</v>
      </c>
      <c r="C163" s="1">
        <v>1</v>
      </c>
      <c r="D163" s="1">
        <v>1</v>
      </c>
      <c r="E163" s="1">
        <v>1</v>
      </c>
      <c r="F163" s="1">
        <v>19</v>
      </c>
      <c r="G163" s="1">
        <v>6</v>
      </c>
      <c r="H163" s="1">
        <v>3</v>
      </c>
      <c r="I163" s="1">
        <v>1</v>
      </c>
      <c r="J163" s="1">
        <v>5</v>
      </c>
      <c r="K163" s="1">
        <v>6</v>
      </c>
      <c r="L163" s="1">
        <v>2</v>
      </c>
      <c r="M163" s="1">
        <v>23</v>
      </c>
      <c r="N163" s="5">
        <v>56.8</v>
      </c>
      <c r="O163" s="6">
        <v>3226.24</v>
      </c>
      <c r="P163" s="5">
        <v>467.93</v>
      </c>
      <c r="Q163">
        <v>571.36793872492774</v>
      </c>
      <c r="R163" s="6">
        <v>32.681900000000006</v>
      </c>
      <c r="S163" s="6">
        <v>525.25879999999995</v>
      </c>
      <c r="T163" s="6">
        <v>1173.5134666666659</v>
      </c>
      <c r="U163">
        <v>400.10000000100001</v>
      </c>
      <c r="V163" s="6">
        <f t="shared" si="7"/>
        <v>1.7543483357110188</v>
      </c>
      <c r="W163" s="6">
        <f t="shared" si="8"/>
        <v>2.6701808896392731</v>
      </c>
      <c r="X163" s="6">
        <v>2.7569158670836504</v>
      </c>
      <c r="Y163" s="6">
        <f t="shared" si="9"/>
        <v>1.5143072968055846</v>
      </c>
      <c r="Z163" s="6">
        <f t="shared" si="9"/>
        <v>2.7203733371549554</v>
      </c>
      <c r="AA163" s="6">
        <f t="shared" si="9"/>
        <v>3.0694880777143005</v>
      </c>
      <c r="AB163" s="6">
        <f t="shared" si="9"/>
        <v>2.6021685513800827</v>
      </c>
    </row>
    <row r="164" spans="1:28">
      <c r="A164" s="1">
        <v>55</v>
      </c>
      <c r="B164" s="1">
        <v>0</v>
      </c>
      <c r="C164" s="1">
        <v>1</v>
      </c>
      <c r="D164" s="1">
        <v>1</v>
      </c>
      <c r="E164" s="1">
        <v>0</v>
      </c>
      <c r="F164" s="1">
        <v>11</v>
      </c>
      <c r="G164" s="1">
        <v>6</v>
      </c>
      <c r="H164" s="1">
        <v>2</v>
      </c>
      <c r="I164" s="1">
        <v>2</v>
      </c>
      <c r="J164" s="1">
        <v>4</v>
      </c>
      <c r="K164" s="1">
        <v>4</v>
      </c>
      <c r="L164" s="1">
        <v>2</v>
      </c>
      <c r="M164" s="1">
        <v>23</v>
      </c>
      <c r="N164" s="5">
        <v>104.8</v>
      </c>
      <c r="O164" s="6">
        <v>10983.04</v>
      </c>
      <c r="P164" s="5">
        <v>444.01099999999997</v>
      </c>
      <c r="Q164">
        <v>516.85873163577901</v>
      </c>
      <c r="R164" s="6">
        <v>93.740300000000005</v>
      </c>
      <c r="S164" s="6">
        <v>223.09800000000001</v>
      </c>
      <c r="T164" s="6">
        <v>23972.315555555557</v>
      </c>
      <c r="U164">
        <v>9400</v>
      </c>
      <c r="V164" s="6">
        <f t="shared" si="7"/>
        <v>2.0203612826477078</v>
      </c>
      <c r="W164" s="6">
        <f t="shared" si="8"/>
        <v>2.6473937295293144</v>
      </c>
      <c r="X164" s="6">
        <v>2.7133718574949275</v>
      </c>
      <c r="Y164" s="6">
        <f t="shared" si="9"/>
        <v>1.9719263390725643</v>
      </c>
      <c r="Z164" s="6">
        <f t="shared" si="9"/>
        <v>2.3484956769944736</v>
      </c>
      <c r="AA164" s="6">
        <f t="shared" si="9"/>
        <v>4.3797099858246531</v>
      </c>
      <c r="AB164" s="6">
        <f t="shared" si="9"/>
        <v>3.9731278535996988</v>
      </c>
    </row>
    <row r="165" spans="1:28">
      <c r="A165" s="1">
        <v>56</v>
      </c>
      <c r="B165" s="1">
        <v>0</v>
      </c>
      <c r="C165" s="1">
        <v>1</v>
      </c>
      <c r="D165" s="1">
        <v>1</v>
      </c>
      <c r="E165" s="1">
        <v>0</v>
      </c>
      <c r="F165" s="1">
        <v>10</v>
      </c>
      <c r="G165" s="1">
        <v>6</v>
      </c>
      <c r="H165" s="1">
        <v>2</v>
      </c>
      <c r="I165" s="1">
        <v>2</v>
      </c>
      <c r="J165" s="1">
        <v>4</v>
      </c>
      <c r="K165" s="1">
        <v>4</v>
      </c>
      <c r="L165" s="1">
        <v>2</v>
      </c>
      <c r="M165" s="1">
        <v>23</v>
      </c>
      <c r="N165" s="5">
        <v>74.8</v>
      </c>
      <c r="O165" s="6">
        <v>5595.04</v>
      </c>
      <c r="P165" s="5">
        <v>467.93</v>
      </c>
      <c r="Q165">
        <v>571.36793872492774</v>
      </c>
      <c r="R165" s="6">
        <v>68.495000000000005</v>
      </c>
      <c r="S165" s="6">
        <v>160.08259999999999</v>
      </c>
      <c r="T165" s="6">
        <v>7157.8715555555546</v>
      </c>
      <c r="U165">
        <v>1088.8888888888878</v>
      </c>
      <c r="V165" s="6">
        <f t="shared" si="7"/>
        <v>1.8739015978644613</v>
      </c>
      <c r="W165" s="6">
        <f t="shared" si="8"/>
        <v>2.6701808896392731</v>
      </c>
      <c r="X165" s="6">
        <v>2.7569158670836504</v>
      </c>
      <c r="Y165" s="6">
        <f t="shared" si="9"/>
        <v>1.8356588700082768</v>
      </c>
      <c r="Z165" s="6">
        <f t="shared" si="9"/>
        <v>2.204344129329324</v>
      </c>
      <c r="AA165" s="6">
        <f t="shared" si="9"/>
        <v>3.8547839009254652</v>
      </c>
      <c r="AB165" s="6">
        <f t="shared" si="9"/>
        <v>3.0369835662531695</v>
      </c>
    </row>
    <row r="166" spans="1:28">
      <c r="A166" s="1">
        <v>57</v>
      </c>
      <c r="B166" s="1">
        <v>1</v>
      </c>
      <c r="C166" s="1">
        <v>1</v>
      </c>
      <c r="D166" s="1">
        <v>1</v>
      </c>
      <c r="E166" s="1">
        <v>0</v>
      </c>
      <c r="F166" s="1">
        <v>20</v>
      </c>
      <c r="G166" s="1">
        <v>18</v>
      </c>
      <c r="H166" s="1">
        <v>3</v>
      </c>
      <c r="I166" s="1">
        <v>2</v>
      </c>
      <c r="J166" s="1">
        <v>6</v>
      </c>
      <c r="K166" s="1">
        <v>7</v>
      </c>
      <c r="L166" s="1">
        <v>2</v>
      </c>
      <c r="M166" s="1">
        <v>23</v>
      </c>
      <c r="N166" s="5">
        <v>146.80000000000001</v>
      </c>
      <c r="O166" s="6">
        <v>21550.240000000002</v>
      </c>
      <c r="P166" s="5">
        <v>467.93</v>
      </c>
      <c r="Q166">
        <v>571.36793872492774</v>
      </c>
      <c r="R166" s="6">
        <v>95.501599999999996</v>
      </c>
      <c r="S166" s="6">
        <v>355.7826</v>
      </c>
      <c r="T166" s="6">
        <v>14100.859111111109</v>
      </c>
      <c r="U166">
        <v>1800</v>
      </c>
      <c r="V166" s="6">
        <f t="shared" si="7"/>
        <v>2.1667260555800518</v>
      </c>
      <c r="W166" s="6">
        <f t="shared" si="8"/>
        <v>2.6701808896392731</v>
      </c>
      <c r="X166" s="6">
        <v>2.7569158670836504</v>
      </c>
      <c r="Y166" s="6">
        <f t="shared" si="9"/>
        <v>1.9800106476607118</v>
      </c>
      <c r="Z166" s="6">
        <f t="shared" si="9"/>
        <v>2.55118470454395</v>
      </c>
      <c r="AA166" s="6">
        <f t="shared" si="9"/>
        <v>4.1492455733538671</v>
      </c>
      <c r="AB166" s="6">
        <f t="shared" si="9"/>
        <v>3.255272505103306</v>
      </c>
    </row>
    <row r="167" spans="1:28">
      <c r="A167" s="1">
        <v>58</v>
      </c>
      <c r="B167" s="1">
        <v>1</v>
      </c>
      <c r="C167" s="1">
        <v>1</v>
      </c>
      <c r="D167" s="1">
        <v>1</v>
      </c>
      <c r="E167" s="1">
        <v>0</v>
      </c>
      <c r="F167" s="1">
        <v>25</v>
      </c>
      <c r="G167" s="1">
        <v>18</v>
      </c>
      <c r="H167" s="1">
        <v>3</v>
      </c>
      <c r="I167" s="1">
        <v>2</v>
      </c>
      <c r="J167" s="1">
        <v>6</v>
      </c>
      <c r="K167" s="1">
        <v>7</v>
      </c>
      <c r="L167" s="1">
        <v>2</v>
      </c>
      <c r="M167" s="1">
        <v>23</v>
      </c>
      <c r="N167" s="5">
        <v>110.8</v>
      </c>
      <c r="O167" s="6">
        <v>12276.64</v>
      </c>
      <c r="P167" s="5">
        <v>420.09199999999998</v>
      </c>
      <c r="Q167">
        <v>465.1509008272937</v>
      </c>
      <c r="R167" s="6">
        <v>47.163700000000006</v>
      </c>
      <c r="S167" s="6">
        <v>117.81139999999999</v>
      </c>
      <c r="T167" s="6">
        <v>5858.7597777777801</v>
      </c>
      <c r="U167">
        <v>755.55555555555566</v>
      </c>
      <c r="V167" s="6">
        <f t="shared" si="7"/>
        <v>2.0445397603924111</v>
      </c>
      <c r="W167" s="6">
        <f t="shared" si="8"/>
        <v>2.6233444111525199</v>
      </c>
      <c r="X167" s="6">
        <v>2.6675938663635095</v>
      </c>
      <c r="Y167" s="6">
        <f t="shared" si="9"/>
        <v>1.6736078682328697</v>
      </c>
      <c r="Z167" s="6">
        <f t="shared" si="9"/>
        <v>2.0711873169158257</v>
      </c>
      <c r="AA167" s="6">
        <f t="shared" si="9"/>
        <v>3.7678056913298694</v>
      </c>
      <c r="AB167" s="6">
        <f t="shared" si="9"/>
        <v>2.8782664032669114</v>
      </c>
    </row>
    <row r="168" spans="1:28">
      <c r="A168" s="1">
        <v>59</v>
      </c>
      <c r="B168" s="1">
        <v>1</v>
      </c>
      <c r="C168" s="1">
        <v>1</v>
      </c>
      <c r="D168" s="1">
        <v>1</v>
      </c>
      <c r="E168" s="1">
        <v>0</v>
      </c>
      <c r="F168" s="1">
        <v>17</v>
      </c>
      <c r="G168" s="1">
        <v>6</v>
      </c>
      <c r="H168" s="1">
        <v>3</v>
      </c>
      <c r="I168" s="1">
        <v>2</v>
      </c>
      <c r="J168" s="1">
        <v>5</v>
      </c>
      <c r="K168" s="1">
        <v>6</v>
      </c>
      <c r="L168" s="1">
        <v>2</v>
      </c>
      <c r="M168" s="1">
        <v>23</v>
      </c>
      <c r="N168" s="5">
        <v>70.8</v>
      </c>
      <c r="O168" s="6">
        <v>5012.6400000000003</v>
      </c>
      <c r="P168" s="5">
        <v>420.09199999999998</v>
      </c>
      <c r="Q168">
        <v>465.1509008272937</v>
      </c>
      <c r="R168" s="6">
        <v>25.049600000000002</v>
      </c>
      <c r="S168" s="6">
        <v>18.0044</v>
      </c>
      <c r="T168" s="6">
        <v>1103.8442666666658</v>
      </c>
      <c r="U168">
        <v>488.88888888888749</v>
      </c>
      <c r="V168" s="6">
        <f t="shared" si="7"/>
        <v>1.8500332576897689</v>
      </c>
      <c r="W168" s="6">
        <f t="shared" si="8"/>
        <v>2.6233444111525199</v>
      </c>
      <c r="X168" s="6">
        <v>2.6675938663635095</v>
      </c>
      <c r="Y168" s="6">
        <f t="shared" si="9"/>
        <v>1.3988007953058696</v>
      </c>
      <c r="Z168" s="6">
        <f t="shared" si="9"/>
        <v>1.2553786530035564</v>
      </c>
      <c r="AA168" s="6">
        <f t="shared" si="9"/>
        <v>3.0429078062753416</v>
      </c>
      <c r="AB168" s="6">
        <f t="shared" si="9"/>
        <v>2.6892101670468613</v>
      </c>
    </row>
    <row r="169" spans="1:28">
      <c r="A169" s="1">
        <v>60</v>
      </c>
      <c r="B169" s="1">
        <v>1</v>
      </c>
      <c r="C169" s="1">
        <v>1</v>
      </c>
      <c r="D169" s="1">
        <v>1</v>
      </c>
      <c r="E169" s="1">
        <v>0</v>
      </c>
      <c r="F169" s="1">
        <v>23</v>
      </c>
      <c r="G169" s="1">
        <v>18</v>
      </c>
      <c r="H169" s="1">
        <v>3</v>
      </c>
      <c r="I169" s="1">
        <v>2</v>
      </c>
      <c r="J169" s="1">
        <v>6</v>
      </c>
      <c r="K169" s="1">
        <v>7</v>
      </c>
      <c r="L169" s="1">
        <v>2</v>
      </c>
      <c r="M169" s="1">
        <v>23</v>
      </c>
      <c r="N169" s="5">
        <v>36.799999999999997</v>
      </c>
      <c r="O169" s="6">
        <v>1354.24</v>
      </c>
      <c r="P169" s="5">
        <v>396.173</v>
      </c>
      <c r="Q169">
        <v>416.23655111562346</v>
      </c>
      <c r="R169" s="6">
        <v>10.372100000000001</v>
      </c>
      <c r="S169" s="6">
        <v>57.927199999999999</v>
      </c>
      <c r="T169" s="6">
        <v>604.65031111110989</v>
      </c>
      <c r="U169">
        <v>0.1</v>
      </c>
      <c r="V169" s="6">
        <f t="shared" si="7"/>
        <v>1.5658478186735176</v>
      </c>
      <c r="W169" s="6">
        <f t="shared" si="8"/>
        <v>2.5978848741541283</v>
      </c>
      <c r="X169" s="6">
        <v>2.6193402143927398</v>
      </c>
      <c r="Y169" s="6">
        <f t="shared" si="9"/>
        <v>1.0158666952587903</v>
      </c>
      <c r="Z169" s="6">
        <f t="shared" si="9"/>
        <v>1.7628825367169398</v>
      </c>
      <c r="AA169" s="6">
        <f t="shared" si="9"/>
        <v>2.7815042806666064</v>
      </c>
      <c r="AB169" s="6">
        <f t="shared" si="9"/>
        <v>-1</v>
      </c>
    </row>
    <row r="170" spans="1:28">
      <c r="A170" s="1">
        <v>61</v>
      </c>
      <c r="B170" s="1">
        <v>0</v>
      </c>
      <c r="C170" s="1">
        <v>1</v>
      </c>
      <c r="D170" s="1">
        <v>0</v>
      </c>
      <c r="E170" s="1">
        <v>0</v>
      </c>
      <c r="F170" s="1">
        <v>6</v>
      </c>
      <c r="G170" s="1">
        <v>6</v>
      </c>
      <c r="H170" s="1">
        <v>1</v>
      </c>
      <c r="I170" s="1">
        <v>2</v>
      </c>
      <c r="J170" s="1">
        <v>2</v>
      </c>
      <c r="K170" s="1">
        <v>2</v>
      </c>
      <c r="L170" s="1">
        <v>2</v>
      </c>
      <c r="M170" s="1">
        <v>23</v>
      </c>
      <c r="N170" s="5">
        <v>6.8</v>
      </c>
      <c r="O170" s="6">
        <v>46.24</v>
      </c>
      <c r="P170" s="5">
        <v>276.57799999999997</v>
      </c>
      <c r="Q170">
        <v>213.2597056283312</v>
      </c>
      <c r="R170" s="6">
        <v>35.617399999999996</v>
      </c>
      <c r="S170" s="6">
        <v>7.4366000000000003</v>
      </c>
      <c r="T170" s="6">
        <v>1854.5635555555566</v>
      </c>
      <c r="U170">
        <v>622.22222222222308</v>
      </c>
      <c r="V170" s="6">
        <f t="shared" si="7"/>
        <v>0.83250891270623628</v>
      </c>
      <c r="W170" s="6">
        <f t="shared" si="8"/>
        <v>2.441817631815987</v>
      </c>
      <c r="X170" s="6">
        <v>2.3289088053959959</v>
      </c>
      <c r="Y170" s="6">
        <f t="shared" si="9"/>
        <v>1.551662213643076</v>
      </c>
      <c r="Z170" s="6">
        <f t="shared" si="9"/>
        <v>0.87137442227481132</v>
      </c>
      <c r="AA170" s="6">
        <f t="shared" si="9"/>
        <v>3.2682417211125192</v>
      </c>
      <c r="AB170" s="6">
        <f t="shared" si="9"/>
        <v>2.7939455175668759</v>
      </c>
    </row>
    <row r="171" spans="1:28">
      <c r="A171" s="1">
        <v>62</v>
      </c>
      <c r="B171" s="1">
        <v>0</v>
      </c>
      <c r="C171" s="1">
        <v>1</v>
      </c>
      <c r="D171" s="1">
        <v>0</v>
      </c>
      <c r="E171" s="1">
        <v>0</v>
      </c>
      <c r="F171" s="1">
        <v>5</v>
      </c>
      <c r="G171" s="1">
        <v>6</v>
      </c>
      <c r="H171" s="1">
        <v>1</v>
      </c>
      <c r="I171" s="1">
        <v>2</v>
      </c>
      <c r="J171" s="1">
        <v>2</v>
      </c>
      <c r="K171" s="1">
        <v>2</v>
      </c>
      <c r="L171" s="1">
        <v>2</v>
      </c>
      <c r="M171" s="1">
        <v>23</v>
      </c>
      <c r="N171" s="5">
        <v>132.80000000000001</v>
      </c>
      <c r="O171" s="6">
        <v>17635.84</v>
      </c>
      <c r="P171" s="5">
        <v>444.01099999999997</v>
      </c>
      <c r="Q171">
        <v>516.85873163577901</v>
      </c>
      <c r="R171" s="6">
        <v>128.3792</v>
      </c>
      <c r="S171" s="6">
        <v>6.2624000000000004</v>
      </c>
      <c r="T171" s="6">
        <v>2416.7675111111112</v>
      </c>
      <c r="U171">
        <v>244.44444444444375</v>
      </c>
      <c r="V171" s="6">
        <f t="shared" si="7"/>
        <v>2.1231980750319988</v>
      </c>
      <c r="W171" s="6">
        <f t="shared" si="8"/>
        <v>2.6473937295293144</v>
      </c>
      <c r="X171" s="6">
        <v>2.7133718574949275</v>
      </c>
      <c r="Y171" s="6">
        <f t="shared" si="9"/>
        <v>2.1084946650336613</v>
      </c>
      <c r="Z171" s="6">
        <f t="shared" si="9"/>
        <v>0.79674080397790714</v>
      </c>
      <c r="AA171" s="6">
        <f t="shared" si="9"/>
        <v>3.3832348740328477</v>
      </c>
      <c r="AB171" s="6">
        <f t="shared" si="9"/>
        <v>2.3881801713828801</v>
      </c>
    </row>
    <row r="172" spans="1:28">
      <c r="A172" s="1">
        <v>63</v>
      </c>
      <c r="B172" s="1">
        <v>0</v>
      </c>
      <c r="C172" s="1">
        <v>1</v>
      </c>
      <c r="D172" s="1">
        <v>0</v>
      </c>
      <c r="E172" s="1">
        <v>1</v>
      </c>
      <c r="F172" s="1">
        <v>5</v>
      </c>
      <c r="G172" s="1">
        <v>6</v>
      </c>
      <c r="H172" s="1">
        <v>1</v>
      </c>
      <c r="I172" s="1">
        <v>2</v>
      </c>
      <c r="J172" s="1">
        <v>2</v>
      </c>
      <c r="K172" s="1">
        <v>2</v>
      </c>
      <c r="L172" s="1">
        <v>2</v>
      </c>
      <c r="M172" s="1">
        <v>23</v>
      </c>
      <c r="N172" s="5">
        <v>88.8</v>
      </c>
      <c r="O172" s="6">
        <v>7885.44</v>
      </c>
      <c r="P172" s="5">
        <v>444.01099999999997</v>
      </c>
      <c r="Q172">
        <v>516.85873163577901</v>
      </c>
      <c r="R172" s="6">
        <v>33.464700000000008</v>
      </c>
      <c r="S172" s="6">
        <v>25.441000000000003</v>
      </c>
      <c r="T172" s="6">
        <v>615.86684444444393</v>
      </c>
      <c r="U172">
        <v>66.666666666667027</v>
      </c>
      <c r="V172" s="6">
        <f t="shared" si="7"/>
        <v>1.9484129657786009</v>
      </c>
      <c r="W172" s="6">
        <f t="shared" si="8"/>
        <v>2.6473937295293144</v>
      </c>
      <c r="X172" s="6">
        <v>2.7133718574949275</v>
      </c>
      <c r="Y172" s="6">
        <f t="shared" si="9"/>
        <v>1.5245869360501552</v>
      </c>
      <c r="Z172" s="6">
        <f t="shared" si="9"/>
        <v>1.405534177964838</v>
      </c>
      <c r="AA172" s="6">
        <f t="shared" si="9"/>
        <v>2.7894868242194764</v>
      </c>
      <c r="AB172" s="6">
        <f t="shared" si="9"/>
        <v>1.8239087409443211</v>
      </c>
    </row>
    <row r="173" spans="1:28">
      <c r="A173" s="1">
        <v>64</v>
      </c>
      <c r="B173" s="1">
        <v>1</v>
      </c>
      <c r="C173" s="1">
        <v>1</v>
      </c>
      <c r="D173" s="1">
        <v>0</v>
      </c>
      <c r="E173" s="1">
        <v>0</v>
      </c>
      <c r="F173" s="1">
        <v>9</v>
      </c>
      <c r="G173" s="1">
        <v>6</v>
      </c>
      <c r="H173" s="1">
        <v>2</v>
      </c>
      <c r="I173" s="1">
        <v>2</v>
      </c>
      <c r="J173" s="1">
        <v>3</v>
      </c>
      <c r="K173" s="1">
        <v>3</v>
      </c>
      <c r="L173" s="1">
        <v>2</v>
      </c>
      <c r="M173" s="1">
        <v>23</v>
      </c>
      <c r="N173" s="5">
        <v>78.8</v>
      </c>
      <c r="O173" s="6">
        <v>6209.44</v>
      </c>
      <c r="P173" s="5">
        <v>2792.7721459999993</v>
      </c>
      <c r="Q173">
        <v>2491.9130967704109</v>
      </c>
      <c r="R173" s="6">
        <v>46.772300000000001</v>
      </c>
      <c r="S173" s="6">
        <v>127.98780000000001</v>
      </c>
      <c r="T173" s="6">
        <v>10486.543777777777</v>
      </c>
      <c r="U173">
        <v>1777.7777777777778</v>
      </c>
      <c r="V173" s="6">
        <f t="shared" si="7"/>
        <v>1.8965262174895554</v>
      </c>
      <c r="W173" s="6">
        <f t="shared" si="8"/>
        <v>3.4460355043470763</v>
      </c>
      <c r="X173" s="6">
        <v>3.3965328926214959</v>
      </c>
      <c r="Y173" s="6">
        <f t="shared" si="9"/>
        <v>1.6699887266061388</v>
      </c>
      <c r="Z173" s="6">
        <f t="shared" si="9"/>
        <v>2.1071685739822685</v>
      </c>
      <c r="AA173" s="6">
        <f t="shared" si="9"/>
        <v>4.0206323742212247</v>
      </c>
      <c r="AB173" s="6">
        <f t="shared" si="9"/>
        <v>3.2498774732165998</v>
      </c>
    </row>
    <row r="174" spans="1:28">
      <c r="A174" s="1">
        <v>65</v>
      </c>
      <c r="B174" s="1">
        <v>1</v>
      </c>
      <c r="C174" s="1">
        <v>1</v>
      </c>
      <c r="D174" s="1">
        <v>1</v>
      </c>
      <c r="E174" s="1">
        <v>0</v>
      </c>
      <c r="F174" s="1">
        <v>15</v>
      </c>
      <c r="G174" s="1">
        <v>6</v>
      </c>
      <c r="H174" s="1">
        <v>3</v>
      </c>
      <c r="I174" s="1">
        <v>2</v>
      </c>
      <c r="J174" s="1">
        <v>5</v>
      </c>
      <c r="K174" s="1">
        <v>5</v>
      </c>
      <c r="L174" s="1">
        <v>2</v>
      </c>
      <c r="M174" s="1">
        <v>23</v>
      </c>
      <c r="N174" s="5">
        <v>200.8</v>
      </c>
      <c r="O174" s="6">
        <v>40320.639999999999</v>
      </c>
      <c r="P174" s="5">
        <v>1889.5067760000002</v>
      </c>
      <c r="Q174">
        <v>1932.904990926173</v>
      </c>
      <c r="R174" s="6">
        <v>150.29759999999999</v>
      </c>
      <c r="S174" s="6">
        <v>247.75620000000001</v>
      </c>
      <c r="T174" s="6">
        <v>14948.985111111109</v>
      </c>
      <c r="U174">
        <v>2511.1111111111109</v>
      </c>
      <c r="V174" s="6">
        <f t="shared" si="7"/>
        <v>2.3027637084729817</v>
      </c>
      <c r="W174" s="6">
        <f t="shared" si="8"/>
        <v>3.2763484536884038</v>
      </c>
      <c r="X174" s="6">
        <v>3.2862105074529913</v>
      </c>
      <c r="Y174" s="6">
        <f t="shared" si="9"/>
        <v>2.1769520456895131</v>
      </c>
      <c r="Z174" s="6">
        <f t="shared" si="9"/>
        <v>2.3940245313393373</v>
      </c>
      <c r="AA174" s="6">
        <f t="shared" si="9"/>
        <v>4.1746117093423543</v>
      </c>
      <c r="AB174" s="6">
        <f t="shared" si="9"/>
        <v>3.399865929708076</v>
      </c>
    </row>
    <row r="175" spans="1:28">
      <c r="A175" s="1">
        <v>66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2</v>
      </c>
      <c r="J175" s="1">
        <v>0</v>
      </c>
      <c r="K175" s="1">
        <v>0</v>
      </c>
      <c r="L175" s="1">
        <v>2</v>
      </c>
      <c r="M175" s="1">
        <v>23</v>
      </c>
      <c r="N175" s="5">
        <v>14.8</v>
      </c>
      <c r="O175" s="6">
        <v>219.04</v>
      </c>
      <c r="P175" s="5">
        <v>372.25400000000002</v>
      </c>
      <c r="Q175">
        <v>370.10738405250993</v>
      </c>
      <c r="R175" s="6">
        <v>32.094799999999999</v>
      </c>
      <c r="S175" s="6">
        <v>199.2226</v>
      </c>
      <c r="T175" s="6">
        <v>3160.6524444444435</v>
      </c>
      <c r="U175">
        <v>1066.6666666666665</v>
      </c>
      <c r="V175" s="6">
        <f t="shared" si="7"/>
        <v>1.1702617153949575</v>
      </c>
      <c r="W175" s="6">
        <f t="shared" si="8"/>
        <v>2.5708393730960588</v>
      </c>
      <c r="X175" s="6">
        <v>2.5683277498377999</v>
      </c>
      <c r="Y175" s="6">
        <f t="shared" si="9"/>
        <v>1.5064346737056991</v>
      </c>
      <c r="Z175" s="6">
        <f t="shared" si="9"/>
        <v>2.2993386036587413</v>
      </c>
      <c r="AA175" s="6">
        <f t="shared" si="9"/>
        <v>3.4997767420405812</v>
      </c>
      <c r="AB175" s="6">
        <f t="shared" si="9"/>
        <v>3.0280287236002437</v>
      </c>
    </row>
    <row r="176" spans="1:28">
      <c r="A176" s="1">
        <v>67</v>
      </c>
      <c r="B176" s="1">
        <v>1</v>
      </c>
      <c r="C176" s="1">
        <v>1</v>
      </c>
      <c r="D176" s="1">
        <v>1</v>
      </c>
      <c r="E176" s="1">
        <v>0</v>
      </c>
      <c r="F176" s="1">
        <v>18</v>
      </c>
      <c r="G176" s="1">
        <v>6</v>
      </c>
      <c r="H176" s="1">
        <v>3</v>
      </c>
      <c r="I176" s="1">
        <v>2</v>
      </c>
      <c r="J176" s="1">
        <v>5</v>
      </c>
      <c r="K176" s="1">
        <v>6</v>
      </c>
      <c r="L176" s="1">
        <v>2</v>
      </c>
      <c r="M176" s="1">
        <v>23</v>
      </c>
      <c r="N176" s="5">
        <v>210.8</v>
      </c>
      <c r="O176" s="6">
        <v>44436.639999999999</v>
      </c>
      <c r="P176" s="5">
        <v>633.09170399999994</v>
      </c>
      <c r="Q176">
        <v>886.18714623428752</v>
      </c>
      <c r="R176" s="6">
        <v>68.495000000000005</v>
      </c>
      <c r="S176" s="6">
        <v>42.662600000000005</v>
      </c>
      <c r="T176" s="6">
        <v>12196.032000000003</v>
      </c>
      <c r="U176">
        <v>1488.8888888888882</v>
      </c>
      <c r="V176" s="6">
        <f t="shared" si="7"/>
        <v>2.3238706065405088</v>
      </c>
      <c r="W176" s="6">
        <f t="shared" si="8"/>
        <v>2.8014666225869775</v>
      </c>
      <c r="X176" s="6">
        <v>2.9475254464854768</v>
      </c>
      <c r="Y176" s="6">
        <f t="shared" si="9"/>
        <v>1.8356588700082768</v>
      </c>
      <c r="Z176" s="6">
        <f t="shared" si="9"/>
        <v>1.6300473192626062</v>
      </c>
      <c r="AA176" s="6">
        <f t="shared" si="9"/>
        <v>4.0862185551985242</v>
      </c>
      <c r="AB176" s="6">
        <f t="shared" si="9"/>
        <v>3.1728622889254825</v>
      </c>
    </row>
    <row r="177" spans="1:28">
      <c r="A177" s="1">
        <v>68</v>
      </c>
      <c r="B177" s="1">
        <v>1</v>
      </c>
      <c r="C177" s="1">
        <v>1</v>
      </c>
      <c r="D177" s="1">
        <v>0</v>
      </c>
      <c r="E177" s="1">
        <v>0</v>
      </c>
      <c r="F177" s="1">
        <v>8</v>
      </c>
      <c r="G177" s="1">
        <v>6</v>
      </c>
      <c r="H177" s="1">
        <v>2</v>
      </c>
      <c r="I177" s="1">
        <v>2</v>
      </c>
      <c r="J177" s="1">
        <v>3</v>
      </c>
      <c r="K177" s="1">
        <v>3</v>
      </c>
      <c r="L177" s="1">
        <v>2</v>
      </c>
      <c r="M177" s="1">
        <v>23</v>
      </c>
      <c r="N177" s="5">
        <v>0.1</v>
      </c>
      <c r="O177" s="6">
        <v>0.01</v>
      </c>
      <c r="P177" s="5">
        <v>276.57799999999997</v>
      </c>
      <c r="Q177">
        <v>213.2597056283312</v>
      </c>
      <c r="R177" s="6">
        <v>11.546300000000002</v>
      </c>
      <c r="S177" s="6">
        <v>40.705600000000004</v>
      </c>
      <c r="T177" s="6">
        <v>1068.922088888889</v>
      </c>
      <c r="U177">
        <v>244.44444444444531</v>
      </c>
      <c r="V177" s="6">
        <f t="shared" si="7"/>
        <v>-1</v>
      </c>
      <c r="W177" s="6">
        <f t="shared" si="8"/>
        <v>2.441817631815987</v>
      </c>
      <c r="X177" s="6">
        <v>2.3289088053959959</v>
      </c>
      <c r="Y177" s="6">
        <f t="shared" si="9"/>
        <v>1.0624428373001455</v>
      </c>
      <c r="Z177" s="6">
        <f t="shared" si="9"/>
        <v>1.6096541606207628</v>
      </c>
      <c r="AA177" s="6">
        <f t="shared" si="9"/>
        <v>3.0289460517020155</v>
      </c>
      <c r="AB177" s="6">
        <f t="shared" si="9"/>
        <v>2.3881801713828827</v>
      </c>
    </row>
    <row r="178" spans="1:28">
      <c r="A178" s="1">
        <v>69</v>
      </c>
      <c r="B178" s="1">
        <v>0</v>
      </c>
      <c r="C178" s="1">
        <v>1</v>
      </c>
      <c r="D178" s="1">
        <v>0</v>
      </c>
      <c r="E178" s="1">
        <v>0</v>
      </c>
      <c r="F178" s="1">
        <v>4</v>
      </c>
      <c r="G178" s="1">
        <v>6</v>
      </c>
      <c r="H178" s="1">
        <v>1</v>
      </c>
      <c r="I178" s="1">
        <v>2</v>
      </c>
      <c r="J178" s="1">
        <v>2</v>
      </c>
      <c r="K178" s="1">
        <v>2</v>
      </c>
      <c r="L178" s="1">
        <v>2</v>
      </c>
      <c r="M178" s="1">
        <v>23</v>
      </c>
      <c r="N178" s="5">
        <v>94.8</v>
      </c>
      <c r="O178" s="6">
        <v>8987.0400000000009</v>
      </c>
      <c r="P178" s="5">
        <v>372.25400000000002</v>
      </c>
      <c r="Q178">
        <v>370.10738405250993</v>
      </c>
      <c r="R178" s="6">
        <v>42.662600000000005</v>
      </c>
      <c r="S178" s="6">
        <v>47.750799999999998</v>
      </c>
      <c r="T178" s="6">
        <v>2975.9797333333331</v>
      </c>
      <c r="U178">
        <v>622.22222222222149</v>
      </c>
      <c r="V178" s="6">
        <f t="shared" si="7"/>
        <v>1.9768083373380663</v>
      </c>
      <c r="W178" s="6">
        <f t="shared" si="8"/>
        <v>2.5708393730960588</v>
      </c>
      <c r="X178" s="6">
        <v>2.5683277498377999</v>
      </c>
      <c r="Y178" s="6">
        <f t="shared" si="9"/>
        <v>1.6300473192626062</v>
      </c>
      <c r="Z178" s="6">
        <f t="shared" si="9"/>
        <v>1.6789806519967305</v>
      </c>
      <c r="AA178" s="6">
        <f t="shared" si="9"/>
        <v>3.4736299693027828</v>
      </c>
      <c r="AB178" s="6">
        <f t="shared" si="9"/>
        <v>2.793945517566875</v>
      </c>
    </row>
    <row r="179" spans="1:28">
      <c r="A179" s="1">
        <v>70</v>
      </c>
      <c r="B179" s="1">
        <v>1</v>
      </c>
      <c r="C179" s="1">
        <v>1</v>
      </c>
      <c r="D179" s="1">
        <v>1</v>
      </c>
      <c r="E179" s="1">
        <v>0</v>
      </c>
      <c r="F179" s="1">
        <v>21</v>
      </c>
      <c r="G179" s="1">
        <v>18</v>
      </c>
      <c r="H179" s="1">
        <v>3</v>
      </c>
      <c r="I179" s="1">
        <v>2</v>
      </c>
      <c r="J179" s="1">
        <v>6</v>
      </c>
      <c r="K179" s="1">
        <v>7</v>
      </c>
      <c r="L179" s="1">
        <v>2</v>
      </c>
      <c r="M179" s="1">
        <v>23</v>
      </c>
      <c r="N179" s="5">
        <v>0.1</v>
      </c>
      <c r="O179" s="6">
        <v>0.01</v>
      </c>
      <c r="P179" s="5">
        <v>228.74</v>
      </c>
      <c r="Q179">
        <v>151.29242512367793</v>
      </c>
      <c r="R179" s="6">
        <v>3.9531399999999999</v>
      </c>
      <c r="S179" s="6">
        <v>80.236999999999995</v>
      </c>
      <c r="T179" s="6">
        <v>663.79279999999972</v>
      </c>
      <c r="U179">
        <v>66.666666666667027</v>
      </c>
      <c r="V179" s="6">
        <f t="shared" si="7"/>
        <v>-1</v>
      </c>
      <c r="W179" s="6">
        <f t="shared" si="8"/>
        <v>2.3593421167723676</v>
      </c>
      <c r="X179" s="6">
        <v>2.1798171844055987</v>
      </c>
      <c r="Y179" s="6">
        <f t="shared" si="9"/>
        <v>0.59694219510462487</v>
      </c>
      <c r="Z179" s="6">
        <f t="shared" si="9"/>
        <v>1.9043746823777365</v>
      </c>
      <c r="AA179" s="6">
        <f t="shared" si="9"/>
        <v>2.8220325374108977</v>
      </c>
      <c r="AB179" s="6">
        <f t="shared" si="9"/>
        <v>1.8239087409443211</v>
      </c>
    </row>
    <row r="180" spans="1:28">
      <c r="A180" s="1">
        <v>71</v>
      </c>
      <c r="B180" s="1">
        <v>1</v>
      </c>
      <c r="C180" s="1">
        <v>0</v>
      </c>
      <c r="D180" s="1">
        <v>0</v>
      </c>
      <c r="E180" s="1">
        <v>0</v>
      </c>
      <c r="F180" s="1">
        <v>2</v>
      </c>
      <c r="G180" s="1">
        <v>6</v>
      </c>
      <c r="H180" s="1">
        <v>1</v>
      </c>
      <c r="I180" s="1">
        <v>2</v>
      </c>
      <c r="J180" s="1">
        <v>1</v>
      </c>
      <c r="K180" s="1">
        <v>1</v>
      </c>
      <c r="L180" s="1">
        <v>2</v>
      </c>
      <c r="M180" s="1">
        <v>23</v>
      </c>
      <c r="N180" s="5">
        <v>92.8</v>
      </c>
      <c r="O180" s="6">
        <v>8611.84</v>
      </c>
      <c r="P180" s="5">
        <v>826.56611399999974</v>
      </c>
      <c r="Q180">
        <v>1109.1316593513825</v>
      </c>
      <c r="R180" s="6">
        <v>172.99880000000002</v>
      </c>
      <c r="S180" s="6">
        <v>90.41340000000001</v>
      </c>
      <c r="T180" s="6">
        <v>19403.806</v>
      </c>
      <c r="U180">
        <v>3400</v>
      </c>
      <c r="V180" s="6">
        <f t="shared" si="7"/>
        <v>1.9675479762188621</v>
      </c>
      <c r="W180" s="6">
        <f t="shared" si="8"/>
        <v>2.9172775969238294</v>
      </c>
      <c r="X180" s="6">
        <v>3.0449831020878011</v>
      </c>
      <c r="Y180" s="6">
        <f t="shared" si="9"/>
        <v>2.2380430906710744</v>
      </c>
      <c r="Z180" s="6">
        <f t="shared" si="9"/>
        <v>1.9562328012141268</v>
      </c>
      <c r="AA180" s="6">
        <f t="shared" si="9"/>
        <v>4.2878869238827688</v>
      </c>
      <c r="AB180" s="6">
        <f t="shared" si="9"/>
        <v>3.5314789170422549</v>
      </c>
    </row>
    <row r="181" spans="1:28">
      <c r="A181" s="1">
        <v>72</v>
      </c>
      <c r="B181" s="1">
        <v>1</v>
      </c>
      <c r="C181" s="1">
        <v>1</v>
      </c>
      <c r="D181" s="1">
        <v>1</v>
      </c>
      <c r="E181" s="1">
        <v>0</v>
      </c>
      <c r="F181" s="1">
        <v>24</v>
      </c>
      <c r="G181" s="1">
        <v>18</v>
      </c>
      <c r="H181" s="1">
        <v>3</v>
      </c>
      <c r="I181" s="1">
        <v>2</v>
      </c>
      <c r="J181" s="1">
        <v>6</v>
      </c>
      <c r="K181" s="1">
        <v>7</v>
      </c>
      <c r="L181" s="1">
        <v>2</v>
      </c>
      <c r="M181" s="1">
        <v>23</v>
      </c>
      <c r="N181" s="5">
        <v>134.80000000000001</v>
      </c>
      <c r="O181" s="6">
        <v>18171.04</v>
      </c>
      <c r="P181" s="5">
        <v>548.78630399999975</v>
      </c>
      <c r="Q181">
        <v>751.77749061715963</v>
      </c>
      <c r="R181" s="6">
        <v>153.42880000000002</v>
      </c>
      <c r="S181" s="6">
        <v>60.667000000000002</v>
      </c>
      <c r="T181" s="6">
        <v>29193.197111111116</v>
      </c>
      <c r="U181">
        <v>5444.4444444444443</v>
      </c>
      <c r="V181" s="6">
        <f t="shared" si="7"/>
        <v>2.129689892199301</v>
      </c>
      <c r="W181" s="6">
        <f t="shared" si="8"/>
        <v>2.7394032641938728</v>
      </c>
      <c r="X181" s="6">
        <v>2.8760893181227964</v>
      </c>
      <c r="Y181" s="6">
        <f t="shared" si="9"/>
        <v>2.1859068883424397</v>
      </c>
      <c r="Z181" s="6">
        <f t="shared" si="9"/>
        <v>1.782952519492274</v>
      </c>
      <c r="AA181" s="6">
        <f t="shared" si="9"/>
        <v>4.4652816596224874</v>
      </c>
      <c r="AB181" s="6">
        <f t="shared" si="9"/>
        <v>3.7359535705891886</v>
      </c>
    </row>
    <row r="182" spans="1:28">
      <c r="A182" s="1">
        <v>73</v>
      </c>
      <c r="B182" s="1">
        <v>1</v>
      </c>
      <c r="C182" s="1">
        <v>1</v>
      </c>
      <c r="D182" s="1">
        <v>1</v>
      </c>
      <c r="E182" s="1">
        <v>0</v>
      </c>
      <c r="F182" s="1">
        <v>14</v>
      </c>
      <c r="G182" s="1">
        <v>6</v>
      </c>
      <c r="H182" s="1">
        <v>3</v>
      </c>
      <c r="I182" s="1">
        <v>2</v>
      </c>
      <c r="J182" s="1">
        <v>5</v>
      </c>
      <c r="K182" s="1">
        <v>5</v>
      </c>
      <c r="L182" s="1">
        <v>2</v>
      </c>
      <c r="M182" s="1">
        <v>23</v>
      </c>
      <c r="N182" s="5">
        <v>108.8</v>
      </c>
      <c r="O182" s="6">
        <v>11837.44</v>
      </c>
      <c r="P182" s="5">
        <v>688.64766599999939</v>
      </c>
      <c r="Q182">
        <v>957.65207001457657</v>
      </c>
      <c r="R182" s="6">
        <v>173.19450000000001</v>
      </c>
      <c r="S182" s="6">
        <v>183.958</v>
      </c>
      <c r="T182" s="6">
        <v>1915.307333333333</v>
      </c>
      <c r="U182">
        <v>400.10000000100001</v>
      </c>
      <c r="V182" s="6">
        <f t="shared" si="7"/>
        <v>2.0366288953621612</v>
      </c>
      <c r="W182" s="6">
        <f t="shared" si="8"/>
        <v>2.837997079891057</v>
      </c>
      <c r="X182" s="6">
        <v>2.9812077517521649</v>
      </c>
      <c r="Y182" s="6">
        <f t="shared" si="9"/>
        <v>2.2385340963558265</v>
      </c>
      <c r="Z182" s="6">
        <f t="shared" si="9"/>
        <v>2.2647186792576997</v>
      </c>
      <c r="AA182" s="6">
        <f t="shared" si="9"/>
        <v>3.2822384714960449</v>
      </c>
      <c r="AB182" s="6">
        <f t="shared" si="9"/>
        <v>2.6021685513800827</v>
      </c>
    </row>
    <row r="183" spans="1:28">
      <c r="A183" s="1">
        <v>74</v>
      </c>
      <c r="B183" s="1">
        <v>1</v>
      </c>
      <c r="C183" s="1">
        <v>1</v>
      </c>
      <c r="D183" s="1">
        <v>1</v>
      </c>
      <c r="E183" s="1">
        <v>0</v>
      </c>
      <c r="F183" s="1">
        <v>13</v>
      </c>
      <c r="G183" s="1">
        <v>6</v>
      </c>
      <c r="H183" s="1">
        <v>3</v>
      </c>
      <c r="I183" s="1">
        <v>2</v>
      </c>
      <c r="J183" s="1">
        <v>5</v>
      </c>
      <c r="K183" s="1">
        <v>5</v>
      </c>
      <c r="L183" s="1">
        <v>2</v>
      </c>
      <c r="M183" s="1">
        <v>23</v>
      </c>
      <c r="N183" s="5">
        <v>54.8</v>
      </c>
      <c r="O183" s="6">
        <v>3003.04</v>
      </c>
      <c r="P183" s="5">
        <v>491.84899999999993</v>
      </c>
      <c r="Q183">
        <v>628.68605239885198</v>
      </c>
      <c r="R183" s="6">
        <v>132.48890000000003</v>
      </c>
      <c r="S183" s="6">
        <v>50.490600000000001</v>
      </c>
      <c r="T183" s="6">
        <v>3203.7745333333332</v>
      </c>
      <c r="U183">
        <v>1333.333333333333</v>
      </c>
      <c r="V183" s="6">
        <f t="shared" si="7"/>
        <v>1.7387805584843692</v>
      </c>
      <c r="W183" s="6">
        <f t="shared" si="8"/>
        <v>2.6918317927425854</v>
      </c>
      <c r="X183" s="6">
        <v>2.79843382549508</v>
      </c>
      <c r="Y183" s="6">
        <f t="shared" si="9"/>
        <v>2.1221794943431456</v>
      </c>
      <c r="Z183" s="6">
        <f t="shared" si="9"/>
        <v>1.7032105316212314</v>
      </c>
      <c r="AA183" s="6">
        <f t="shared" si="9"/>
        <v>3.5056619448732973</v>
      </c>
      <c r="AB183" s="6">
        <f t="shared" si="9"/>
        <v>3.1249387366082999</v>
      </c>
    </row>
    <row r="184" spans="1:28">
      <c r="A184" s="1">
        <v>75</v>
      </c>
      <c r="B184" s="1">
        <v>0</v>
      </c>
      <c r="C184" s="1">
        <v>1</v>
      </c>
      <c r="D184" s="1">
        <v>0</v>
      </c>
      <c r="E184" s="1">
        <v>1</v>
      </c>
      <c r="F184" s="1">
        <v>6</v>
      </c>
      <c r="G184" s="1">
        <v>6</v>
      </c>
      <c r="H184" s="1">
        <v>1</v>
      </c>
      <c r="I184" s="1">
        <v>2</v>
      </c>
      <c r="J184" s="1">
        <v>2</v>
      </c>
      <c r="K184" s="1">
        <v>2</v>
      </c>
      <c r="L184" s="1">
        <v>2</v>
      </c>
      <c r="M184" s="1">
        <v>23</v>
      </c>
      <c r="N184" s="5">
        <v>4.8</v>
      </c>
      <c r="O184" s="6">
        <v>23.04</v>
      </c>
      <c r="P184" s="5">
        <v>348.33499999999998</v>
      </c>
      <c r="Q184">
        <v>326.75465307152854</v>
      </c>
      <c r="R184" s="6">
        <v>28.3765</v>
      </c>
      <c r="S184" s="6">
        <v>158.12559999999999</v>
      </c>
      <c r="T184" s="6">
        <v>1557.5536444444451</v>
      </c>
      <c r="U184">
        <v>1022.2222222222222</v>
      </c>
      <c r="V184" s="6">
        <f t="shared" si="7"/>
        <v>0.68124123737558717</v>
      </c>
      <c r="W184" s="6">
        <f t="shared" si="8"/>
        <v>2.5419971136864672</v>
      </c>
      <c r="X184" s="6">
        <v>2.5142217807633709</v>
      </c>
      <c r="Y184" s="6">
        <f t="shared" si="9"/>
        <v>1.4529588278929761</v>
      </c>
      <c r="Z184" s="6">
        <f t="shared" si="9"/>
        <v>2.1990021864325873</v>
      </c>
      <c r="AA184" s="6">
        <f t="shared" si="9"/>
        <v>3.1924430133312089</v>
      </c>
      <c r="AB184" s="6">
        <f t="shared" si="9"/>
        <v>3.0095453179062304</v>
      </c>
    </row>
    <row r="185" spans="1:28">
      <c r="A185" s="1">
        <v>76</v>
      </c>
      <c r="B185" s="1">
        <v>1</v>
      </c>
      <c r="C185" s="1">
        <v>0</v>
      </c>
      <c r="D185" s="1">
        <v>0</v>
      </c>
      <c r="E185" s="1">
        <v>0</v>
      </c>
      <c r="F185" s="1">
        <v>1</v>
      </c>
      <c r="G185" s="1">
        <v>6</v>
      </c>
      <c r="H185" s="1">
        <v>1</v>
      </c>
      <c r="I185" s="1">
        <v>2</v>
      </c>
      <c r="J185" s="1">
        <v>1</v>
      </c>
      <c r="K185" s="1">
        <v>1</v>
      </c>
      <c r="L185" s="1">
        <v>2</v>
      </c>
      <c r="M185" s="1">
        <v>23</v>
      </c>
      <c r="N185" s="5">
        <v>66.8</v>
      </c>
      <c r="O185" s="6">
        <v>4462.24</v>
      </c>
      <c r="P185" s="5">
        <v>467.93</v>
      </c>
      <c r="Q185">
        <v>571.36793872492774</v>
      </c>
      <c r="R185" s="6">
        <v>56.948700000000009</v>
      </c>
      <c r="S185" s="6">
        <v>371.83</v>
      </c>
      <c r="T185" s="6">
        <v>8629.0955555555556</v>
      </c>
      <c r="U185">
        <v>1622.2222222222208</v>
      </c>
      <c r="V185" s="6">
        <f t="shared" si="7"/>
        <v>1.8247764624755456</v>
      </c>
      <c r="W185" s="6">
        <f t="shared" si="8"/>
        <v>2.6701808896392731</v>
      </c>
      <c r="X185" s="6">
        <v>2.7569158670836504</v>
      </c>
      <c r="Y185" s="6">
        <f t="shared" si="9"/>
        <v>1.7554838146439085</v>
      </c>
      <c r="Z185" s="6">
        <f t="shared" si="9"/>
        <v>2.5703444266108302</v>
      </c>
      <c r="AA185" s="6">
        <f t="shared" si="9"/>
        <v>3.9359652782394523</v>
      </c>
      <c r="AB185" s="6">
        <f t="shared" si="9"/>
        <v>3.2101103463451119</v>
      </c>
    </row>
    <row r="186" spans="1:28">
      <c r="A186" s="1">
        <v>77</v>
      </c>
      <c r="B186" s="1">
        <v>0</v>
      </c>
      <c r="C186" s="1">
        <v>0</v>
      </c>
      <c r="D186" s="1">
        <v>0</v>
      </c>
      <c r="E186" s="1">
        <v>1</v>
      </c>
      <c r="F186" s="1">
        <v>0</v>
      </c>
      <c r="G186" s="1">
        <v>0</v>
      </c>
      <c r="H186" s="1">
        <v>0</v>
      </c>
      <c r="I186" s="1">
        <v>2</v>
      </c>
      <c r="J186" s="1">
        <v>0</v>
      </c>
      <c r="K186" s="1">
        <v>0</v>
      </c>
      <c r="L186" s="1">
        <v>2</v>
      </c>
      <c r="M186" s="1">
        <v>23</v>
      </c>
      <c r="N186" s="5">
        <v>62.8</v>
      </c>
      <c r="O186" s="6">
        <v>3943.84</v>
      </c>
      <c r="P186" s="5">
        <v>444.01099999999997</v>
      </c>
      <c r="Q186">
        <v>516.85873163577901</v>
      </c>
      <c r="R186" s="6">
        <v>8.0236999999999998</v>
      </c>
      <c r="S186" s="6">
        <v>53.230400000000003</v>
      </c>
      <c r="T186" s="6">
        <v>1436.2196444444439</v>
      </c>
      <c r="U186">
        <v>177.77777777777823</v>
      </c>
      <c r="V186" s="6">
        <f t="shared" si="7"/>
        <v>1.7979596437371961</v>
      </c>
      <c r="W186" s="6">
        <f t="shared" si="8"/>
        <v>2.6473937295293144</v>
      </c>
      <c r="X186" s="6">
        <v>2.7133718574949275</v>
      </c>
      <c r="Y186" s="6">
        <f t="shared" si="9"/>
        <v>0.90437468237773666</v>
      </c>
      <c r="Z186" s="6">
        <f t="shared" si="9"/>
        <v>1.7261597296922</v>
      </c>
      <c r="AA186" s="6">
        <f t="shared" si="9"/>
        <v>3.1572208626609433</v>
      </c>
      <c r="AB186" s="6">
        <f t="shared" si="9"/>
        <v>2.2498774732166011</v>
      </c>
    </row>
    <row r="187" spans="1:28">
      <c r="A187" s="1">
        <v>78</v>
      </c>
      <c r="B187" s="1">
        <v>1</v>
      </c>
      <c r="C187" s="1">
        <v>0</v>
      </c>
      <c r="D187" s="1">
        <v>0</v>
      </c>
      <c r="E187" s="1">
        <v>1</v>
      </c>
      <c r="F187" s="1">
        <v>1</v>
      </c>
      <c r="G187" s="1">
        <v>6</v>
      </c>
      <c r="H187" s="1">
        <v>1</v>
      </c>
      <c r="I187" s="1">
        <v>2</v>
      </c>
      <c r="J187" s="1">
        <v>1</v>
      </c>
      <c r="K187" s="1">
        <v>1</v>
      </c>
      <c r="L187" s="1">
        <v>2</v>
      </c>
      <c r="M187" s="1">
        <v>23</v>
      </c>
      <c r="N187" s="5">
        <v>22.8</v>
      </c>
      <c r="O187" s="6">
        <v>519.84</v>
      </c>
      <c r="P187" s="5">
        <v>420.09199999999998</v>
      </c>
      <c r="Q187">
        <v>465.1509008272937</v>
      </c>
      <c r="R187" s="6">
        <v>7.9062799999999998</v>
      </c>
      <c r="S187" s="6">
        <v>66.537999999999997</v>
      </c>
      <c r="T187" s="6">
        <v>950.11164444444466</v>
      </c>
      <c r="U187">
        <v>177.77777777777823</v>
      </c>
      <c r="V187" s="6">
        <f t="shared" si="7"/>
        <v>1.3579348470004537</v>
      </c>
      <c r="W187" s="6">
        <f t="shared" si="8"/>
        <v>2.6233444111525199</v>
      </c>
      <c r="X187" s="6">
        <v>2.6675938663635095</v>
      </c>
      <c r="Y187" s="6">
        <f t="shared" si="9"/>
        <v>0.89797219076860613</v>
      </c>
      <c r="Z187" s="6">
        <f t="shared" si="9"/>
        <v>1.8230697427002562</v>
      </c>
      <c r="AA187" s="6">
        <f t="shared" si="9"/>
        <v>2.9777746407807411</v>
      </c>
      <c r="AB187" s="6">
        <f t="shared" si="9"/>
        <v>2.2498774732166011</v>
      </c>
    </row>
    <row r="188" spans="1:28">
      <c r="A188" s="1">
        <v>79</v>
      </c>
      <c r="B188" s="1">
        <v>1</v>
      </c>
      <c r="C188" s="1">
        <v>1</v>
      </c>
      <c r="D188" s="1">
        <v>1</v>
      </c>
      <c r="E188" s="1">
        <v>0</v>
      </c>
      <c r="F188" s="1">
        <v>16</v>
      </c>
      <c r="G188" s="1">
        <v>6</v>
      </c>
      <c r="H188" s="1">
        <v>3</v>
      </c>
      <c r="I188" s="1">
        <v>2</v>
      </c>
      <c r="J188" s="1">
        <v>5</v>
      </c>
      <c r="K188" s="1">
        <v>6</v>
      </c>
      <c r="L188" s="1">
        <v>2</v>
      </c>
      <c r="M188" s="1">
        <v>23</v>
      </c>
      <c r="N188" s="5">
        <v>48.8</v>
      </c>
      <c r="O188" s="6">
        <v>2381.44</v>
      </c>
      <c r="P188" s="5">
        <v>420.09199999999998</v>
      </c>
      <c r="Q188">
        <v>465.1509008272937</v>
      </c>
      <c r="R188" s="6">
        <v>13.307600000000001</v>
      </c>
      <c r="S188" s="6">
        <v>86.890800000000013</v>
      </c>
      <c r="T188" s="6">
        <v>808.62488888888879</v>
      </c>
      <c r="U188">
        <v>222.22222222222243</v>
      </c>
      <c r="V188" s="6">
        <f t="shared" si="7"/>
        <v>1.6884198220027107</v>
      </c>
      <c r="W188" s="6">
        <f t="shared" si="8"/>
        <v>2.6233444111525199</v>
      </c>
      <c r="X188" s="6">
        <v>2.6675938663635095</v>
      </c>
      <c r="Y188" s="6">
        <f t="shared" si="9"/>
        <v>1.1240997383642375</v>
      </c>
      <c r="Z188" s="6">
        <f t="shared" si="9"/>
        <v>1.938973795772621</v>
      </c>
      <c r="AA188" s="6">
        <f t="shared" si="9"/>
        <v>2.9077471044732368</v>
      </c>
      <c r="AB188" s="6">
        <f t="shared" si="9"/>
        <v>2.3467874862246569</v>
      </c>
    </row>
    <row r="189" spans="1:28">
      <c r="A189" s="1">
        <v>80</v>
      </c>
      <c r="B189" s="1">
        <v>1</v>
      </c>
      <c r="C189" s="1">
        <v>1</v>
      </c>
      <c r="D189" s="1">
        <v>1</v>
      </c>
      <c r="E189" s="1">
        <v>1</v>
      </c>
      <c r="F189" s="1">
        <v>23</v>
      </c>
      <c r="G189" s="1">
        <v>18</v>
      </c>
      <c r="H189" s="1">
        <v>3</v>
      </c>
      <c r="I189" s="1">
        <v>2</v>
      </c>
      <c r="J189" s="1">
        <v>6</v>
      </c>
      <c r="K189" s="1">
        <v>7</v>
      </c>
      <c r="L189" s="1">
        <v>2</v>
      </c>
      <c r="M189" s="1">
        <v>23</v>
      </c>
      <c r="N189" s="5">
        <v>46.8</v>
      </c>
      <c r="O189" s="6">
        <v>2190.2399999999998</v>
      </c>
      <c r="P189" s="5">
        <v>396.173</v>
      </c>
      <c r="Q189">
        <v>416.23655111562346</v>
      </c>
      <c r="R189" s="6">
        <v>23.092600000000004</v>
      </c>
      <c r="S189" s="6">
        <v>27.006599999999999</v>
      </c>
      <c r="T189" s="6">
        <v>189.03</v>
      </c>
      <c r="U189">
        <v>0.1</v>
      </c>
      <c r="V189" s="6">
        <f t="shared" si="7"/>
        <v>1.670245853074124</v>
      </c>
      <c r="W189" s="6">
        <f t="shared" si="8"/>
        <v>2.5978848741541283</v>
      </c>
      <c r="X189" s="6">
        <v>2.6193402143927398</v>
      </c>
      <c r="Y189" s="6">
        <f t="shared" si="9"/>
        <v>1.3634728329641266</v>
      </c>
      <c r="Z189" s="6">
        <f t="shared" si="9"/>
        <v>1.4314699120592376</v>
      </c>
      <c r="AA189" s="6">
        <f t="shared" si="9"/>
        <v>2.2765307343347891</v>
      </c>
      <c r="AB189" s="6">
        <f t="shared" si="9"/>
        <v>-1</v>
      </c>
    </row>
    <row r="190" spans="1:28">
      <c r="A190" s="1">
        <v>81</v>
      </c>
      <c r="B190" s="1">
        <v>1</v>
      </c>
      <c r="C190" s="1">
        <v>1</v>
      </c>
      <c r="D190" s="1">
        <v>0</v>
      </c>
      <c r="E190" s="1">
        <v>0</v>
      </c>
      <c r="F190" s="1">
        <v>7</v>
      </c>
      <c r="G190" s="1">
        <v>6</v>
      </c>
      <c r="H190" s="1">
        <v>2</v>
      </c>
      <c r="I190" s="1">
        <v>2</v>
      </c>
      <c r="J190" s="1">
        <v>3</v>
      </c>
      <c r="K190" s="1">
        <v>3</v>
      </c>
      <c r="L190" s="1">
        <v>2</v>
      </c>
      <c r="M190" s="1">
        <v>23</v>
      </c>
      <c r="N190" s="5">
        <v>34.799999999999997</v>
      </c>
      <c r="O190" s="6">
        <v>1211.04</v>
      </c>
      <c r="P190" s="5">
        <v>276.57799999999997</v>
      </c>
      <c r="Q190">
        <v>213.2597056283312</v>
      </c>
      <c r="R190" s="6">
        <v>16.634499999999999</v>
      </c>
      <c r="S190" s="6">
        <v>15.656000000000001</v>
      </c>
      <c r="T190" s="6">
        <v>505.96022222222166</v>
      </c>
      <c r="U190">
        <v>133.33333333333405</v>
      </c>
      <c r="V190" s="6">
        <f t="shared" si="7"/>
        <v>1.541579243946581</v>
      </c>
      <c r="W190" s="6">
        <f t="shared" si="8"/>
        <v>2.441817631815987</v>
      </c>
      <c r="X190" s="6">
        <v>2.3289088053959959</v>
      </c>
      <c r="Y190" s="6">
        <f t="shared" si="9"/>
        <v>1.2210097513722939</v>
      </c>
      <c r="Z190" s="6">
        <f t="shared" si="9"/>
        <v>1.1946808126499449</v>
      </c>
      <c r="AA190" s="6">
        <f t="shared" si="9"/>
        <v>2.7041163746491854</v>
      </c>
      <c r="AB190" s="6">
        <f t="shared" si="9"/>
        <v>2.1249387366083021</v>
      </c>
    </row>
    <row r="191" spans="1:28">
      <c r="A191" s="1">
        <v>82</v>
      </c>
      <c r="B191" s="1">
        <v>1</v>
      </c>
      <c r="C191" s="1">
        <v>1</v>
      </c>
      <c r="D191" s="1">
        <v>1</v>
      </c>
      <c r="E191" s="1">
        <v>1</v>
      </c>
      <c r="F191" s="1">
        <v>21</v>
      </c>
      <c r="G191" s="1">
        <v>18</v>
      </c>
      <c r="H191" s="1">
        <v>3</v>
      </c>
      <c r="I191" s="1">
        <v>2</v>
      </c>
      <c r="J191" s="1">
        <v>6</v>
      </c>
      <c r="K191" s="1">
        <v>7</v>
      </c>
      <c r="L191" s="1">
        <v>2</v>
      </c>
      <c r="M191" s="1">
        <v>23</v>
      </c>
      <c r="N191" s="5">
        <v>92.8</v>
      </c>
      <c r="O191" s="6">
        <v>8611.84</v>
      </c>
      <c r="P191" s="5">
        <v>396.173</v>
      </c>
      <c r="Q191">
        <v>416.23655111562346</v>
      </c>
      <c r="R191" s="6">
        <v>1.9570000000000001</v>
      </c>
      <c r="S191" s="6">
        <v>86.108000000000004</v>
      </c>
      <c r="T191" s="6">
        <v>35.611999999999568</v>
      </c>
      <c r="U191">
        <v>0.1</v>
      </c>
      <c r="V191" s="6">
        <f t="shared" si="7"/>
        <v>1.9675479762188621</v>
      </c>
      <c r="W191" s="6">
        <f t="shared" si="8"/>
        <v>2.5978848741541283</v>
      </c>
      <c r="X191" s="6">
        <v>2.6193402143927398</v>
      </c>
      <c r="Y191" s="6">
        <f t="shared" si="9"/>
        <v>0.29159082565800121</v>
      </c>
      <c r="Z191" s="6">
        <f t="shared" si="9"/>
        <v>1.9350435021441885</v>
      </c>
      <c r="AA191" s="6">
        <f t="shared" si="9"/>
        <v>1.5515963647040998</v>
      </c>
      <c r="AB191" s="6">
        <f t="shared" si="9"/>
        <v>-1</v>
      </c>
    </row>
    <row r="192" spans="1:28">
      <c r="A192" s="1">
        <v>83</v>
      </c>
      <c r="B192" s="1">
        <v>1</v>
      </c>
      <c r="C192" s="1">
        <v>1</v>
      </c>
      <c r="D192" s="1">
        <v>1</v>
      </c>
      <c r="E192" s="1">
        <v>1</v>
      </c>
      <c r="F192" s="1">
        <v>18</v>
      </c>
      <c r="G192" s="1">
        <v>6</v>
      </c>
      <c r="H192" s="1">
        <v>3</v>
      </c>
      <c r="I192" s="1">
        <v>2</v>
      </c>
      <c r="J192" s="1">
        <v>5</v>
      </c>
      <c r="K192" s="1">
        <v>6</v>
      </c>
      <c r="L192" s="1">
        <v>2</v>
      </c>
      <c r="M192" s="1">
        <v>23</v>
      </c>
      <c r="N192" s="5">
        <v>54.8</v>
      </c>
      <c r="O192" s="6">
        <v>3003.04</v>
      </c>
      <c r="P192" s="5">
        <v>420.09199999999998</v>
      </c>
      <c r="Q192">
        <v>465.1509008272937</v>
      </c>
      <c r="R192" s="6">
        <v>2.9355000000000002</v>
      </c>
      <c r="S192" s="6">
        <v>46.967999999999996</v>
      </c>
      <c r="T192" s="6">
        <v>124.50088888888942</v>
      </c>
      <c r="U192">
        <v>44.444444444445722</v>
      </c>
      <c r="V192" s="6">
        <f t="shared" si="7"/>
        <v>1.7387805584843692</v>
      </c>
      <c r="W192" s="6">
        <f t="shared" si="8"/>
        <v>2.6233444111525199</v>
      </c>
      <c r="X192" s="6">
        <v>2.6675938663635095</v>
      </c>
      <c r="Y192" s="6">
        <f t="shared" si="9"/>
        <v>0.46768208471368244</v>
      </c>
      <c r="Z192" s="6">
        <f t="shared" si="9"/>
        <v>1.6718020673696072</v>
      </c>
      <c r="AA192" s="6">
        <f t="shared" si="9"/>
        <v>2.0951724521398805</v>
      </c>
      <c r="AB192" s="6">
        <f t="shared" si="9"/>
        <v>1.64781748188865</v>
      </c>
    </row>
    <row r="193" spans="1:28">
      <c r="A193" s="1">
        <v>84</v>
      </c>
      <c r="B193" s="1">
        <v>1</v>
      </c>
      <c r="C193" s="1">
        <v>1</v>
      </c>
      <c r="D193" s="1">
        <v>1</v>
      </c>
      <c r="E193" s="1">
        <v>1</v>
      </c>
      <c r="F193" s="1">
        <v>24</v>
      </c>
      <c r="G193" s="1">
        <v>18</v>
      </c>
      <c r="H193" s="1">
        <v>3</v>
      </c>
      <c r="I193" s="1">
        <v>2</v>
      </c>
      <c r="J193" s="1">
        <v>6</v>
      </c>
      <c r="K193" s="1">
        <v>7</v>
      </c>
      <c r="L193" s="1">
        <v>2</v>
      </c>
      <c r="M193" s="1">
        <v>23</v>
      </c>
      <c r="N193" s="5">
        <v>24.8</v>
      </c>
      <c r="O193" s="6">
        <v>615.04</v>
      </c>
      <c r="P193" s="5">
        <v>396.173</v>
      </c>
      <c r="Q193">
        <v>416.23655111562346</v>
      </c>
      <c r="R193" s="6">
        <v>23.484000000000002</v>
      </c>
      <c r="S193" s="6">
        <v>6.6538000000000004</v>
      </c>
      <c r="T193" s="6">
        <v>85.103555555556909</v>
      </c>
      <c r="U193">
        <v>0.1</v>
      </c>
      <c r="V193" s="6">
        <f t="shared" si="7"/>
        <v>1.3944516808262162</v>
      </c>
      <c r="W193" s="6">
        <f t="shared" si="8"/>
        <v>2.5978848741541283</v>
      </c>
      <c r="X193" s="6">
        <v>2.6193402143927398</v>
      </c>
      <c r="Y193" s="6">
        <f t="shared" si="9"/>
        <v>1.370772071705626</v>
      </c>
      <c r="Z193" s="6">
        <f t="shared" si="9"/>
        <v>0.82306974270025635</v>
      </c>
      <c r="AA193" s="6">
        <f t="shared" si="9"/>
        <v>1.92994770492479</v>
      </c>
      <c r="AB193" s="6">
        <f t="shared" si="9"/>
        <v>-1</v>
      </c>
    </row>
    <row r="194" spans="1:28">
      <c r="A194" s="1">
        <v>85</v>
      </c>
      <c r="B194" s="1">
        <v>1</v>
      </c>
      <c r="C194" s="1">
        <v>1</v>
      </c>
      <c r="D194" s="1">
        <v>1</v>
      </c>
      <c r="E194" s="1">
        <v>1</v>
      </c>
      <c r="F194" s="1">
        <v>20</v>
      </c>
      <c r="G194" s="1">
        <v>18</v>
      </c>
      <c r="H194" s="1">
        <v>3</v>
      </c>
      <c r="I194" s="1">
        <v>2</v>
      </c>
      <c r="J194" s="1">
        <v>6</v>
      </c>
      <c r="K194" s="1">
        <v>7</v>
      </c>
      <c r="L194" s="1">
        <v>2</v>
      </c>
      <c r="M194" s="1">
        <v>23</v>
      </c>
      <c r="N194" s="5">
        <v>24.8</v>
      </c>
      <c r="O194" s="6">
        <v>615.04</v>
      </c>
      <c r="P194" s="5">
        <v>372.25400000000002</v>
      </c>
      <c r="Q194">
        <v>370.10738405250993</v>
      </c>
      <c r="R194" s="6">
        <v>3.1312000000000002</v>
      </c>
      <c r="S194" s="6">
        <v>145.20939999999999</v>
      </c>
      <c r="T194" s="6">
        <v>284.01693333333367</v>
      </c>
      <c r="U194">
        <v>111.11111111111121</v>
      </c>
      <c r="V194" s="6">
        <f t="shared" si="7"/>
        <v>1.3944516808262162</v>
      </c>
      <c r="W194" s="6">
        <f t="shared" si="8"/>
        <v>2.5708393730960588</v>
      </c>
      <c r="X194" s="6">
        <v>2.5683277498377999</v>
      </c>
      <c r="Y194" s="6">
        <f t="shared" si="9"/>
        <v>0.495710808313926</v>
      </c>
      <c r="Z194" s="6">
        <f t="shared" si="9"/>
        <v>2.1619947309370282</v>
      </c>
      <c r="AA194" s="6">
        <f t="shared" si="9"/>
        <v>2.453344233828711</v>
      </c>
      <c r="AB194" s="6">
        <f t="shared" ref="AB194:AB257" si="10">LOG(U194)</f>
        <v>2.0457574905606757</v>
      </c>
    </row>
    <row r="195" spans="1:28">
      <c r="A195" s="1">
        <v>86</v>
      </c>
      <c r="B195" s="1">
        <v>1</v>
      </c>
      <c r="C195" s="1">
        <v>1</v>
      </c>
      <c r="D195" s="1">
        <v>1</v>
      </c>
      <c r="E195" s="1">
        <v>1</v>
      </c>
      <c r="F195" s="1">
        <v>17</v>
      </c>
      <c r="G195" s="1">
        <v>6</v>
      </c>
      <c r="H195" s="1">
        <v>3</v>
      </c>
      <c r="I195" s="1">
        <v>2</v>
      </c>
      <c r="J195" s="1">
        <v>5</v>
      </c>
      <c r="K195" s="1">
        <v>6</v>
      </c>
      <c r="L195" s="1">
        <v>2</v>
      </c>
      <c r="M195" s="1">
        <v>23</v>
      </c>
      <c r="N195" s="5">
        <v>40.799999999999997</v>
      </c>
      <c r="O195" s="6">
        <v>1664.64</v>
      </c>
      <c r="P195" s="5">
        <v>396.173</v>
      </c>
      <c r="Q195">
        <v>416.23655111562346</v>
      </c>
      <c r="R195" s="6">
        <v>21.918400000000002</v>
      </c>
      <c r="S195" s="6">
        <v>12.524800000000001</v>
      </c>
      <c r="T195" s="6">
        <v>231.13684444444374</v>
      </c>
      <c r="U195">
        <v>22.222222222221315</v>
      </c>
      <c r="V195" s="6">
        <f t="shared" ref="V195:V258" si="11">LOG(N195)</f>
        <v>1.61066016308988</v>
      </c>
      <c r="W195" s="6">
        <f t="shared" ref="W195:W258" si="12">LOG(P195)</f>
        <v>2.5978848741541283</v>
      </c>
      <c r="X195" s="6">
        <v>2.6193402143927398</v>
      </c>
      <c r="Y195" s="6">
        <f t="shared" ref="Y195:AB258" si="13">LOG(R195)</f>
        <v>1.3408088483281828</v>
      </c>
      <c r="Z195" s="6">
        <f t="shared" si="13"/>
        <v>1.0977707996418884</v>
      </c>
      <c r="AA195" s="6">
        <f t="shared" si="13"/>
        <v>2.3638691798516476</v>
      </c>
      <c r="AB195" s="6">
        <f t="shared" si="10"/>
        <v>1.3467874862246385</v>
      </c>
    </row>
    <row r="196" spans="1:28">
      <c r="A196" s="1">
        <v>87</v>
      </c>
      <c r="B196" s="1">
        <v>0</v>
      </c>
      <c r="C196" s="1">
        <v>1</v>
      </c>
      <c r="D196" s="1">
        <v>1</v>
      </c>
      <c r="E196" s="1">
        <v>0</v>
      </c>
      <c r="F196" s="1">
        <v>12</v>
      </c>
      <c r="G196" s="1">
        <v>6</v>
      </c>
      <c r="H196" s="1">
        <v>2</v>
      </c>
      <c r="I196" s="1">
        <v>2</v>
      </c>
      <c r="J196" s="1">
        <v>4</v>
      </c>
      <c r="K196" s="1">
        <v>4</v>
      </c>
      <c r="L196" s="1">
        <v>2</v>
      </c>
      <c r="M196" s="1">
        <v>23</v>
      </c>
      <c r="N196" s="5">
        <v>536.79999999999995</v>
      </c>
      <c r="O196" s="6">
        <v>288154.23999999999</v>
      </c>
      <c r="P196" s="5">
        <v>3441.9574639999992</v>
      </c>
      <c r="Q196">
        <v>2862.3488370453829</v>
      </c>
      <c r="R196" s="6">
        <v>190.8075</v>
      </c>
      <c r="S196" s="6">
        <v>17.613</v>
      </c>
      <c r="T196" s="6">
        <v>12205.868888888888</v>
      </c>
      <c r="U196">
        <v>2333.3333333333339</v>
      </c>
      <c r="V196" s="6">
        <f t="shared" si="11"/>
        <v>2.7298125071609358</v>
      </c>
      <c r="W196" s="6">
        <f t="shared" si="12"/>
        <v>3.5368054989769488</v>
      </c>
      <c r="X196" s="6">
        <v>3.4567225605110807</v>
      </c>
      <c r="Y196" s="6">
        <f t="shared" si="13"/>
        <v>2.2805954413565379</v>
      </c>
      <c r="Z196" s="6">
        <f t="shared" si="13"/>
        <v>1.2458333350973261</v>
      </c>
      <c r="AA196" s="6">
        <f t="shared" si="13"/>
        <v>4.0865687006084581</v>
      </c>
      <c r="AB196" s="6">
        <f t="shared" si="10"/>
        <v>3.3679767852945943</v>
      </c>
    </row>
    <row r="197" spans="1:28">
      <c r="A197" s="1">
        <v>88</v>
      </c>
      <c r="B197" s="1">
        <v>1</v>
      </c>
      <c r="C197" s="1">
        <v>1</v>
      </c>
      <c r="D197" s="1">
        <v>1</v>
      </c>
      <c r="E197" s="1">
        <v>1</v>
      </c>
      <c r="F197" s="1">
        <v>15</v>
      </c>
      <c r="G197" s="1">
        <v>6</v>
      </c>
      <c r="H197" s="1">
        <v>3</v>
      </c>
      <c r="I197" s="1">
        <v>2</v>
      </c>
      <c r="J197" s="1">
        <v>5</v>
      </c>
      <c r="K197" s="1">
        <v>5</v>
      </c>
      <c r="L197" s="1">
        <v>2</v>
      </c>
      <c r="M197" s="1">
        <v>23</v>
      </c>
      <c r="N197" s="5">
        <v>28.8</v>
      </c>
      <c r="O197" s="6">
        <v>829.44</v>
      </c>
      <c r="P197" s="5">
        <v>396.173</v>
      </c>
      <c r="Q197">
        <v>416.23655111562346</v>
      </c>
      <c r="R197" s="6">
        <v>36.5959</v>
      </c>
      <c r="S197" s="6">
        <v>84.542400000000001</v>
      </c>
      <c r="T197" s="6">
        <v>2771.4580888888886</v>
      </c>
      <c r="U197">
        <v>422.22222222222194</v>
      </c>
      <c r="V197" s="6">
        <f t="shared" si="11"/>
        <v>1.4593924877592308</v>
      </c>
      <c r="W197" s="6">
        <f t="shared" si="12"/>
        <v>2.5978848741541283</v>
      </c>
      <c r="X197" s="6">
        <v>2.6193402143927398</v>
      </c>
      <c r="Y197" s="6">
        <f t="shared" si="13"/>
        <v>1.5634324321945001</v>
      </c>
      <c r="Z197" s="6">
        <f t="shared" si="13"/>
        <v>1.9270745724729132</v>
      </c>
      <c r="AA197" s="6">
        <f t="shared" si="13"/>
        <v>3.4427083154011799</v>
      </c>
      <c r="AB197" s="6">
        <f t="shared" si="10"/>
        <v>2.6255410871774849</v>
      </c>
    </row>
    <row r="198" spans="1:28">
      <c r="A198" s="1">
        <v>89</v>
      </c>
      <c r="B198" s="1">
        <v>1</v>
      </c>
      <c r="C198" s="1">
        <v>0</v>
      </c>
      <c r="D198" s="1">
        <v>0</v>
      </c>
      <c r="E198" s="1">
        <v>0</v>
      </c>
      <c r="F198" s="1">
        <v>3</v>
      </c>
      <c r="G198" s="1">
        <v>6</v>
      </c>
      <c r="H198" s="1">
        <v>1</v>
      </c>
      <c r="I198" s="1">
        <v>2</v>
      </c>
      <c r="J198" s="1">
        <v>1</v>
      </c>
      <c r="K198" s="1">
        <v>1</v>
      </c>
      <c r="L198" s="1">
        <v>2</v>
      </c>
      <c r="M198" s="1">
        <v>23</v>
      </c>
      <c r="N198" s="5">
        <v>14.8</v>
      </c>
      <c r="O198" s="6">
        <v>219.04</v>
      </c>
      <c r="P198" s="5">
        <v>372.25400000000002</v>
      </c>
      <c r="Q198">
        <v>370.10738405250993</v>
      </c>
      <c r="R198" s="6">
        <v>6.4581000000000008</v>
      </c>
      <c r="S198" s="6">
        <v>299.81240000000003</v>
      </c>
      <c r="T198" s="6">
        <v>736.89702222222263</v>
      </c>
      <c r="U198">
        <v>155.55555555555691</v>
      </c>
      <c r="V198" s="6">
        <f t="shared" si="11"/>
        <v>1.1702617153949575</v>
      </c>
      <c r="W198" s="6">
        <f t="shared" si="12"/>
        <v>2.5708393730960588</v>
      </c>
      <c r="X198" s="6">
        <v>2.5683277498377999</v>
      </c>
      <c r="Y198" s="6">
        <f t="shared" si="13"/>
        <v>0.81010476553588873</v>
      </c>
      <c r="Z198" s="6">
        <f t="shared" si="13"/>
        <v>2.4768495909545862</v>
      </c>
      <c r="AA198" s="6">
        <f t="shared" si="13"/>
        <v>2.8674068015559437</v>
      </c>
      <c r="AB198" s="6">
        <f t="shared" si="10"/>
        <v>2.191885526238917</v>
      </c>
    </row>
    <row r="199" spans="1:28">
      <c r="A199" s="1">
        <v>90</v>
      </c>
      <c r="B199" s="1">
        <v>1</v>
      </c>
      <c r="C199" s="1">
        <v>1</v>
      </c>
      <c r="D199" s="1">
        <v>1</v>
      </c>
      <c r="E199" s="1">
        <v>1</v>
      </c>
      <c r="F199" s="1">
        <v>16</v>
      </c>
      <c r="G199" s="1">
        <v>6</v>
      </c>
      <c r="H199" s="1">
        <v>3</v>
      </c>
      <c r="I199" s="1">
        <v>2</v>
      </c>
      <c r="J199" s="1">
        <v>5</v>
      </c>
      <c r="K199" s="1">
        <v>6</v>
      </c>
      <c r="L199" s="1">
        <v>2</v>
      </c>
      <c r="M199" s="1">
        <v>23</v>
      </c>
      <c r="N199" s="5">
        <v>116.8</v>
      </c>
      <c r="O199" s="6">
        <v>13642.24</v>
      </c>
      <c r="P199" s="5">
        <v>491.84899999999993</v>
      </c>
      <c r="Q199">
        <v>628.68605239885198</v>
      </c>
      <c r="R199" s="6">
        <v>29.159300000000002</v>
      </c>
      <c r="S199" s="6">
        <v>44.619599999999998</v>
      </c>
      <c r="T199" s="6">
        <v>5702.4073333333326</v>
      </c>
      <c r="U199">
        <v>822.22222222222263</v>
      </c>
      <c r="V199" s="6">
        <f t="shared" si="11"/>
        <v>2.0674428427763805</v>
      </c>
      <c r="W199" s="6">
        <f t="shared" si="12"/>
        <v>2.6918317927425854</v>
      </c>
      <c r="X199" s="6">
        <v>2.79843382549508</v>
      </c>
      <c r="Y199" s="6">
        <f t="shared" si="13"/>
        <v>1.4647770940702751</v>
      </c>
      <c r="Z199" s="6">
        <f t="shared" si="13"/>
        <v>1.6495256726584548</v>
      </c>
      <c r="AA199" s="6">
        <f t="shared" si="13"/>
        <v>3.7560582365266808</v>
      </c>
      <c r="AB199" s="6">
        <f t="shared" si="10"/>
        <v>2.9149892102916515</v>
      </c>
    </row>
    <row r="200" spans="1:28">
      <c r="A200" s="1">
        <v>91</v>
      </c>
      <c r="B200" s="1">
        <v>1</v>
      </c>
      <c r="C200" s="1">
        <v>1</v>
      </c>
      <c r="D200" s="1">
        <v>1</v>
      </c>
      <c r="E200" s="1">
        <v>0</v>
      </c>
      <c r="F200" s="1">
        <v>22</v>
      </c>
      <c r="G200" s="1">
        <v>18</v>
      </c>
      <c r="H200" s="1">
        <v>3</v>
      </c>
      <c r="I200" s="1">
        <v>2</v>
      </c>
      <c r="J200" s="1">
        <v>6</v>
      </c>
      <c r="K200" s="1">
        <v>7</v>
      </c>
      <c r="L200" s="1">
        <v>2</v>
      </c>
      <c r="M200" s="1">
        <v>23</v>
      </c>
      <c r="N200" s="5">
        <v>0.1</v>
      </c>
      <c r="O200" s="6">
        <v>0.01</v>
      </c>
      <c r="P200" s="5">
        <v>252.65900000000002</v>
      </c>
      <c r="Q200">
        <v>180.91420872926417</v>
      </c>
      <c r="R200" s="6">
        <v>4.6967999999999996</v>
      </c>
      <c r="S200" s="6">
        <v>29.355</v>
      </c>
      <c r="T200" s="6">
        <v>838.78968888888824</v>
      </c>
      <c r="U200">
        <v>66.666666666667027</v>
      </c>
      <c r="V200" s="6">
        <f t="shared" si="11"/>
        <v>-1</v>
      </c>
      <c r="W200" s="6">
        <f t="shared" si="12"/>
        <v>2.402534772911558</v>
      </c>
      <c r="X200" s="6">
        <v>2.2574726770333147</v>
      </c>
      <c r="Y200" s="6">
        <f t="shared" si="13"/>
        <v>0.67180206736960713</v>
      </c>
      <c r="Z200" s="6">
        <f t="shared" si="13"/>
        <v>1.4676820847136824</v>
      </c>
      <c r="AA200" s="6">
        <f t="shared" si="13"/>
        <v>2.9236530831116396</v>
      </c>
      <c r="AB200" s="6">
        <f t="shared" si="10"/>
        <v>1.8239087409443211</v>
      </c>
    </row>
    <row r="201" spans="1:28">
      <c r="A201" s="1">
        <v>92</v>
      </c>
      <c r="B201" s="1">
        <v>1</v>
      </c>
      <c r="C201" s="1">
        <v>1</v>
      </c>
      <c r="D201" s="1">
        <v>0</v>
      </c>
      <c r="E201" s="1">
        <v>1</v>
      </c>
      <c r="F201" s="1">
        <v>7</v>
      </c>
      <c r="G201" s="1">
        <v>6</v>
      </c>
      <c r="H201" s="1">
        <v>2</v>
      </c>
      <c r="I201" s="1">
        <v>2</v>
      </c>
      <c r="J201" s="1">
        <v>3</v>
      </c>
      <c r="K201" s="1">
        <v>3</v>
      </c>
      <c r="L201" s="1">
        <v>2</v>
      </c>
      <c r="M201" s="1">
        <v>23</v>
      </c>
      <c r="N201" s="5">
        <v>6.8</v>
      </c>
      <c r="O201" s="6">
        <v>46.24</v>
      </c>
      <c r="P201" s="5">
        <v>348.33499999999998</v>
      </c>
      <c r="Q201">
        <v>326.75465307152854</v>
      </c>
      <c r="R201" s="6">
        <v>9.5893000000000015</v>
      </c>
      <c r="S201" s="6">
        <v>29.746400000000001</v>
      </c>
      <c r="T201" s="6">
        <v>1735.0276000000008</v>
      </c>
      <c r="U201">
        <v>266.66666666666663</v>
      </c>
      <c r="V201" s="6">
        <f t="shared" si="11"/>
        <v>0.83250891270623628</v>
      </c>
      <c r="W201" s="6">
        <f t="shared" si="12"/>
        <v>2.5419971136864672</v>
      </c>
      <c r="X201" s="6">
        <v>2.5142217807633709</v>
      </c>
      <c r="Y201" s="6">
        <f t="shared" si="13"/>
        <v>0.98178690568651494</v>
      </c>
      <c r="Z201" s="6">
        <f t="shared" si="13"/>
        <v>1.4734344136027737</v>
      </c>
      <c r="AA201" s="6">
        <f t="shared" si="13"/>
        <v>3.2393063877334414</v>
      </c>
      <c r="AB201" s="6">
        <f t="shared" si="10"/>
        <v>2.4259687322722812</v>
      </c>
    </row>
    <row r="202" spans="1:28">
      <c r="A202" s="1">
        <v>93</v>
      </c>
      <c r="B202" s="1">
        <v>0</v>
      </c>
      <c r="C202" s="1">
        <v>1</v>
      </c>
      <c r="D202" s="1">
        <v>1</v>
      </c>
      <c r="E202" s="1">
        <v>1</v>
      </c>
      <c r="F202" s="1">
        <v>11</v>
      </c>
      <c r="G202" s="1">
        <v>6</v>
      </c>
      <c r="H202" s="1">
        <v>2</v>
      </c>
      <c r="I202" s="1">
        <v>2</v>
      </c>
      <c r="J202" s="1">
        <v>4</v>
      </c>
      <c r="K202" s="1">
        <v>4</v>
      </c>
      <c r="L202" s="1">
        <v>2</v>
      </c>
      <c r="M202" s="1">
        <v>23</v>
      </c>
      <c r="N202" s="5">
        <v>116.8</v>
      </c>
      <c r="O202" s="6">
        <v>13642.24</v>
      </c>
      <c r="P202" s="5">
        <v>467.93</v>
      </c>
      <c r="Q202">
        <v>571.36793872492774</v>
      </c>
      <c r="R202" s="6">
        <v>67.986180000000004</v>
      </c>
      <c r="S202" s="6">
        <v>102.1554</v>
      </c>
      <c r="T202" s="6">
        <v>5964.2842222222216</v>
      </c>
      <c r="U202">
        <v>933.33333333333235</v>
      </c>
      <c r="V202" s="6">
        <f t="shared" si="11"/>
        <v>2.0674428427763805</v>
      </c>
      <c r="W202" s="6">
        <f t="shared" si="12"/>
        <v>2.6701808896392731</v>
      </c>
      <c r="X202" s="6">
        <v>2.7569158670836504</v>
      </c>
      <c r="Y202" s="6">
        <f t="shared" si="13"/>
        <v>1.832420639769081</v>
      </c>
      <c r="Z202" s="6">
        <f t="shared" si="13"/>
        <v>2.0092613286602634</v>
      </c>
      <c r="AA202" s="6">
        <f t="shared" si="13"/>
        <v>3.775558331159492</v>
      </c>
      <c r="AB202" s="6">
        <f t="shared" si="10"/>
        <v>2.9700367766225564</v>
      </c>
    </row>
    <row r="203" spans="1:28">
      <c r="A203" s="1">
        <v>94</v>
      </c>
      <c r="B203" s="1">
        <v>1</v>
      </c>
      <c r="C203" s="1">
        <v>0</v>
      </c>
      <c r="D203" s="1">
        <v>0</v>
      </c>
      <c r="E203" s="1">
        <v>1</v>
      </c>
      <c r="F203" s="1">
        <v>3</v>
      </c>
      <c r="G203" s="1">
        <v>6</v>
      </c>
      <c r="H203" s="1">
        <v>1</v>
      </c>
      <c r="I203" s="1">
        <v>2</v>
      </c>
      <c r="J203" s="1">
        <v>1</v>
      </c>
      <c r="K203" s="1">
        <v>1</v>
      </c>
      <c r="L203" s="1">
        <v>2</v>
      </c>
      <c r="M203" s="1">
        <v>23</v>
      </c>
      <c r="N203" s="5">
        <v>28.8</v>
      </c>
      <c r="O203" s="6">
        <v>829.44</v>
      </c>
      <c r="P203" s="5">
        <v>420.09199999999998</v>
      </c>
      <c r="Q203">
        <v>465.1509008272937</v>
      </c>
      <c r="R203" s="6">
        <v>118.00709999999999</v>
      </c>
      <c r="S203" s="6">
        <v>92.761800000000008</v>
      </c>
      <c r="T203" s="6">
        <v>2448.3476444444441</v>
      </c>
      <c r="U203">
        <v>555.55555555555452</v>
      </c>
      <c r="V203" s="6">
        <f t="shared" si="11"/>
        <v>1.4593924877592308</v>
      </c>
      <c r="W203" s="6">
        <f t="shared" si="12"/>
        <v>2.6233444111525199</v>
      </c>
      <c r="X203" s="6">
        <v>2.6675938663635095</v>
      </c>
      <c r="Y203" s="6">
        <f t="shared" si="13"/>
        <v>2.0719081377981525</v>
      </c>
      <c r="Z203" s="6">
        <f t="shared" si="13"/>
        <v>1.9673691673320863</v>
      </c>
      <c r="AA203" s="6">
        <f t="shared" si="13"/>
        <v>3.3888730839573631</v>
      </c>
      <c r="AB203" s="6">
        <f t="shared" si="10"/>
        <v>2.7447274948966931</v>
      </c>
    </row>
    <row r="204" spans="1:28">
      <c r="A204" s="1">
        <v>95</v>
      </c>
      <c r="B204" s="1">
        <v>1</v>
      </c>
      <c r="C204" s="1">
        <v>1</v>
      </c>
      <c r="D204" s="1">
        <v>0</v>
      </c>
      <c r="E204" s="1">
        <v>1</v>
      </c>
      <c r="F204" s="1">
        <v>8</v>
      </c>
      <c r="G204" s="1">
        <v>6</v>
      </c>
      <c r="H204" s="1">
        <v>2</v>
      </c>
      <c r="I204" s="1">
        <v>2</v>
      </c>
      <c r="J204" s="1">
        <v>3</v>
      </c>
      <c r="K204" s="1">
        <v>3</v>
      </c>
      <c r="L204" s="1">
        <v>2</v>
      </c>
      <c r="M204" s="1">
        <v>23</v>
      </c>
      <c r="N204" s="5">
        <v>22.8</v>
      </c>
      <c r="O204" s="6">
        <v>519.84</v>
      </c>
      <c r="P204" s="5">
        <v>372.25400000000002</v>
      </c>
      <c r="Q204">
        <v>370.10738405250993</v>
      </c>
      <c r="R204" s="6">
        <v>17.221600000000002</v>
      </c>
      <c r="S204" s="6">
        <v>29.355</v>
      </c>
      <c r="T204" s="6">
        <v>509.67417777777734</v>
      </c>
      <c r="U204">
        <v>66.666666666665492</v>
      </c>
      <c r="V204" s="6">
        <f t="shared" si="11"/>
        <v>1.3579348470004537</v>
      </c>
      <c r="W204" s="6">
        <f t="shared" si="12"/>
        <v>2.5708393730960588</v>
      </c>
      <c r="X204" s="6">
        <v>2.5683277498377999</v>
      </c>
      <c r="Y204" s="6">
        <f t="shared" si="13"/>
        <v>1.2360734978081698</v>
      </c>
      <c r="Z204" s="6">
        <f t="shared" si="13"/>
        <v>1.4676820847136824</v>
      </c>
      <c r="AA204" s="6">
        <f t="shared" si="13"/>
        <v>2.7072926309740279</v>
      </c>
      <c r="AB204" s="6">
        <f t="shared" si="10"/>
        <v>1.8239087409443111</v>
      </c>
    </row>
    <row r="205" spans="1:28">
      <c r="A205" s="1">
        <v>96</v>
      </c>
      <c r="B205" s="1">
        <v>1</v>
      </c>
      <c r="C205" s="1">
        <v>1</v>
      </c>
      <c r="D205" s="1">
        <v>0</v>
      </c>
      <c r="E205" s="1">
        <v>1</v>
      </c>
      <c r="F205" s="1">
        <v>9</v>
      </c>
      <c r="G205" s="1">
        <v>6</v>
      </c>
      <c r="H205" s="1">
        <v>2</v>
      </c>
      <c r="I205" s="1">
        <v>2</v>
      </c>
      <c r="J205" s="1">
        <v>3</v>
      </c>
      <c r="K205" s="1">
        <v>3</v>
      </c>
      <c r="L205" s="1">
        <v>2</v>
      </c>
      <c r="M205" s="1">
        <v>23</v>
      </c>
      <c r="N205" s="5">
        <v>20.8</v>
      </c>
      <c r="O205" s="6">
        <v>432.64</v>
      </c>
      <c r="P205" s="5">
        <v>396.173</v>
      </c>
      <c r="Q205">
        <v>416.23655111562346</v>
      </c>
      <c r="R205" s="6">
        <v>8.6108000000000011</v>
      </c>
      <c r="S205" s="6">
        <v>32.486199999999997</v>
      </c>
      <c r="T205" s="6">
        <v>485.27871111111193</v>
      </c>
      <c r="U205">
        <v>66.666666666667027</v>
      </c>
      <c r="V205" s="6">
        <f t="shared" si="11"/>
        <v>1.3180633349627615</v>
      </c>
      <c r="W205" s="6">
        <f t="shared" si="12"/>
        <v>2.5978848741541283</v>
      </c>
      <c r="X205" s="6">
        <v>2.6193402143927398</v>
      </c>
      <c r="Y205" s="6">
        <f t="shared" si="13"/>
        <v>0.93504350214418863</v>
      </c>
      <c r="Z205" s="6">
        <f t="shared" si="13"/>
        <v>1.5116989136980563</v>
      </c>
      <c r="AA205" s="6">
        <f t="shared" si="13"/>
        <v>2.6859912394921506</v>
      </c>
      <c r="AB205" s="6">
        <f t="shared" si="10"/>
        <v>1.8239087409443211</v>
      </c>
    </row>
    <row r="206" spans="1:28">
      <c r="A206" s="1">
        <v>97</v>
      </c>
      <c r="B206" s="1">
        <v>1</v>
      </c>
      <c r="C206" s="1">
        <v>1</v>
      </c>
      <c r="D206" s="1">
        <v>1</v>
      </c>
      <c r="E206" s="1">
        <v>1</v>
      </c>
      <c r="F206" s="1">
        <v>19</v>
      </c>
      <c r="G206" s="1">
        <v>6</v>
      </c>
      <c r="H206" s="1">
        <v>3</v>
      </c>
      <c r="I206" s="1">
        <v>2</v>
      </c>
      <c r="J206" s="1">
        <v>5</v>
      </c>
      <c r="K206" s="1">
        <v>6</v>
      </c>
      <c r="L206" s="1">
        <v>2</v>
      </c>
      <c r="M206" s="1">
        <v>23</v>
      </c>
      <c r="N206" s="5">
        <v>4.8</v>
      </c>
      <c r="O206" s="6">
        <v>23.04</v>
      </c>
      <c r="P206" s="5">
        <v>372.25400000000002</v>
      </c>
      <c r="Q206">
        <v>370.10738405250993</v>
      </c>
      <c r="R206" s="6">
        <v>7.2409000000000008</v>
      </c>
      <c r="S206" s="6">
        <v>9.3935999999999993</v>
      </c>
      <c r="T206" s="6">
        <v>745.98679999999979</v>
      </c>
      <c r="U206">
        <v>88.888888888888346</v>
      </c>
      <c r="V206" s="6">
        <f t="shared" si="11"/>
        <v>0.68124123737558717</v>
      </c>
      <c r="W206" s="6">
        <f t="shared" si="12"/>
        <v>2.5708393730960588</v>
      </c>
      <c r="X206" s="6">
        <v>2.5683277498377999</v>
      </c>
      <c r="Y206" s="6">
        <f t="shared" si="13"/>
        <v>0.85979254972499619</v>
      </c>
      <c r="Z206" s="6">
        <f t="shared" si="13"/>
        <v>0.97283206303358838</v>
      </c>
      <c r="AA206" s="6">
        <f t="shared" si="13"/>
        <v>2.8727311428374409</v>
      </c>
      <c r="AB206" s="6">
        <f t="shared" si="10"/>
        <v>1.9488474775526161</v>
      </c>
    </row>
    <row r="207" spans="1:28">
      <c r="A207" s="1">
        <v>98</v>
      </c>
      <c r="B207" s="1">
        <v>1</v>
      </c>
      <c r="C207" s="1">
        <v>1</v>
      </c>
      <c r="D207" s="1">
        <v>1</v>
      </c>
      <c r="E207" s="1">
        <v>1</v>
      </c>
      <c r="F207" s="1">
        <v>25</v>
      </c>
      <c r="G207" s="1">
        <v>18</v>
      </c>
      <c r="H207" s="1">
        <v>3</v>
      </c>
      <c r="I207" s="1">
        <v>2</v>
      </c>
      <c r="J207" s="1">
        <v>6</v>
      </c>
      <c r="K207" s="1">
        <v>7</v>
      </c>
      <c r="L207" s="1">
        <v>2</v>
      </c>
      <c r="M207" s="1">
        <v>23</v>
      </c>
      <c r="N207" s="5">
        <v>16.8</v>
      </c>
      <c r="O207" s="6">
        <v>282.24</v>
      </c>
      <c r="P207" s="5">
        <v>372.25400000000002</v>
      </c>
      <c r="Q207">
        <v>370.10738405250993</v>
      </c>
      <c r="R207" s="6">
        <v>11.898560000000002</v>
      </c>
      <c r="S207" s="6">
        <v>11.741999999999999</v>
      </c>
      <c r="T207" s="6">
        <v>2611.9528444444441</v>
      </c>
      <c r="U207">
        <v>1488.8888888888882</v>
      </c>
      <c r="V207" s="6">
        <f t="shared" si="11"/>
        <v>1.2253092817258628</v>
      </c>
      <c r="W207" s="6">
        <f t="shared" si="12"/>
        <v>2.5708393730960588</v>
      </c>
      <c r="X207" s="6">
        <v>2.5683277498377999</v>
      </c>
      <c r="Y207" s="6">
        <f t="shared" si="13"/>
        <v>1.0754944049307362</v>
      </c>
      <c r="Z207" s="6">
        <f t="shared" si="13"/>
        <v>1.0697420760416447</v>
      </c>
      <c r="AA207" s="6">
        <f t="shared" si="13"/>
        <v>3.4169653320278321</v>
      </c>
      <c r="AB207" s="6">
        <f t="shared" si="10"/>
        <v>3.1728622889254825</v>
      </c>
    </row>
    <row r="208" spans="1:28">
      <c r="A208" s="1">
        <v>99</v>
      </c>
      <c r="B208" s="1">
        <v>1</v>
      </c>
      <c r="C208" s="1">
        <v>1</v>
      </c>
      <c r="D208" s="1">
        <v>1</v>
      </c>
      <c r="E208" s="1">
        <v>0</v>
      </c>
      <c r="F208" s="1">
        <v>26</v>
      </c>
      <c r="G208" s="1">
        <v>18</v>
      </c>
      <c r="H208" s="1">
        <v>3</v>
      </c>
      <c r="I208" s="1">
        <v>2</v>
      </c>
      <c r="J208" s="1">
        <v>6</v>
      </c>
      <c r="K208" s="1">
        <v>7</v>
      </c>
      <c r="L208" s="1">
        <v>2</v>
      </c>
      <c r="M208" s="1">
        <v>23</v>
      </c>
      <c r="N208" s="5">
        <v>0.1</v>
      </c>
      <c r="O208" s="6">
        <v>0.01</v>
      </c>
      <c r="P208" s="5">
        <v>324.41599999999994</v>
      </c>
      <c r="Q208">
        <v>286.16911061471131</v>
      </c>
      <c r="R208" s="6">
        <v>29.276720000000001</v>
      </c>
      <c r="S208" s="6">
        <v>58.318600000000004</v>
      </c>
      <c r="T208" s="6">
        <v>2243.6043555555561</v>
      </c>
      <c r="U208">
        <v>800</v>
      </c>
      <c r="V208" s="6">
        <f t="shared" si="11"/>
        <v>-1</v>
      </c>
      <c r="W208" s="6">
        <f t="shared" si="12"/>
        <v>2.5111022652072887</v>
      </c>
      <c r="X208" s="6">
        <v>2.4566227537648708</v>
      </c>
      <c r="Y208" s="6">
        <f t="shared" si="13"/>
        <v>1.4665224191864437</v>
      </c>
      <c r="Z208" s="6">
        <f t="shared" si="13"/>
        <v>1.7658070897342564</v>
      </c>
      <c r="AA208" s="6">
        <f t="shared" si="13"/>
        <v>3.3509462744431611</v>
      </c>
      <c r="AB208" s="6">
        <f t="shared" si="10"/>
        <v>2.9030899869919438</v>
      </c>
    </row>
    <row r="209" spans="1:28">
      <c r="A209" s="1">
        <v>100</v>
      </c>
      <c r="B209" s="1">
        <v>1</v>
      </c>
      <c r="C209" s="1">
        <v>1</v>
      </c>
      <c r="D209" s="1">
        <v>1</v>
      </c>
      <c r="E209" s="1">
        <v>1</v>
      </c>
      <c r="F209" s="1">
        <v>22</v>
      </c>
      <c r="G209" s="1">
        <v>18</v>
      </c>
      <c r="H209" s="1">
        <v>3</v>
      </c>
      <c r="I209" s="1">
        <v>2</v>
      </c>
      <c r="J209" s="1">
        <v>6</v>
      </c>
      <c r="K209" s="1">
        <v>7</v>
      </c>
      <c r="L209" s="1">
        <v>2</v>
      </c>
      <c r="M209" s="1">
        <v>23</v>
      </c>
      <c r="N209" s="5">
        <v>0.8</v>
      </c>
      <c r="O209" s="6">
        <v>0.64</v>
      </c>
      <c r="P209" s="5">
        <v>324.41599999999994</v>
      </c>
      <c r="Q209">
        <v>286.16911061471131</v>
      </c>
      <c r="R209" s="6">
        <v>5.9884200000000005</v>
      </c>
      <c r="S209" s="6">
        <v>47.750799999999998</v>
      </c>
      <c r="T209" s="6">
        <v>6225.0031111111102</v>
      </c>
      <c r="U209">
        <v>800</v>
      </c>
      <c r="V209" s="6">
        <f t="shared" si="11"/>
        <v>-9.6910013008056392E-2</v>
      </c>
      <c r="W209" s="6">
        <f t="shared" si="12"/>
        <v>2.5111022652072887</v>
      </c>
      <c r="X209" s="6">
        <v>2.4566227537648708</v>
      </c>
      <c r="Y209" s="6">
        <f t="shared" si="13"/>
        <v>0.77731225213958122</v>
      </c>
      <c r="Z209" s="6">
        <f t="shared" si="13"/>
        <v>1.6789806519967305</v>
      </c>
      <c r="AA209" s="6">
        <f t="shared" si="13"/>
        <v>3.7941395728180631</v>
      </c>
      <c r="AB209" s="6">
        <f t="shared" si="10"/>
        <v>2.9030899869919438</v>
      </c>
    </row>
    <row r="210" spans="1:28">
      <c r="A210" s="1">
        <v>101</v>
      </c>
      <c r="B210" s="1">
        <v>1</v>
      </c>
      <c r="C210" s="1">
        <v>1</v>
      </c>
      <c r="D210" s="1">
        <v>1</v>
      </c>
      <c r="E210" s="1">
        <v>1</v>
      </c>
      <c r="F210" s="1">
        <v>13</v>
      </c>
      <c r="G210" s="1">
        <v>6</v>
      </c>
      <c r="H210" s="1">
        <v>3</v>
      </c>
      <c r="I210" s="1">
        <v>2</v>
      </c>
      <c r="J210" s="1">
        <v>5</v>
      </c>
      <c r="K210" s="1">
        <v>5</v>
      </c>
      <c r="L210" s="1">
        <v>2</v>
      </c>
      <c r="M210" s="1">
        <v>23</v>
      </c>
      <c r="N210" s="5">
        <v>26.8</v>
      </c>
      <c r="O210" s="6">
        <v>718.24</v>
      </c>
      <c r="P210" s="5">
        <v>348.33499999999998</v>
      </c>
      <c r="Q210">
        <v>326.75465307152854</v>
      </c>
      <c r="R210" s="6">
        <v>38.513760000000005</v>
      </c>
      <c r="S210" s="6">
        <v>37.183</v>
      </c>
      <c r="T210" s="6">
        <v>3838.3463999999999</v>
      </c>
      <c r="U210">
        <v>2244.4444444444439</v>
      </c>
      <c r="V210" s="6">
        <f t="shared" si="11"/>
        <v>1.4281347940287887</v>
      </c>
      <c r="W210" s="6">
        <f t="shared" si="12"/>
        <v>2.5419971136864672</v>
      </c>
      <c r="X210" s="6">
        <v>2.5142217807633709</v>
      </c>
      <c r="Y210" s="6">
        <f t="shared" si="13"/>
        <v>1.5856159197533239</v>
      </c>
      <c r="Z210" s="6">
        <f t="shared" si="13"/>
        <v>1.5703444266108302</v>
      </c>
      <c r="AA210" s="6">
        <f t="shared" si="13"/>
        <v>3.5841441660273712</v>
      </c>
      <c r="AB210" s="6">
        <f t="shared" si="10"/>
        <v>3.3511088600072987</v>
      </c>
    </row>
    <row r="211" spans="1:28">
      <c r="A211" s="1">
        <v>102</v>
      </c>
      <c r="B211" s="1">
        <v>0</v>
      </c>
      <c r="C211" s="1">
        <v>1</v>
      </c>
      <c r="D211" s="1">
        <v>0</v>
      </c>
      <c r="E211" s="1">
        <v>1</v>
      </c>
      <c r="F211" s="1">
        <v>4</v>
      </c>
      <c r="G211" s="1">
        <v>6</v>
      </c>
      <c r="H211" s="1">
        <v>1</v>
      </c>
      <c r="I211" s="1">
        <v>2</v>
      </c>
      <c r="J211" s="1">
        <v>2</v>
      </c>
      <c r="K211" s="1">
        <v>2</v>
      </c>
      <c r="L211" s="1">
        <v>2</v>
      </c>
      <c r="M211" s="1">
        <v>23</v>
      </c>
      <c r="N211" s="5">
        <v>2.8</v>
      </c>
      <c r="O211" s="6">
        <v>7.84</v>
      </c>
      <c r="P211" s="5">
        <v>252.65900000000002</v>
      </c>
      <c r="Q211">
        <v>180.91420872926417</v>
      </c>
      <c r="R211" s="6">
        <v>7.5148799999999998</v>
      </c>
      <c r="S211" s="6">
        <v>3.9140000000000001</v>
      </c>
      <c r="T211" s="6">
        <v>426.5687111111103</v>
      </c>
      <c r="U211">
        <v>133.33333333333252</v>
      </c>
      <c r="V211" s="6">
        <f t="shared" si="11"/>
        <v>0.44715803134221921</v>
      </c>
      <c r="W211" s="6">
        <f t="shared" si="12"/>
        <v>2.402534772911558</v>
      </c>
      <c r="X211" s="6">
        <v>2.2574726770333147</v>
      </c>
      <c r="Y211" s="6">
        <f t="shared" si="13"/>
        <v>0.87592205002553192</v>
      </c>
      <c r="Z211" s="6">
        <f t="shared" si="13"/>
        <v>0.59262082132198235</v>
      </c>
      <c r="AA211" s="6">
        <f t="shared" si="13"/>
        <v>2.6299889967061425</v>
      </c>
      <c r="AB211" s="6">
        <f t="shared" si="10"/>
        <v>2.1249387366082972</v>
      </c>
    </row>
    <row r="212" spans="1:28">
      <c r="A212" s="1">
        <v>103</v>
      </c>
      <c r="B212" s="1">
        <v>0</v>
      </c>
      <c r="C212" s="1">
        <v>1</v>
      </c>
      <c r="D212" s="1">
        <v>1</v>
      </c>
      <c r="E212" s="1">
        <v>1</v>
      </c>
      <c r="F212" s="1">
        <v>10</v>
      </c>
      <c r="G212" s="1">
        <v>6</v>
      </c>
      <c r="H212" s="1">
        <v>2</v>
      </c>
      <c r="I212" s="1">
        <v>2</v>
      </c>
      <c r="J212" s="1">
        <v>4</v>
      </c>
      <c r="K212" s="1">
        <v>4</v>
      </c>
      <c r="L212" s="1">
        <v>2</v>
      </c>
      <c r="M212" s="1">
        <v>23</v>
      </c>
      <c r="N212" s="5">
        <v>76.8</v>
      </c>
      <c r="O212" s="6">
        <v>5898.24</v>
      </c>
      <c r="P212" s="5">
        <v>467.93</v>
      </c>
      <c r="Q212">
        <v>571.36793872492774</v>
      </c>
      <c r="R212" s="6">
        <v>4.0314199999999998</v>
      </c>
      <c r="S212" s="6">
        <v>39.14</v>
      </c>
      <c r="T212" s="6">
        <v>2327.982399999999</v>
      </c>
      <c r="U212">
        <v>133.33333333333252</v>
      </c>
      <c r="V212" s="6">
        <f t="shared" si="11"/>
        <v>1.885361220031512</v>
      </c>
      <c r="W212" s="6">
        <f t="shared" si="12"/>
        <v>2.6701808896392731</v>
      </c>
      <c r="X212" s="6">
        <v>2.7569158670836504</v>
      </c>
      <c r="Y212" s="6">
        <f t="shared" si="13"/>
        <v>0.60545804602715458</v>
      </c>
      <c r="Z212" s="6">
        <f t="shared" si="13"/>
        <v>1.5926208213219823</v>
      </c>
      <c r="AA212" s="6">
        <f t="shared" si="13"/>
        <v>3.3669796926394593</v>
      </c>
      <c r="AB212" s="6">
        <f t="shared" si="10"/>
        <v>2.1249387366082972</v>
      </c>
    </row>
    <row r="213" spans="1:28">
      <c r="A213" s="1">
        <v>104</v>
      </c>
      <c r="B213" s="1">
        <v>0</v>
      </c>
      <c r="C213" s="1">
        <v>1</v>
      </c>
      <c r="D213" s="1">
        <v>1</v>
      </c>
      <c r="E213" s="1">
        <v>1</v>
      </c>
      <c r="F213" s="1">
        <v>12</v>
      </c>
      <c r="G213" s="1">
        <v>6</v>
      </c>
      <c r="H213" s="1">
        <v>2</v>
      </c>
      <c r="I213" s="1">
        <v>2</v>
      </c>
      <c r="J213" s="1">
        <v>4</v>
      </c>
      <c r="K213" s="1">
        <v>4</v>
      </c>
      <c r="L213" s="1">
        <v>2</v>
      </c>
      <c r="M213" s="1">
        <v>23</v>
      </c>
      <c r="N213" s="5">
        <v>74.8</v>
      </c>
      <c r="O213" s="6">
        <v>5595.04</v>
      </c>
      <c r="P213" s="5">
        <v>491.84899999999993</v>
      </c>
      <c r="Q213">
        <v>628.68605239885198</v>
      </c>
      <c r="R213" s="6">
        <v>3.2877600000000005</v>
      </c>
      <c r="S213" s="6">
        <v>57.144399999999997</v>
      </c>
      <c r="T213" s="6">
        <v>879.32013333333236</v>
      </c>
      <c r="U213">
        <v>0.1</v>
      </c>
      <c r="V213" s="6">
        <f t="shared" si="11"/>
        <v>1.8739015978644613</v>
      </c>
      <c r="W213" s="6">
        <f t="shared" si="12"/>
        <v>2.6918317927425854</v>
      </c>
      <c r="X213" s="6">
        <v>2.79843382549508</v>
      </c>
      <c r="Y213" s="6">
        <f t="shared" si="13"/>
        <v>0.51690010738386405</v>
      </c>
      <c r="Z213" s="6">
        <f t="shared" si="13"/>
        <v>1.7569736771064195</v>
      </c>
      <c r="AA213" s="6">
        <f t="shared" si="13"/>
        <v>2.9441470170856161</v>
      </c>
      <c r="AB213" s="6">
        <f t="shared" si="10"/>
        <v>-1</v>
      </c>
    </row>
    <row r="214" spans="1:28">
      <c r="A214" s="1">
        <v>105</v>
      </c>
      <c r="B214" s="1">
        <v>1</v>
      </c>
      <c r="C214" s="1">
        <v>1</v>
      </c>
      <c r="D214" s="1">
        <v>1</v>
      </c>
      <c r="E214" s="1">
        <v>1</v>
      </c>
      <c r="F214" s="1">
        <v>14</v>
      </c>
      <c r="G214" s="1">
        <v>6</v>
      </c>
      <c r="H214" s="1">
        <v>3</v>
      </c>
      <c r="I214" s="1">
        <v>2</v>
      </c>
      <c r="J214" s="1">
        <v>5</v>
      </c>
      <c r="K214" s="1">
        <v>5</v>
      </c>
      <c r="L214" s="1">
        <v>2</v>
      </c>
      <c r="M214" s="1">
        <v>23</v>
      </c>
      <c r="N214" s="5">
        <v>14.8</v>
      </c>
      <c r="O214" s="6">
        <v>219.04</v>
      </c>
      <c r="P214" s="5">
        <v>372.25400000000002</v>
      </c>
      <c r="Q214">
        <v>370.10738405250993</v>
      </c>
      <c r="R214" s="6">
        <v>23.327440000000003</v>
      </c>
      <c r="S214" s="6">
        <v>26.223800000000001</v>
      </c>
      <c r="T214" s="6">
        <v>90449.094755555561</v>
      </c>
      <c r="U214">
        <v>1088.8888888888878</v>
      </c>
      <c r="V214" s="6">
        <f t="shared" si="11"/>
        <v>1.1702617153949575</v>
      </c>
      <c r="W214" s="6">
        <f t="shared" si="12"/>
        <v>2.5708393730960588</v>
      </c>
      <c r="X214" s="6">
        <v>2.5683277498377999</v>
      </c>
      <c r="Y214" s="6">
        <f t="shared" si="13"/>
        <v>1.3678670810622189</v>
      </c>
      <c r="Z214" s="6">
        <f t="shared" si="13"/>
        <v>1.4186956240228088</v>
      </c>
      <c r="AA214" s="6">
        <f t="shared" si="13"/>
        <v>4.9564042246548228</v>
      </c>
      <c r="AB214" s="6">
        <f t="shared" si="10"/>
        <v>3.0369835662531695</v>
      </c>
    </row>
    <row r="215" spans="1:28">
      <c r="A215" s="1">
        <v>106</v>
      </c>
      <c r="B215" s="1">
        <v>1</v>
      </c>
      <c r="C215" s="1">
        <v>1</v>
      </c>
      <c r="D215" s="1">
        <v>1</v>
      </c>
      <c r="E215" s="1">
        <v>0</v>
      </c>
      <c r="F215" s="1">
        <v>19</v>
      </c>
      <c r="G215" s="1">
        <v>6</v>
      </c>
      <c r="H215" s="1">
        <v>3</v>
      </c>
      <c r="I215" s="1">
        <v>2</v>
      </c>
      <c r="J215" s="1">
        <v>5</v>
      </c>
      <c r="K215" s="1">
        <v>6</v>
      </c>
      <c r="L215" s="1">
        <v>2</v>
      </c>
      <c r="M215" s="1">
        <v>23</v>
      </c>
      <c r="N215" s="5">
        <v>10.8</v>
      </c>
      <c r="O215" s="6">
        <v>116.64</v>
      </c>
      <c r="P215" s="5">
        <v>396.173</v>
      </c>
      <c r="Q215">
        <v>416.23655111562346</v>
      </c>
      <c r="R215" s="6">
        <v>23.288300000000003</v>
      </c>
      <c r="S215" s="6">
        <v>980.45699999999999</v>
      </c>
      <c r="T215" s="6">
        <v>6806.4051555555561</v>
      </c>
      <c r="U215">
        <v>2666.6666666666661</v>
      </c>
      <c r="V215" s="6">
        <f t="shared" si="11"/>
        <v>1.0334237554869496</v>
      </c>
      <c r="W215" s="6">
        <f t="shared" si="12"/>
        <v>2.5978848741541283</v>
      </c>
      <c r="X215" s="6">
        <v>2.6193402143927398</v>
      </c>
      <c r="Y215" s="6">
        <f t="shared" si="13"/>
        <v>1.3671377870505319</v>
      </c>
      <c r="Z215" s="6">
        <f t="shared" si="13"/>
        <v>2.9914285515252468</v>
      </c>
      <c r="AA215" s="6">
        <f t="shared" si="13"/>
        <v>3.8329177971819206</v>
      </c>
      <c r="AB215" s="6">
        <f t="shared" si="10"/>
        <v>3.4259687322722812</v>
      </c>
    </row>
    <row r="216" spans="1:28">
      <c r="A216" s="1">
        <v>107</v>
      </c>
      <c r="B216" s="1">
        <v>1</v>
      </c>
      <c r="C216" s="1">
        <v>1</v>
      </c>
      <c r="D216" s="1">
        <v>1</v>
      </c>
      <c r="E216" s="1">
        <v>1</v>
      </c>
      <c r="F216" s="1">
        <v>26</v>
      </c>
      <c r="G216" s="1">
        <v>18</v>
      </c>
      <c r="H216" s="1">
        <v>3</v>
      </c>
      <c r="I216" s="1">
        <v>2</v>
      </c>
      <c r="J216" s="1">
        <v>6</v>
      </c>
      <c r="K216" s="1">
        <v>7</v>
      </c>
      <c r="L216" s="1">
        <v>2</v>
      </c>
      <c r="M216" s="1">
        <v>23</v>
      </c>
      <c r="N216" s="5">
        <v>0.1</v>
      </c>
      <c r="O216" s="6">
        <v>0.01</v>
      </c>
      <c r="P216" s="5">
        <v>324.41599999999994</v>
      </c>
      <c r="Q216">
        <v>286.16911061471131</v>
      </c>
      <c r="R216" s="6">
        <v>18.278380000000002</v>
      </c>
      <c r="S216" s="6">
        <v>111.1576</v>
      </c>
      <c r="T216" s="6">
        <v>523.23911111111147</v>
      </c>
      <c r="U216">
        <v>66.666666666667027</v>
      </c>
      <c r="V216" s="6">
        <f t="shared" si="11"/>
        <v>-1</v>
      </c>
      <c r="W216" s="6">
        <f t="shared" si="12"/>
        <v>2.5111022652072887</v>
      </c>
      <c r="X216" s="6">
        <v>2.4566227537648708</v>
      </c>
      <c r="Y216" s="6">
        <f t="shared" si="13"/>
        <v>1.2619377018880946</v>
      </c>
      <c r="Z216" s="6">
        <f t="shared" si="13"/>
        <v>2.0459391613690201</v>
      </c>
      <c r="AA216" s="6">
        <f t="shared" si="13"/>
        <v>2.7187001992017144</v>
      </c>
      <c r="AB216" s="6">
        <f t="shared" si="10"/>
        <v>1.8239087409443211</v>
      </c>
    </row>
    <row r="217" spans="1:28">
      <c r="A217" s="1">
        <v>108</v>
      </c>
      <c r="B217" s="1">
        <v>1</v>
      </c>
      <c r="C217" s="1">
        <v>0</v>
      </c>
      <c r="D217" s="1">
        <v>0</v>
      </c>
      <c r="E217" s="1">
        <v>1</v>
      </c>
      <c r="F217" s="1">
        <v>2</v>
      </c>
      <c r="G217" s="1">
        <v>6</v>
      </c>
      <c r="H217" s="1">
        <v>1</v>
      </c>
      <c r="I217" s="1">
        <v>2</v>
      </c>
      <c r="J217" s="1">
        <v>1</v>
      </c>
      <c r="K217" s="1">
        <v>1</v>
      </c>
      <c r="L217" s="1">
        <v>2</v>
      </c>
      <c r="M217" s="1">
        <v>23</v>
      </c>
      <c r="N217" s="5">
        <v>76.8</v>
      </c>
      <c r="O217" s="6">
        <v>5898.24</v>
      </c>
      <c r="P217" s="5">
        <v>467.93</v>
      </c>
      <c r="Q217">
        <v>571.36793872492774</v>
      </c>
      <c r="R217" s="6">
        <v>10.489520000000001</v>
      </c>
      <c r="S217" s="6">
        <v>68.495000000000005</v>
      </c>
      <c r="T217" s="6">
        <v>3244.8304444444443</v>
      </c>
      <c r="U217">
        <v>488.88888888888897</v>
      </c>
      <c r="V217" s="6">
        <f t="shared" si="11"/>
        <v>1.885361220031512</v>
      </c>
      <c r="W217" s="6">
        <f t="shared" si="12"/>
        <v>2.6701808896392731</v>
      </c>
      <c r="X217" s="6">
        <v>2.7569158670836504</v>
      </c>
      <c r="Y217" s="6">
        <f t="shared" si="13"/>
        <v>1.0207556153507713</v>
      </c>
      <c r="Z217" s="6">
        <f t="shared" si="13"/>
        <v>1.8356588700082768</v>
      </c>
      <c r="AA217" s="6">
        <f t="shared" si="13"/>
        <v>3.5111920080805983</v>
      </c>
      <c r="AB217" s="6">
        <f t="shared" si="10"/>
        <v>2.6892101670468627</v>
      </c>
    </row>
    <row r="218" spans="1:28">
      <c r="A218" s="1">
        <v>1</v>
      </c>
      <c r="B218" s="1">
        <v>1</v>
      </c>
      <c r="C218" s="1">
        <v>1</v>
      </c>
      <c r="D218" s="1">
        <v>1</v>
      </c>
      <c r="E218" s="1">
        <v>0</v>
      </c>
      <c r="F218" s="1">
        <v>14</v>
      </c>
      <c r="G218" s="1">
        <v>6</v>
      </c>
      <c r="H218" s="1">
        <v>3</v>
      </c>
      <c r="I218" s="1">
        <v>1</v>
      </c>
      <c r="J218" s="1">
        <v>5</v>
      </c>
      <c r="K218" s="1">
        <v>5</v>
      </c>
      <c r="L218" s="1">
        <v>3</v>
      </c>
      <c r="M218" s="1">
        <v>48</v>
      </c>
      <c r="N218" s="5">
        <v>84.2</v>
      </c>
      <c r="O218" s="6">
        <v>7089.64</v>
      </c>
      <c r="P218" s="5">
        <v>436.72399999999999</v>
      </c>
      <c r="Q218">
        <v>489.94357643123311</v>
      </c>
      <c r="R218" s="6">
        <v>29.9421</v>
      </c>
      <c r="S218" s="6">
        <v>75.442350000000005</v>
      </c>
      <c r="T218" s="6">
        <v>2243.7903111111114</v>
      </c>
      <c r="U218" s="6">
        <v>1066.6666666666665</v>
      </c>
      <c r="V218" s="6">
        <f t="shared" si="11"/>
        <v>1.9253120914996495</v>
      </c>
      <c r="W218" s="6">
        <f t="shared" si="12"/>
        <v>2.6402070590639153</v>
      </c>
      <c r="X218" s="6">
        <v>2.6901460680784766</v>
      </c>
      <c r="Y218" s="6">
        <f t="shared" si="13"/>
        <v>1.4762822564756</v>
      </c>
      <c r="Z218" s="6">
        <f t="shared" si="13"/>
        <v>1.8776152080449771</v>
      </c>
      <c r="AA218" s="6">
        <f t="shared" si="13"/>
        <v>3.3509822683673427</v>
      </c>
      <c r="AB218" s="6">
        <f t="shared" si="10"/>
        <v>3.0280287236002437</v>
      </c>
    </row>
    <row r="219" spans="1:28">
      <c r="A219" s="1">
        <v>2</v>
      </c>
      <c r="B219" s="1">
        <v>1</v>
      </c>
      <c r="C219" s="1">
        <v>1</v>
      </c>
      <c r="D219" s="1">
        <v>1</v>
      </c>
      <c r="E219" s="1">
        <v>0</v>
      </c>
      <c r="F219" s="1">
        <v>15</v>
      </c>
      <c r="G219" s="1">
        <v>6</v>
      </c>
      <c r="H219" s="1">
        <v>3</v>
      </c>
      <c r="I219" s="1">
        <v>1</v>
      </c>
      <c r="J219" s="1">
        <v>5</v>
      </c>
      <c r="K219" s="1">
        <v>5</v>
      </c>
      <c r="L219" s="1">
        <v>3</v>
      </c>
      <c r="M219" s="1">
        <v>48</v>
      </c>
      <c r="N219" s="5">
        <v>62.2</v>
      </c>
      <c r="O219" s="6">
        <v>3868.84</v>
      </c>
      <c r="P219" s="5">
        <v>494.45962399999962</v>
      </c>
      <c r="Q219">
        <v>653.40675387780539</v>
      </c>
      <c r="R219" s="6">
        <v>30.920600000000004</v>
      </c>
      <c r="S219" s="6">
        <v>214.0958</v>
      </c>
      <c r="T219" s="6">
        <v>2712.8410666666664</v>
      </c>
      <c r="U219" s="6">
        <v>911.11111111111086</v>
      </c>
      <c r="V219" s="6">
        <f t="shared" si="11"/>
        <v>1.7937903846908188</v>
      </c>
      <c r="W219" s="6">
        <f t="shared" si="12"/>
        <v>2.6941308342751373</v>
      </c>
      <c r="X219" s="6">
        <v>2.8151836192069162</v>
      </c>
      <c r="Y219" s="6">
        <f t="shared" si="13"/>
        <v>1.490247912612424</v>
      </c>
      <c r="Z219" s="6">
        <f t="shared" si="13"/>
        <v>2.330608147655413</v>
      </c>
      <c r="AA219" s="6">
        <f t="shared" si="13"/>
        <v>3.4334243511182052</v>
      </c>
      <c r="AB219" s="6">
        <f t="shared" si="10"/>
        <v>2.9595713429443915</v>
      </c>
    </row>
    <row r="220" spans="1:28">
      <c r="A220" s="1">
        <v>3</v>
      </c>
      <c r="B220" s="1">
        <v>1</v>
      </c>
      <c r="C220" s="1">
        <v>1</v>
      </c>
      <c r="D220" s="1">
        <v>1</v>
      </c>
      <c r="E220" s="1">
        <v>0</v>
      </c>
      <c r="F220" s="1">
        <v>13</v>
      </c>
      <c r="G220" s="1">
        <v>6</v>
      </c>
      <c r="H220" s="1">
        <v>3</v>
      </c>
      <c r="I220" s="1">
        <v>1</v>
      </c>
      <c r="J220" s="1">
        <v>5</v>
      </c>
      <c r="K220" s="1">
        <v>5</v>
      </c>
      <c r="L220" s="1">
        <v>3</v>
      </c>
      <c r="M220" s="1">
        <v>48</v>
      </c>
      <c r="N220" s="5">
        <v>104.2</v>
      </c>
      <c r="O220" s="6">
        <v>10857.64</v>
      </c>
      <c r="P220" s="5">
        <v>494.45962399999962</v>
      </c>
      <c r="Q220">
        <v>653.40675387780539</v>
      </c>
      <c r="R220" s="6">
        <v>54.2089</v>
      </c>
      <c r="S220" s="6">
        <v>137.38139999999999</v>
      </c>
      <c r="T220" s="6">
        <v>5398.4592888888883</v>
      </c>
      <c r="U220" s="6">
        <v>1511.1111111111113</v>
      </c>
      <c r="V220" s="6">
        <f t="shared" si="11"/>
        <v>2.0178677189635055</v>
      </c>
      <c r="W220" s="6">
        <f t="shared" si="12"/>
        <v>2.6941308342751373</v>
      </c>
      <c r="X220" s="6">
        <v>2.8151836192069162</v>
      </c>
      <c r="Y220" s="6">
        <f t="shared" si="13"/>
        <v>1.7340705947224497</v>
      </c>
      <c r="Z220" s="6">
        <f t="shared" si="13"/>
        <v>2.1379279377878064</v>
      </c>
      <c r="AA220" s="6">
        <f t="shared" si="13"/>
        <v>3.732269830599289</v>
      </c>
      <c r="AB220" s="6">
        <f t="shared" si="10"/>
        <v>3.1792963989308927</v>
      </c>
    </row>
    <row r="221" spans="1:28">
      <c r="A221" s="1">
        <v>4</v>
      </c>
      <c r="B221" s="1">
        <v>1</v>
      </c>
      <c r="C221" s="1">
        <v>0</v>
      </c>
      <c r="D221" s="1">
        <v>0</v>
      </c>
      <c r="E221" s="1">
        <v>0</v>
      </c>
      <c r="F221" s="1">
        <v>1</v>
      </c>
      <c r="G221" s="1">
        <v>6</v>
      </c>
      <c r="H221" s="1">
        <v>1</v>
      </c>
      <c r="I221" s="1">
        <v>1</v>
      </c>
      <c r="J221" s="1">
        <v>1</v>
      </c>
      <c r="K221" s="1">
        <v>1</v>
      </c>
      <c r="L221" s="1">
        <v>3</v>
      </c>
      <c r="M221" s="1">
        <v>48</v>
      </c>
      <c r="N221" s="5">
        <v>160.19999999999999</v>
      </c>
      <c r="O221" s="6">
        <v>25664.04</v>
      </c>
      <c r="P221" s="5">
        <v>2304.8495999999996</v>
      </c>
      <c r="Q221">
        <v>2042.9976126944223</v>
      </c>
      <c r="R221" s="6">
        <v>161.84390000000002</v>
      </c>
      <c r="S221" s="6">
        <v>346.38900000000001</v>
      </c>
      <c r="T221" s="6">
        <v>17177.001555555551</v>
      </c>
      <c r="U221" s="6">
        <v>5066.6666666666652</v>
      </c>
      <c r="V221" s="6">
        <f t="shared" si="11"/>
        <v>2.2046625117482188</v>
      </c>
      <c r="W221" s="6">
        <f t="shared" si="12"/>
        <v>3.3626425913216975</v>
      </c>
      <c r="X221" s="6">
        <v>3.3102678591462777</v>
      </c>
      <c r="Y221" s="6">
        <f t="shared" si="13"/>
        <v>2.2090963352105479</v>
      </c>
      <c r="Z221" s="6">
        <f t="shared" si="13"/>
        <v>2.5395640920198077</v>
      </c>
      <c r="AA221" s="6">
        <f t="shared" si="13"/>
        <v>4.2349473549825554</v>
      </c>
      <c r="AB221" s="6">
        <f t="shared" si="10"/>
        <v>3.70472233322511</v>
      </c>
    </row>
    <row r="222" spans="1:28">
      <c r="A222" s="1">
        <v>5</v>
      </c>
      <c r="B222" s="1">
        <v>1</v>
      </c>
      <c r="C222" s="1">
        <v>1</v>
      </c>
      <c r="D222" s="1">
        <v>0</v>
      </c>
      <c r="E222" s="1">
        <v>0</v>
      </c>
      <c r="F222" s="1">
        <v>8</v>
      </c>
      <c r="G222" s="1">
        <v>6</v>
      </c>
      <c r="H222" s="1">
        <v>2</v>
      </c>
      <c r="I222" s="1">
        <v>1</v>
      </c>
      <c r="J222" s="1">
        <v>3</v>
      </c>
      <c r="K222" s="1">
        <v>3</v>
      </c>
      <c r="L222" s="1">
        <v>3</v>
      </c>
      <c r="M222" s="1">
        <v>48</v>
      </c>
      <c r="N222" s="5">
        <v>98.2</v>
      </c>
      <c r="O222" s="6">
        <v>9643.24</v>
      </c>
      <c r="P222" s="5">
        <v>460.53400000000005</v>
      </c>
      <c r="Q222">
        <v>541.74638768079785</v>
      </c>
      <c r="R222" s="6">
        <v>56.753</v>
      </c>
      <c r="S222" s="6">
        <v>62.624000000000002</v>
      </c>
      <c r="T222" s="6">
        <v>849.86675555555576</v>
      </c>
      <c r="U222" s="6">
        <v>266.66666666666663</v>
      </c>
      <c r="V222" s="6">
        <f t="shared" si="11"/>
        <v>1.9921114877869497</v>
      </c>
      <c r="W222" s="6">
        <f t="shared" si="12"/>
        <v>2.6632616985226694</v>
      </c>
      <c r="X222" s="6">
        <v>2.7337960241625492</v>
      </c>
      <c r="Y222" s="6">
        <f t="shared" si="13"/>
        <v>1.7539888235569572</v>
      </c>
      <c r="Z222" s="6">
        <f t="shared" si="13"/>
        <v>1.7967408039779071</v>
      </c>
      <c r="AA222" s="6">
        <f t="shared" si="13"/>
        <v>2.929350841169553</v>
      </c>
      <c r="AB222" s="6">
        <f t="shared" si="10"/>
        <v>2.4259687322722812</v>
      </c>
    </row>
    <row r="223" spans="1:28">
      <c r="A223" s="1">
        <v>6</v>
      </c>
      <c r="B223" s="1">
        <v>1</v>
      </c>
      <c r="C223" s="1">
        <v>0</v>
      </c>
      <c r="D223" s="1">
        <v>0</v>
      </c>
      <c r="E223" s="1">
        <v>0</v>
      </c>
      <c r="F223" s="1">
        <v>2</v>
      </c>
      <c r="G223" s="1">
        <v>6</v>
      </c>
      <c r="H223" s="1">
        <v>1</v>
      </c>
      <c r="I223" s="1">
        <v>1</v>
      </c>
      <c r="J223" s="1">
        <v>1</v>
      </c>
      <c r="K223" s="1">
        <v>1</v>
      </c>
      <c r="L223" s="1">
        <v>3</v>
      </c>
      <c r="M223" s="1">
        <v>48</v>
      </c>
      <c r="N223" s="5">
        <v>42.2</v>
      </c>
      <c r="O223" s="6">
        <v>1780.84</v>
      </c>
      <c r="P223" s="5">
        <v>412.91399999999999</v>
      </c>
      <c r="Q223">
        <v>440.81533572388372</v>
      </c>
      <c r="R223" s="6">
        <v>12.524800000000001</v>
      </c>
      <c r="S223" s="6">
        <v>713.13080000000002</v>
      </c>
      <c r="T223" s="6">
        <v>940.02822222222221</v>
      </c>
      <c r="U223" s="6">
        <v>288.88888888888795</v>
      </c>
      <c r="V223" s="6">
        <f t="shared" si="11"/>
        <v>1.6253124509616739</v>
      </c>
      <c r="W223" s="6">
        <f t="shared" si="12"/>
        <v>2.6158596080373835</v>
      </c>
      <c r="X223" s="6">
        <v>2.6442566949735031</v>
      </c>
      <c r="Y223" s="6">
        <f t="shared" si="13"/>
        <v>1.0977707996418884</v>
      </c>
      <c r="Z223" s="6">
        <f t="shared" si="13"/>
        <v>2.8531691939589616</v>
      </c>
      <c r="AA223" s="6">
        <f t="shared" si="13"/>
        <v>2.9731408925054281</v>
      </c>
      <c r="AB223" s="6">
        <f t="shared" si="10"/>
        <v>2.4607308385314917</v>
      </c>
    </row>
    <row r="224" spans="1:28">
      <c r="A224" s="1">
        <v>7</v>
      </c>
      <c r="B224" s="1">
        <v>1</v>
      </c>
      <c r="C224" s="1">
        <v>1</v>
      </c>
      <c r="D224" s="1">
        <v>1</v>
      </c>
      <c r="E224" s="1">
        <v>0</v>
      </c>
      <c r="F224" s="1">
        <v>24</v>
      </c>
      <c r="G224" s="1">
        <v>18</v>
      </c>
      <c r="H224" s="1">
        <v>3</v>
      </c>
      <c r="I224" s="1">
        <v>1</v>
      </c>
      <c r="J224" s="1">
        <v>6</v>
      </c>
      <c r="K224" s="1">
        <v>7</v>
      </c>
      <c r="L224" s="1">
        <v>3</v>
      </c>
      <c r="M224" s="1">
        <v>48</v>
      </c>
      <c r="N224" s="5">
        <v>228.2</v>
      </c>
      <c r="O224" s="6">
        <v>52075.24</v>
      </c>
      <c r="P224" s="5">
        <v>1000.9533439999996</v>
      </c>
      <c r="Q224">
        <v>1290.1292815374122</v>
      </c>
      <c r="R224" s="6">
        <v>115.46300000000002</v>
      </c>
      <c r="S224" s="6">
        <v>401.57639999999998</v>
      </c>
      <c r="T224" s="6">
        <v>16481.289111111109</v>
      </c>
      <c r="U224" s="6">
        <v>8133.333333333333</v>
      </c>
      <c r="V224" s="6">
        <f t="shared" si="11"/>
        <v>2.3583156400821959</v>
      </c>
      <c r="W224" s="6">
        <f t="shared" si="12"/>
        <v>3.0004138348064191</v>
      </c>
      <c r="X224" s="6">
        <v>3.1106332323496817</v>
      </c>
      <c r="Y224" s="6">
        <f t="shared" si="13"/>
        <v>2.0624428373001455</v>
      </c>
      <c r="Z224" s="6">
        <f t="shared" si="13"/>
        <v>2.6037681820977796</v>
      </c>
      <c r="AA224" s="6">
        <f t="shared" si="13"/>
        <v>4.2169911777462064</v>
      </c>
      <c r="AB224" s="6">
        <f t="shared" si="10"/>
        <v>3.910268571619067</v>
      </c>
    </row>
    <row r="225" spans="1:28">
      <c r="A225" s="1">
        <v>8</v>
      </c>
      <c r="B225" s="1">
        <v>1</v>
      </c>
      <c r="C225" s="1">
        <v>1</v>
      </c>
      <c r="D225" s="1">
        <v>1</v>
      </c>
      <c r="E225" s="1">
        <v>0</v>
      </c>
      <c r="F225" s="1">
        <v>26</v>
      </c>
      <c r="G225" s="1">
        <v>18</v>
      </c>
      <c r="H225" s="1">
        <v>3</v>
      </c>
      <c r="I225" s="1">
        <v>1</v>
      </c>
      <c r="J225" s="1">
        <v>6</v>
      </c>
      <c r="K225" s="1">
        <v>7</v>
      </c>
      <c r="L225" s="1">
        <v>3</v>
      </c>
      <c r="M225" s="1">
        <v>48</v>
      </c>
      <c r="N225" s="5">
        <v>132.19999999999999</v>
      </c>
      <c r="O225" s="6">
        <v>17476.84</v>
      </c>
      <c r="P225" s="5">
        <v>894.4598160000005</v>
      </c>
      <c r="Q225">
        <v>1208.4518928791804</v>
      </c>
      <c r="R225" s="6">
        <v>145.60080000000002</v>
      </c>
      <c r="S225" s="6">
        <v>347.95460000000003</v>
      </c>
      <c r="T225" s="6">
        <v>9349.8078222222248</v>
      </c>
      <c r="U225" s="6">
        <v>3422.2222222222231</v>
      </c>
      <c r="V225" s="6">
        <f t="shared" si="11"/>
        <v>2.1212314551496214</v>
      </c>
      <c r="W225" s="6">
        <f t="shared" si="12"/>
        <v>2.9515608344713438</v>
      </c>
      <c r="X225" s="6">
        <v>3.0822293663092766</v>
      </c>
      <c r="Y225" s="6">
        <f t="shared" si="13"/>
        <v>2.1631637612038799</v>
      </c>
      <c r="Z225" s="6">
        <f t="shared" si="13"/>
        <v>2.5415225822921963</v>
      </c>
      <c r="AA225" s="6">
        <f t="shared" si="13"/>
        <v>3.9708026843905744</v>
      </c>
      <c r="AB225" s="6">
        <f t="shared" si="10"/>
        <v>3.5343082070611196</v>
      </c>
    </row>
    <row r="226" spans="1:28">
      <c r="A226" s="1">
        <v>9</v>
      </c>
      <c r="B226" s="1">
        <v>1</v>
      </c>
      <c r="C226" s="1">
        <v>1</v>
      </c>
      <c r="D226" s="1">
        <v>1</v>
      </c>
      <c r="E226" s="1">
        <v>0</v>
      </c>
      <c r="F226" s="1">
        <v>21</v>
      </c>
      <c r="G226" s="1">
        <v>18</v>
      </c>
      <c r="H226" s="1">
        <v>3</v>
      </c>
      <c r="I226" s="1">
        <v>1</v>
      </c>
      <c r="J226" s="1">
        <v>6</v>
      </c>
      <c r="K226" s="1">
        <v>7</v>
      </c>
      <c r="L226" s="1">
        <v>3</v>
      </c>
      <c r="M226" s="1">
        <v>48</v>
      </c>
      <c r="N226" s="5">
        <v>144.19999999999999</v>
      </c>
      <c r="O226" s="6">
        <v>20793.64</v>
      </c>
      <c r="P226" s="5">
        <v>3527.7934000000005</v>
      </c>
      <c r="Q226">
        <v>2604.0064485828088</v>
      </c>
      <c r="R226" s="6">
        <v>188.65480000000002</v>
      </c>
      <c r="S226" s="6">
        <v>282.19940000000003</v>
      </c>
      <c r="T226" s="6">
        <v>21697.023898412699</v>
      </c>
      <c r="U226" s="6">
        <v>6222.2222222222226</v>
      </c>
      <c r="V226" s="6">
        <f t="shared" si="11"/>
        <v>2.1589652603834102</v>
      </c>
      <c r="W226" s="6">
        <f t="shared" si="12"/>
        <v>3.5475031433908413</v>
      </c>
      <c r="X226" s="6">
        <v>3.4156420553878832</v>
      </c>
      <c r="Y226" s="6">
        <f t="shared" si="13"/>
        <v>2.2756678595608322</v>
      </c>
      <c r="Z226" s="6">
        <f t="shared" si="13"/>
        <v>2.4505560860414115</v>
      </c>
      <c r="AA226" s="6">
        <f t="shared" si="13"/>
        <v>4.3364001673445225</v>
      </c>
      <c r="AB226" s="6">
        <f t="shared" si="10"/>
        <v>3.7939455175668755</v>
      </c>
    </row>
    <row r="227" spans="1:28">
      <c r="A227" s="1">
        <v>10</v>
      </c>
      <c r="B227" s="1">
        <v>1</v>
      </c>
      <c r="C227" s="1">
        <v>1</v>
      </c>
      <c r="D227" s="1">
        <v>1</v>
      </c>
      <c r="E227" s="1">
        <v>0</v>
      </c>
      <c r="F227" s="1">
        <v>25</v>
      </c>
      <c r="G227" s="1">
        <v>18</v>
      </c>
      <c r="H227" s="1">
        <v>3</v>
      </c>
      <c r="I227" s="1">
        <v>1</v>
      </c>
      <c r="J227" s="1">
        <v>6</v>
      </c>
      <c r="K227" s="1">
        <v>7</v>
      </c>
      <c r="L227" s="1">
        <v>3</v>
      </c>
      <c r="M227" s="1">
        <v>48</v>
      </c>
      <c r="N227" s="5">
        <v>116.2</v>
      </c>
      <c r="O227" s="6">
        <v>13502.44</v>
      </c>
      <c r="P227" s="5">
        <v>650.30390400000033</v>
      </c>
      <c r="Q227">
        <v>979.87306892780521</v>
      </c>
      <c r="R227" s="6">
        <v>143.64380000000003</v>
      </c>
      <c r="S227" s="6">
        <v>122.5082</v>
      </c>
      <c r="T227" s="6">
        <v>10763.547911111109</v>
      </c>
      <c r="U227" s="6">
        <v>3844.4444444444434</v>
      </c>
      <c r="V227" s="6">
        <f t="shared" si="11"/>
        <v>2.0652061280543119</v>
      </c>
      <c r="W227" s="6">
        <f t="shared" si="12"/>
        <v>2.8131163612362058</v>
      </c>
      <c r="X227" s="6">
        <v>2.9911698215756468</v>
      </c>
      <c r="Y227" s="6">
        <f t="shared" si="13"/>
        <v>2.1572868855740719</v>
      </c>
      <c r="Z227" s="6">
        <f t="shared" si="13"/>
        <v>2.0881651588684309</v>
      </c>
      <c r="AA227" s="6">
        <f t="shared" si="13"/>
        <v>4.0319554483045525</v>
      </c>
      <c r="AB227" s="6">
        <f t="shared" si="10"/>
        <v>3.5848335893534515</v>
      </c>
    </row>
    <row r="228" spans="1:28">
      <c r="A228" s="1">
        <v>11</v>
      </c>
      <c r="B228" s="1">
        <v>1</v>
      </c>
      <c r="C228" s="1">
        <v>1</v>
      </c>
      <c r="D228" s="1">
        <v>1</v>
      </c>
      <c r="E228" s="1">
        <v>0</v>
      </c>
      <c r="F228" s="1">
        <v>20</v>
      </c>
      <c r="G228" s="1">
        <v>18</v>
      </c>
      <c r="H228" s="1">
        <v>3</v>
      </c>
      <c r="I228" s="1">
        <v>1</v>
      </c>
      <c r="J228" s="1">
        <v>6</v>
      </c>
      <c r="K228" s="1">
        <v>7</v>
      </c>
      <c r="L228" s="1">
        <v>3</v>
      </c>
      <c r="M228" s="1">
        <v>48</v>
      </c>
      <c r="N228" s="5">
        <v>152.19999999999999</v>
      </c>
      <c r="O228" s="6">
        <v>23164.84</v>
      </c>
      <c r="P228" s="5">
        <v>2524.3301360000023</v>
      </c>
      <c r="Q228">
        <v>2149.6067732334968</v>
      </c>
      <c r="R228" s="6">
        <v>120.9426</v>
      </c>
      <c r="S228" s="6">
        <v>367.13320000000004</v>
      </c>
      <c r="T228" s="6">
        <v>6439.1014285714264</v>
      </c>
      <c r="U228" s="6">
        <v>1888.8888888888878</v>
      </c>
      <c r="V228" s="6">
        <f t="shared" si="11"/>
        <v>2.182414652434554</v>
      </c>
      <c r="W228" s="6">
        <f t="shared" si="12"/>
        <v>3.4021461520250211</v>
      </c>
      <c r="X228" s="6">
        <v>3.3323590218533301</v>
      </c>
      <c r="Y228" s="6">
        <f t="shared" si="13"/>
        <v>2.0825793007468172</v>
      </c>
      <c r="Z228" s="6">
        <f t="shared" si="13"/>
        <v>2.5648236597010468</v>
      </c>
      <c r="AA228" s="6">
        <f t="shared" si="13"/>
        <v>3.8088252661422781</v>
      </c>
      <c r="AB228" s="6">
        <f t="shared" si="10"/>
        <v>3.2762064119389489</v>
      </c>
    </row>
    <row r="229" spans="1:28">
      <c r="A229" s="1">
        <v>12</v>
      </c>
      <c r="B229" s="1">
        <v>1</v>
      </c>
      <c r="C229" s="1">
        <v>1</v>
      </c>
      <c r="D229" s="1">
        <v>1</v>
      </c>
      <c r="E229" s="1">
        <v>1</v>
      </c>
      <c r="F229" s="1">
        <v>18</v>
      </c>
      <c r="G229" s="1">
        <v>6</v>
      </c>
      <c r="H229" s="1">
        <v>3</v>
      </c>
      <c r="I229" s="1">
        <v>1</v>
      </c>
      <c r="J229" s="1">
        <v>5</v>
      </c>
      <c r="K229" s="1">
        <v>6</v>
      </c>
      <c r="L229" s="1">
        <v>3</v>
      </c>
      <c r="M229" s="1">
        <v>48</v>
      </c>
      <c r="N229" s="5">
        <v>54.2</v>
      </c>
      <c r="O229" s="6">
        <v>2937.64</v>
      </c>
      <c r="P229" s="5">
        <v>341.48399999999998</v>
      </c>
      <c r="Q229">
        <v>309.39368226742988</v>
      </c>
      <c r="R229" s="6">
        <v>30.059519999999999</v>
      </c>
      <c r="S229" s="6">
        <v>56.753</v>
      </c>
      <c r="T229" s="6">
        <v>1067.6603111111117</v>
      </c>
      <c r="U229" s="6">
        <v>555.55555555555611</v>
      </c>
      <c r="V229" s="6">
        <f t="shared" si="11"/>
        <v>1.7339992865383869</v>
      </c>
      <c r="W229" s="6">
        <f t="shared" si="12"/>
        <v>2.5333703599223933</v>
      </c>
      <c r="X229" s="6">
        <v>2.4905114412818796</v>
      </c>
      <c r="Y229" s="6">
        <f t="shared" si="13"/>
        <v>1.4779820413534943</v>
      </c>
      <c r="Z229" s="6">
        <f t="shared" si="13"/>
        <v>1.7539888235569572</v>
      </c>
      <c r="AA229" s="6">
        <f t="shared" si="13"/>
        <v>3.0284330986888466</v>
      </c>
      <c r="AB229" s="6">
        <f t="shared" si="10"/>
        <v>2.7447274948966944</v>
      </c>
    </row>
    <row r="230" spans="1:28">
      <c r="A230" s="1">
        <v>13</v>
      </c>
      <c r="B230" s="1">
        <v>1</v>
      </c>
      <c r="C230" s="1">
        <v>1</v>
      </c>
      <c r="D230" s="1">
        <v>1</v>
      </c>
      <c r="E230" s="1">
        <v>1</v>
      </c>
      <c r="F230" s="1">
        <v>25</v>
      </c>
      <c r="G230" s="1">
        <v>18</v>
      </c>
      <c r="H230" s="1">
        <v>3</v>
      </c>
      <c r="I230" s="1">
        <v>1</v>
      </c>
      <c r="J230" s="1">
        <v>6</v>
      </c>
      <c r="K230" s="1">
        <v>7</v>
      </c>
      <c r="L230" s="1">
        <v>3</v>
      </c>
      <c r="M230" s="1">
        <v>48</v>
      </c>
      <c r="N230" s="5">
        <v>142.19999999999999</v>
      </c>
      <c r="O230" s="6">
        <v>20220.84</v>
      </c>
      <c r="P230" s="5">
        <v>389.10399999999998</v>
      </c>
      <c r="Q230">
        <v>394.35344357187671</v>
      </c>
      <c r="R230" s="6">
        <v>24.775620000000004</v>
      </c>
      <c r="S230" s="6">
        <v>99.024199999999993</v>
      </c>
      <c r="T230" s="6">
        <v>833.61391111111084</v>
      </c>
      <c r="U230" s="6">
        <v>488.88888888888897</v>
      </c>
      <c r="V230" s="6">
        <f t="shared" si="11"/>
        <v>2.1528995963937474</v>
      </c>
      <c r="W230" s="6">
        <f t="shared" si="12"/>
        <v>2.5900656953861083</v>
      </c>
      <c r="X230" s="6">
        <v>2.5958856375234856</v>
      </c>
      <c r="Y230" s="6">
        <f t="shared" si="13"/>
        <v>1.3940245313393376</v>
      </c>
      <c r="Z230" s="6">
        <f t="shared" si="13"/>
        <v>1.9957413424978003</v>
      </c>
      <c r="AA230" s="6">
        <f t="shared" si="13"/>
        <v>2.9209649533983266</v>
      </c>
      <c r="AB230" s="6">
        <f t="shared" si="10"/>
        <v>2.6892101670468627</v>
      </c>
    </row>
    <row r="231" spans="1:28">
      <c r="A231" s="1">
        <v>14</v>
      </c>
      <c r="B231" s="1">
        <v>1</v>
      </c>
      <c r="C231" s="1">
        <v>1</v>
      </c>
      <c r="D231" s="1">
        <v>1</v>
      </c>
      <c r="E231" s="1">
        <v>1</v>
      </c>
      <c r="F231" s="1">
        <v>14</v>
      </c>
      <c r="G231" s="1">
        <v>6</v>
      </c>
      <c r="H231" s="1">
        <v>3</v>
      </c>
      <c r="I231" s="1">
        <v>1</v>
      </c>
      <c r="J231" s="1">
        <v>5</v>
      </c>
      <c r="K231" s="1">
        <v>5</v>
      </c>
      <c r="L231" s="1">
        <v>3</v>
      </c>
      <c r="M231" s="1">
        <v>48</v>
      </c>
      <c r="N231" s="5">
        <v>36.200000000000003</v>
      </c>
      <c r="O231" s="6">
        <v>1310.44</v>
      </c>
      <c r="P231" s="5">
        <v>341.48399999999998</v>
      </c>
      <c r="Q231">
        <v>309.39368226742988</v>
      </c>
      <c r="R231" s="6">
        <v>24.775620000000004</v>
      </c>
      <c r="S231" s="6">
        <v>642.67880000000002</v>
      </c>
      <c r="T231" s="6">
        <v>826.82604444444348</v>
      </c>
      <c r="U231" s="6">
        <v>488.88888888888897</v>
      </c>
      <c r="V231" s="6">
        <f t="shared" si="11"/>
        <v>1.5587085705331658</v>
      </c>
      <c r="W231" s="6">
        <f t="shared" si="12"/>
        <v>2.5333703599223933</v>
      </c>
      <c r="X231" s="6">
        <v>2.4905114412818796</v>
      </c>
      <c r="Y231" s="6">
        <f t="shared" si="13"/>
        <v>1.3940245313393376</v>
      </c>
      <c r="Z231" s="6">
        <f t="shared" si="13"/>
        <v>2.8079939741054045</v>
      </c>
      <c r="AA231" s="6">
        <f t="shared" si="13"/>
        <v>2.9174141481443661</v>
      </c>
      <c r="AB231" s="6">
        <f t="shared" si="10"/>
        <v>2.6892101670468627</v>
      </c>
    </row>
    <row r="232" spans="1:28">
      <c r="A232" s="1">
        <v>15</v>
      </c>
      <c r="B232" s="1">
        <v>1</v>
      </c>
      <c r="C232" s="1">
        <v>1</v>
      </c>
      <c r="D232" s="1">
        <v>1</v>
      </c>
      <c r="E232" s="1">
        <v>0</v>
      </c>
      <c r="F232" s="1">
        <v>18</v>
      </c>
      <c r="G232" s="1">
        <v>6</v>
      </c>
      <c r="H232" s="1">
        <v>3</v>
      </c>
      <c r="I232" s="1">
        <v>1</v>
      </c>
      <c r="J232" s="1">
        <v>5</v>
      </c>
      <c r="K232" s="1">
        <v>6</v>
      </c>
      <c r="L232" s="1">
        <v>3</v>
      </c>
      <c r="M232" s="1">
        <v>48</v>
      </c>
      <c r="N232" s="5">
        <v>92.2</v>
      </c>
      <c r="O232" s="6">
        <v>8500.84</v>
      </c>
      <c r="P232" s="5">
        <v>412.91399999999999</v>
      </c>
      <c r="Q232">
        <v>440.81533572388372</v>
      </c>
      <c r="R232" s="6">
        <v>29.237579999999998</v>
      </c>
      <c r="S232" s="6">
        <v>1105.7049999999999</v>
      </c>
      <c r="T232" s="6">
        <v>4906.3105333333333</v>
      </c>
      <c r="U232" s="6">
        <v>1733.3333333333337</v>
      </c>
      <c r="V232" s="6">
        <f t="shared" si="11"/>
        <v>1.9647309210536295</v>
      </c>
      <c r="W232" s="6">
        <f t="shared" si="12"/>
        <v>2.6158596080373835</v>
      </c>
      <c r="X232" s="6">
        <v>2.6442566949735031</v>
      </c>
      <c r="Y232" s="6">
        <f t="shared" si="13"/>
        <v>1.4659414231373811</v>
      </c>
      <c r="Z232" s="6">
        <f t="shared" si="13"/>
        <v>3.0436392734774396</v>
      </c>
      <c r="AA232" s="6">
        <f t="shared" si="13"/>
        <v>3.6907550323834344</v>
      </c>
      <c r="AB232" s="6">
        <f t="shared" si="10"/>
        <v>3.2388820889151368</v>
      </c>
    </row>
    <row r="233" spans="1:28">
      <c r="A233" s="1">
        <v>16</v>
      </c>
      <c r="B233" s="1">
        <v>1</v>
      </c>
      <c r="C233" s="1">
        <v>1</v>
      </c>
      <c r="D233" s="1">
        <v>1</v>
      </c>
      <c r="E233" s="1">
        <v>1</v>
      </c>
      <c r="F233" s="1">
        <v>21</v>
      </c>
      <c r="G233" s="1">
        <v>18</v>
      </c>
      <c r="H233" s="1">
        <v>3</v>
      </c>
      <c r="I233" s="1">
        <v>1</v>
      </c>
      <c r="J233" s="1">
        <v>6</v>
      </c>
      <c r="K233" s="1">
        <v>7</v>
      </c>
      <c r="L233" s="1">
        <v>3</v>
      </c>
      <c r="M233" s="1">
        <v>48</v>
      </c>
      <c r="N233" s="5">
        <v>82.2</v>
      </c>
      <c r="O233" s="6">
        <v>6756.84</v>
      </c>
      <c r="P233" s="5">
        <v>317.67399999999998</v>
      </c>
      <c r="Q233">
        <v>270.87708716136484</v>
      </c>
      <c r="R233" s="6">
        <v>26.380360000000003</v>
      </c>
      <c r="S233" s="6">
        <v>405.49039999999997</v>
      </c>
      <c r="T233" s="6">
        <v>343.46324444444326</v>
      </c>
      <c r="U233" s="6">
        <v>66.666666666665492</v>
      </c>
      <c r="V233" s="6">
        <f t="shared" si="11"/>
        <v>1.9148718175400503</v>
      </c>
      <c r="W233" s="6">
        <f t="shared" si="12"/>
        <v>2.5019816714887804</v>
      </c>
      <c r="X233" s="6">
        <v>2.4327722706653785</v>
      </c>
      <c r="Y233" s="6">
        <f t="shared" si="13"/>
        <v>1.4212807178573021</v>
      </c>
      <c r="Z233" s="6">
        <f t="shared" si="13"/>
        <v>2.6079805767311965</v>
      </c>
      <c r="AA233" s="6">
        <f t="shared" si="13"/>
        <v>2.5358802680650032</v>
      </c>
      <c r="AB233" s="6">
        <f t="shared" si="10"/>
        <v>1.8239087409443111</v>
      </c>
    </row>
    <row r="234" spans="1:28">
      <c r="A234" s="1">
        <v>17</v>
      </c>
      <c r="B234" s="1">
        <v>1</v>
      </c>
      <c r="C234" s="1">
        <v>0</v>
      </c>
      <c r="D234" s="1">
        <v>0</v>
      </c>
      <c r="E234" s="1">
        <v>1</v>
      </c>
      <c r="F234" s="1">
        <v>1</v>
      </c>
      <c r="G234" s="1">
        <v>6</v>
      </c>
      <c r="H234" s="1">
        <v>1</v>
      </c>
      <c r="I234" s="1">
        <v>1</v>
      </c>
      <c r="J234" s="1">
        <v>1</v>
      </c>
      <c r="K234" s="1">
        <v>1</v>
      </c>
      <c r="L234" s="1">
        <v>3</v>
      </c>
      <c r="M234" s="1">
        <v>48</v>
      </c>
      <c r="N234" s="5">
        <v>142.19999999999999</v>
      </c>
      <c r="O234" s="6">
        <v>20220.84</v>
      </c>
      <c r="P234" s="5">
        <v>412.91399999999999</v>
      </c>
      <c r="Q234">
        <v>440.81533572388372</v>
      </c>
      <c r="R234" s="6">
        <v>2.9746400000000004</v>
      </c>
      <c r="S234" s="6">
        <v>168.30199999999999</v>
      </c>
      <c r="T234" s="6">
        <v>1633.0062666666668</v>
      </c>
      <c r="U234" s="6">
        <v>666.66666666666731</v>
      </c>
      <c r="V234" s="6">
        <f t="shared" si="11"/>
        <v>2.1528995963937474</v>
      </c>
      <c r="W234" s="6">
        <f t="shared" si="12"/>
        <v>2.6158596080373835</v>
      </c>
      <c r="X234" s="6">
        <v>2.6442566949735031</v>
      </c>
      <c r="Y234" s="6">
        <f t="shared" si="13"/>
        <v>0.47343441360277377</v>
      </c>
      <c r="Z234" s="6">
        <f t="shared" si="13"/>
        <v>2.2260892769015688</v>
      </c>
      <c r="AA234" s="6">
        <f t="shared" si="13"/>
        <v>3.2129878513463015</v>
      </c>
      <c r="AB234" s="6">
        <f t="shared" si="10"/>
        <v>2.8239087409443191</v>
      </c>
    </row>
    <row r="235" spans="1:28">
      <c r="A235" s="1">
        <v>18</v>
      </c>
      <c r="B235" s="1">
        <v>1</v>
      </c>
      <c r="C235" s="1">
        <v>1</v>
      </c>
      <c r="D235" s="1">
        <v>1</v>
      </c>
      <c r="E235" s="1">
        <v>0</v>
      </c>
      <c r="F235" s="1">
        <v>22</v>
      </c>
      <c r="G235" s="1">
        <v>18</v>
      </c>
      <c r="H235" s="1">
        <v>3</v>
      </c>
      <c r="I235" s="1">
        <v>1</v>
      </c>
      <c r="J235" s="1">
        <v>6</v>
      </c>
      <c r="K235" s="1">
        <v>7</v>
      </c>
      <c r="L235" s="1">
        <v>3</v>
      </c>
      <c r="M235" s="1">
        <v>48</v>
      </c>
      <c r="N235" s="5">
        <v>322.2</v>
      </c>
      <c r="O235" s="6">
        <v>103812.84</v>
      </c>
      <c r="P235" s="5">
        <v>1251.6027359999998</v>
      </c>
      <c r="Q235">
        <v>1461.7424054483949</v>
      </c>
      <c r="R235" s="6">
        <v>170.4547</v>
      </c>
      <c r="S235" s="6">
        <v>752.66219999999998</v>
      </c>
      <c r="T235" s="6">
        <v>10036.047777777778</v>
      </c>
      <c r="U235" s="6">
        <v>2511.1111111111118</v>
      </c>
      <c r="V235" s="6">
        <f t="shared" si="11"/>
        <v>2.5081255360831993</v>
      </c>
      <c r="W235" s="6">
        <f t="shared" si="12"/>
        <v>3.0974665038416882</v>
      </c>
      <c r="X235" s="6">
        <v>3.1648708461177204</v>
      </c>
      <c r="Y235" s="6">
        <f t="shared" si="13"/>
        <v>2.2316089806656643</v>
      </c>
      <c r="Z235" s="6">
        <f t="shared" si="13"/>
        <v>2.8766001055604624</v>
      </c>
      <c r="AA235" s="6">
        <f t="shared" si="13"/>
        <v>4.0015627201571062</v>
      </c>
      <c r="AB235" s="6">
        <f t="shared" si="10"/>
        <v>3.399865929708076</v>
      </c>
    </row>
    <row r="236" spans="1:28">
      <c r="A236" s="1">
        <v>19</v>
      </c>
      <c r="B236" s="1">
        <v>1</v>
      </c>
      <c r="C236" s="1">
        <v>1</v>
      </c>
      <c r="D236" s="1">
        <v>1</v>
      </c>
      <c r="E236" s="1">
        <v>1</v>
      </c>
      <c r="F236" s="1">
        <v>26</v>
      </c>
      <c r="G236" s="1">
        <v>18</v>
      </c>
      <c r="H236" s="1">
        <v>3</v>
      </c>
      <c r="I236" s="1">
        <v>1</v>
      </c>
      <c r="J236" s="1">
        <v>6</v>
      </c>
      <c r="K236" s="1">
        <v>7</v>
      </c>
      <c r="L236" s="1">
        <v>3</v>
      </c>
      <c r="M236" s="1">
        <v>48</v>
      </c>
      <c r="N236" s="5">
        <v>100.2</v>
      </c>
      <c r="O236" s="6">
        <v>10040.040000000001</v>
      </c>
      <c r="P236" s="5">
        <v>270.05399999999997</v>
      </c>
      <c r="Q236">
        <v>201.7193605435836</v>
      </c>
      <c r="R236" s="6">
        <v>21.487860000000001</v>
      </c>
      <c r="S236">
        <v>104.11240000000001</v>
      </c>
      <c r="T236" s="6">
        <v>891.88062222222175</v>
      </c>
      <c r="U236" s="6">
        <v>311.11111111111074</v>
      </c>
      <c r="V236" s="6">
        <f t="shared" si="11"/>
        <v>2.0008677215312267</v>
      </c>
      <c r="W236" s="6">
        <f t="shared" si="12"/>
        <v>2.431450614370636</v>
      </c>
      <c r="X236" s="6">
        <v>2.3047475827627588</v>
      </c>
      <c r="Y236" s="6">
        <f t="shared" si="13"/>
        <v>1.3321931657720743</v>
      </c>
      <c r="Z236" s="6">
        <f t="shared" si="13"/>
        <v>2.0175024579530492</v>
      </c>
      <c r="AA236" s="6">
        <f t="shared" si="13"/>
        <v>2.9503067281656778</v>
      </c>
      <c r="AB236" s="6">
        <f t="shared" si="10"/>
        <v>2.4929155219028938</v>
      </c>
    </row>
    <row r="237" spans="1:28">
      <c r="A237" s="1">
        <v>20</v>
      </c>
      <c r="B237" s="1">
        <v>1</v>
      </c>
      <c r="C237" s="1">
        <v>1</v>
      </c>
      <c r="D237" s="1">
        <v>1</v>
      </c>
      <c r="E237" s="1">
        <v>0</v>
      </c>
      <c r="F237" s="1">
        <v>17</v>
      </c>
      <c r="G237" s="1">
        <v>6</v>
      </c>
      <c r="H237" s="1">
        <v>3</v>
      </c>
      <c r="I237" s="1">
        <v>1</v>
      </c>
      <c r="J237" s="1">
        <v>5</v>
      </c>
      <c r="K237" s="1">
        <v>6</v>
      </c>
      <c r="L237" s="1">
        <v>3</v>
      </c>
      <c r="M237" s="1">
        <v>48</v>
      </c>
      <c r="N237" s="5">
        <v>104.2</v>
      </c>
      <c r="O237" s="6">
        <v>10857.64</v>
      </c>
      <c r="P237" s="5">
        <v>317.67399999999998</v>
      </c>
      <c r="Q237">
        <v>270.87708716136484</v>
      </c>
      <c r="R237" s="6">
        <v>17.0259</v>
      </c>
      <c r="S237" s="6">
        <v>52.447600000000001</v>
      </c>
      <c r="T237" s="6">
        <v>373.99244444444486</v>
      </c>
      <c r="U237" s="6">
        <v>111.11111111111121</v>
      </c>
      <c r="V237" s="6">
        <f t="shared" si="11"/>
        <v>2.0178677189635055</v>
      </c>
      <c r="W237" s="6">
        <f t="shared" si="12"/>
        <v>2.5019816714887804</v>
      </c>
      <c r="X237" s="6">
        <v>2.4327722706653785</v>
      </c>
      <c r="Y237" s="6">
        <f t="shared" si="13"/>
        <v>1.2311100782766198</v>
      </c>
      <c r="Z237" s="6">
        <f t="shared" si="13"/>
        <v>1.7197256196867901</v>
      </c>
      <c r="AA237" s="6">
        <f t="shared" si="13"/>
        <v>2.57286282848596</v>
      </c>
      <c r="AB237" s="6">
        <f t="shared" si="10"/>
        <v>2.0457574905606757</v>
      </c>
    </row>
    <row r="238" spans="1:28">
      <c r="A238" s="1">
        <v>21</v>
      </c>
      <c r="B238" s="1">
        <v>1</v>
      </c>
      <c r="C238" s="1">
        <v>1</v>
      </c>
      <c r="D238" s="1">
        <v>1</v>
      </c>
      <c r="E238" s="1">
        <v>0</v>
      </c>
      <c r="F238" s="1">
        <v>19</v>
      </c>
      <c r="G238" s="1">
        <v>6</v>
      </c>
      <c r="H238" s="1">
        <v>3</v>
      </c>
      <c r="I238" s="1">
        <v>1</v>
      </c>
      <c r="J238" s="1">
        <v>5</v>
      </c>
      <c r="K238" s="1">
        <v>6</v>
      </c>
      <c r="L238" s="1">
        <v>3</v>
      </c>
      <c r="M238" s="1">
        <v>48</v>
      </c>
      <c r="N238" s="5">
        <v>88.2</v>
      </c>
      <c r="O238" s="6">
        <v>7779.24</v>
      </c>
      <c r="P238" s="5">
        <v>389.10399999999998</v>
      </c>
      <c r="Q238">
        <v>394.35344357187671</v>
      </c>
      <c r="R238" s="6">
        <v>4.4228199999999998</v>
      </c>
      <c r="S238" s="6">
        <v>1407.0830000000001</v>
      </c>
      <c r="T238" s="6">
        <v>680.05644444444385</v>
      </c>
      <c r="U238" s="6">
        <v>111.11111111111121</v>
      </c>
      <c r="V238" s="6">
        <f t="shared" si="11"/>
        <v>1.9454685851318196</v>
      </c>
      <c r="W238" s="6">
        <f t="shared" si="12"/>
        <v>2.5900656953861083</v>
      </c>
      <c r="X238" s="6">
        <v>2.5958856375234856</v>
      </c>
      <c r="Y238" s="6">
        <f t="shared" si="13"/>
        <v>0.64569926480540207</v>
      </c>
      <c r="Z238" s="6">
        <f t="shared" si="13"/>
        <v>3.1483197160408838</v>
      </c>
      <c r="AA238" s="6">
        <f t="shared" si="13"/>
        <v>2.8325449604906798</v>
      </c>
      <c r="AB238" s="6">
        <f t="shared" si="10"/>
        <v>2.0457574905606757</v>
      </c>
    </row>
    <row r="239" spans="1:28">
      <c r="A239" s="1">
        <v>22</v>
      </c>
      <c r="B239" s="1">
        <v>1</v>
      </c>
      <c r="C239" s="1">
        <v>0</v>
      </c>
      <c r="D239" s="1">
        <v>0</v>
      </c>
      <c r="E239" s="1">
        <v>0</v>
      </c>
      <c r="F239" s="1">
        <v>3</v>
      </c>
      <c r="G239" s="1">
        <v>6</v>
      </c>
      <c r="H239" s="1">
        <v>1</v>
      </c>
      <c r="I239" s="1">
        <v>1</v>
      </c>
      <c r="J239" s="1">
        <v>1</v>
      </c>
      <c r="K239" s="1">
        <v>1</v>
      </c>
      <c r="L239" s="1">
        <v>3</v>
      </c>
      <c r="M239" s="1">
        <v>48</v>
      </c>
      <c r="N239" s="5">
        <v>198.2</v>
      </c>
      <c r="O239" s="6">
        <v>39283.24</v>
      </c>
      <c r="P239" s="5">
        <v>519.13499999999999</v>
      </c>
      <c r="Q239">
        <v>775.85523507471078</v>
      </c>
      <c r="R239" s="6">
        <v>93.348900000000015</v>
      </c>
      <c r="S239" s="6">
        <v>289.63600000000002</v>
      </c>
      <c r="T239" s="6">
        <v>19397.551111111108</v>
      </c>
      <c r="U239" s="6">
        <v>2911.1111111111095</v>
      </c>
      <c r="V239" s="6">
        <f t="shared" si="11"/>
        <v>2.2971036501492565</v>
      </c>
      <c r="W239" s="6">
        <f t="shared" si="12"/>
        <v>2.7152803099315443</v>
      </c>
      <c r="X239" s="6">
        <v>2.8897806948750726</v>
      </c>
      <c r="Y239" s="6">
        <f t="shared" si="13"/>
        <v>1.9701092046981152</v>
      </c>
      <c r="Z239" s="6">
        <f t="shared" si="13"/>
        <v>2.4618525410529588</v>
      </c>
      <c r="AA239" s="6">
        <f t="shared" si="13"/>
        <v>4.287746904875438</v>
      </c>
      <c r="AB239" s="6">
        <f t="shared" si="10"/>
        <v>3.4640587818804205</v>
      </c>
    </row>
    <row r="240" spans="1:28">
      <c r="A240" s="1">
        <v>23</v>
      </c>
      <c r="B240" s="1">
        <v>1</v>
      </c>
      <c r="C240" s="1">
        <v>1</v>
      </c>
      <c r="D240" s="1">
        <v>1</v>
      </c>
      <c r="E240" s="1">
        <v>1</v>
      </c>
      <c r="F240" s="1">
        <v>24</v>
      </c>
      <c r="G240" s="1">
        <v>18</v>
      </c>
      <c r="H240" s="1">
        <v>3</v>
      </c>
      <c r="I240" s="1">
        <v>1</v>
      </c>
      <c r="J240" s="1">
        <v>6</v>
      </c>
      <c r="K240" s="1">
        <v>7</v>
      </c>
      <c r="L240" s="1">
        <v>3</v>
      </c>
      <c r="M240" s="1">
        <v>48</v>
      </c>
      <c r="N240" s="5">
        <v>110.2</v>
      </c>
      <c r="O240" s="6">
        <v>12144.04</v>
      </c>
      <c r="P240" s="5">
        <v>389.10399999999998</v>
      </c>
      <c r="Q240">
        <v>394.35344357187671</v>
      </c>
      <c r="R240" s="6">
        <v>36.987299999999998</v>
      </c>
      <c r="S240" s="6">
        <v>275.54559999999998</v>
      </c>
      <c r="T240" s="6">
        <v>719.75759999999946</v>
      </c>
      <c r="U240" s="6">
        <v>288.88888888888795</v>
      </c>
      <c r="V240" s="6">
        <f t="shared" si="11"/>
        <v>2.0421815945157662</v>
      </c>
      <c r="W240" s="6">
        <f t="shared" si="12"/>
        <v>2.5900656953861083</v>
      </c>
      <c r="X240" s="6">
        <v>2.5958856375234856</v>
      </c>
      <c r="Y240" s="6">
        <f t="shared" si="13"/>
        <v>1.5680526298312454</v>
      </c>
      <c r="Z240" s="6">
        <f t="shared" si="13"/>
        <v>2.4401934804640946</v>
      </c>
      <c r="AA240" s="6">
        <f t="shared" si="13"/>
        <v>2.8571862593377353</v>
      </c>
      <c r="AB240" s="6">
        <f t="shared" si="10"/>
        <v>2.4607308385314917</v>
      </c>
    </row>
    <row r="241" spans="1:28">
      <c r="A241" s="1">
        <v>24</v>
      </c>
      <c r="B241" s="1">
        <v>1</v>
      </c>
      <c r="C241" s="1">
        <v>1</v>
      </c>
      <c r="D241" s="1">
        <v>1</v>
      </c>
      <c r="E241" s="1">
        <v>0</v>
      </c>
      <c r="F241" s="1">
        <v>16</v>
      </c>
      <c r="G241" s="1">
        <v>6</v>
      </c>
      <c r="H241" s="1">
        <v>3</v>
      </c>
      <c r="I241" s="1">
        <v>1</v>
      </c>
      <c r="J241" s="1">
        <v>5</v>
      </c>
      <c r="K241" s="1">
        <v>6</v>
      </c>
      <c r="L241" s="1">
        <v>3</v>
      </c>
      <c r="M241" s="1">
        <v>48</v>
      </c>
      <c r="N241" s="5">
        <v>388.2</v>
      </c>
      <c r="O241" s="6">
        <v>150699.24</v>
      </c>
      <c r="P241" s="5">
        <v>1138.996848</v>
      </c>
      <c r="Q241">
        <v>1138.996848</v>
      </c>
      <c r="R241" s="6">
        <v>152.64600000000002</v>
      </c>
      <c r="S241" s="6">
        <v>171.04179999999999</v>
      </c>
      <c r="T241" s="6">
        <v>7995.6783999999998</v>
      </c>
      <c r="U241" s="6">
        <v>3511.1111111111113</v>
      </c>
      <c r="V241" s="6">
        <f t="shared" si="11"/>
        <v>2.589055531052344</v>
      </c>
      <c r="W241" s="6">
        <f t="shared" si="12"/>
        <v>3.0565225222370449</v>
      </c>
      <c r="X241" s="6">
        <v>3.0565225222370449</v>
      </c>
      <c r="Y241" s="6">
        <f t="shared" si="13"/>
        <v>2.1836854283484817</v>
      </c>
      <c r="Z241" s="6">
        <f t="shared" si="13"/>
        <v>2.2331022582924041</v>
      </c>
      <c r="AA241" s="6">
        <f t="shared" si="13"/>
        <v>3.9028553177229415</v>
      </c>
      <c r="AB241" s="6">
        <f t="shared" si="10"/>
        <v>3.5454445731790791</v>
      </c>
    </row>
    <row r="242" spans="1:28">
      <c r="A242" s="1">
        <v>25</v>
      </c>
      <c r="B242" s="1">
        <v>0</v>
      </c>
      <c r="C242" s="1">
        <v>1</v>
      </c>
      <c r="D242" s="1">
        <v>1</v>
      </c>
      <c r="E242" s="1">
        <v>0</v>
      </c>
      <c r="F242" s="1">
        <v>10</v>
      </c>
      <c r="G242" s="1">
        <v>6</v>
      </c>
      <c r="H242" s="1">
        <v>2</v>
      </c>
      <c r="I242" s="1">
        <v>1</v>
      </c>
      <c r="J242" s="1">
        <v>4</v>
      </c>
      <c r="K242" s="1">
        <v>4</v>
      </c>
      <c r="L242" s="1">
        <v>3</v>
      </c>
      <c r="M242" s="1">
        <v>48</v>
      </c>
      <c r="N242" s="5">
        <v>124.2</v>
      </c>
      <c r="O242" s="6">
        <v>15425.64</v>
      </c>
      <c r="P242" s="5">
        <v>460.53400000000005</v>
      </c>
      <c r="Q242">
        <v>541.74638768079785</v>
      </c>
      <c r="R242" s="6">
        <v>148.34059999999999</v>
      </c>
      <c r="S242" s="6">
        <v>268.50040000000001</v>
      </c>
      <c r="T242" s="6">
        <v>9210.065111111111</v>
      </c>
      <c r="U242" s="6">
        <v>1866.6666666666663</v>
      </c>
      <c r="V242" s="6">
        <f t="shared" si="11"/>
        <v>2.0941215958405612</v>
      </c>
      <c r="W242" s="6">
        <f t="shared" si="12"/>
        <v>2.6632616985226694</v>
      </c>
      <c r="X242" s="6">
        <v>2.7337960241625492</v>
      </c>
      <c r="Y242" s="6">
        <f t="shared" si="13"/>
        <v>2.1712600312900547</v>
      </c>
      <c r="Z242" s="6">
        <f t="shared" si="13"/>
        <v>2.4289449370287342</v>
      </c>
      <c r="AA242" s="6">
        <f t="shared" si="13"/>
        <v>3.9642627004787503</v>
      </c>
      <c r="AB242" s="6">
        <f t="shared" si="10"/>
        <v>3.2710667722865381</v>
      </c>
    </row>
    <row r="243" spans="1:28">
      <c r="A243" s="1">
        <v>26</v>
      </c>
      <c r="B243" s="1">
        <v>0</v>
      </c>
      <c r="C243" s="1">
        <v>1</v>
      </c>
      <c r="D243" s="1">
        <v>0</v>
      </c>
      <c r="E243" s="1">
        <v>0</v>
      </c>
      <c r="F243" s="1">
        <v>6</v>
      </c>
      <c r="G243" s="1">
        <v>6</v>
      </c>
      <c r="H243" s="1">
        <v>1</v>
      </c>
      <c r="I243" s="1">
        <v>1</v>
      </c>
      <c r="J243" s="1">
        <v>2</v>
      </c>
      <c r="K243" s="1">
        <v>2</v>
      </c>
      <c r="L243" s="1">
        <v>3</v>
      </c>
      <c r="M243" s="1">
        <v>48</v>
      </c>
      <c r="N243" s="5">
        <v>88.2</v>
      </c>
      <c r="O243" s="6">
        <v>7779.24</v>
      </c>
      <c r="P243" s="5">
        <v>365.29400000000004</v>
      </c>
      <c r="Q243">
        <v>350.54926031071238</v>
      </c>
      <c r="R243" s="6">
        <v>75.344500000000011</v>
      </c>
      <c r="S243" s="6">
        <v>57.144399999999997</v>
      </c>
      <c r="T243" s="6">
        <v>5103.822666666666</v>
      </c>
      <c r="U243" s="6">
        <v>688.88888888888857</v>
      </c>
      <c r="V243" s="6">
        <f t="shared" si="11"/>
        <v>1.9454685851318196</v>
      </c>
      <c r="W243" s="6">
        <f t="shared" si="12"/>
        <v>2.5626425389288854</v>
      </c>
      <c r="X243" s="6">
        <v>2.5447490550499197</v>
      </c>
      <c r="Y243" s="6">
        <f t="shared" si="13"/>
        <v>1.8770515551665019</v>
      </c>
      <c r="Z243" s="6">
        <f t="shared" si="13"/>
        <v>1.7569736771064195</v>
      </c>
      <c r="AA243" s="6">
        <f t="shared" si="13"/>
        <v>3.7078955763271226</v>
      </c>
      <c r="AB243" s="6">
        <f t="shared" si="10"/>
        <v>2.8381491800589287</v>
      </c>
    </row>
    <row r="244" spans="1:28">
      <c r="A244" s="1">
        <v>27</v>
      </c>
      <c r="B244" s="1">
        <v>1</v>
      </c>
      <c r="C244" s="1">
        <v>1</v>
      </c>
      <c r="D244" s="1">
        <v>0</v>
      </c>
      <c r="E244" s="1">
        <v>0</v>
      </c>
      <c r="F244" s="1">
        <v>9</v>
      </c>
      <c r="G244" s="1">
        <v>6</v>
      </c>
      <c r="H244" s="1">
        <v>2</v>
      </c>
      <c r="I244" s="1">
        <v>1</v>
      </c>
      <c r="J244" s="1">
        <v>3</v>
      </c>
      <c r="K244" s="1">
        <v>3</v>
      </c>
      <c r="L244" s="1">
        <v>3</v>
      </c>
      <c r="M244" s="1">
        <v>48</v>
      </c>
      <c r="N244" s="5">
        <v>32.200000000000003</v>
      </c>
      <c r="O244" s="6">
        <v>1036.8399999999999</v>
      </c>
      <c r="P244" s="5">
        <v>389.10399999999998</v>
      </c>
      <c r="Q244">
        <v>394.35344357187671</v>
      </c>
      <c r="R244" s="6">
        <v>39.14</v>
      </c>
      <c r="S244" s="6">
        <v>575.35799999999995</v>
      </c>
      <c r="T244" s="6">
        <v>3354.6332888888896</v>
      </c>
      <c r="U244" s="6">
        <v>1466.666666666667</v>
      </c>
      <c r="V244" s="6">
        <f t="shared" si="11"/>
        <v>1.507855871695831</v>
      </c>
      <c r="W244" s="6">
        <f t="shared" si="12"/>
        <v>2.5900656953861083</v>
      </c>
      <c r="X244" s="6">
        <v>2.5958856375234856</v>
      </c>
      <c r="Y244" s="6">
        <f t="shared" si="13"/>
        <v>1.5926208213219823</v>
      </c>
      <c r="Z244" s="6">
        <f t="shared" si="13"/>
        <v>2.7599381560701586</v>
      </c>
      <c r="AA244" s="6">
        <f t="shared" si="13"/>
        <v>3.5256450522795375</v>
      </c>
      <c r="AB244" s="6">
        <f t="shared" si="10"/>
        <v>3.1663314217665253</v>
      </c>
    </row>
    <row r="245" spans="1:28">
      <c r="A245" s="1">
        <v>28</v>
      </c>
      <c r="B245" s="1">
        <v>1</v>
      </c>
      <c r="C245" s="1">
        <v>1</v>
      </c>
      <c r="D245" s="1">
        <v>0</v>
      </c>
      <c r="E245" s="1">
        <v>0</v>
      </c>
      <c r="F245" s="1">
        <v>7</v>
      </c>
      <c r="G245" s="1">
        <v>6</v>
      </c>
      <c r="H245" s="1">
        <v>2</v>
      </c>
      <c r="I245" s="1">
        <v>1</v>
      </c>
      <c r="J245" s="1">
        <v>3</v>
      </c>
      <c r="K245" s="1">
        <v>3</v>
      </c>
      <c r="L245" s="1">
        <v>3</v>
      </c>
      <c r="M245" s="1">
        <v>48</v>
      </c>
      <c r="N245" s="5">
        <v>42.2</v>
      </c>
      <c r="O245" s="6">
        <v>1780.84</v>
      </c>
      <c r="P245" s="5">
        <v>460.53400000000005</v>
      </c>
      <c r="Q245">
        <v>541.74638768079785</v>
      </c>
      <c r="R245" s="6">
        <v>128.18350000000001</v>
      </c>
      <c r="S245" s="6">
        <v>61.841200000000001</v>
      </c>
      <c r="T245" s="6">
        <v>3519.4072888888886</v>
      </c>
      <c r="U245" s="6">
        <v>1377.7777777777771</v>
      </c>
      <c r="V245" s="6">
        <f t="shared" si="11"/>
        <v>1.6253124509616739</v>
      </c>
      <c r="W245" s="6">
        <f t="shared" si="12"/>
        <v>2.6632616985226694</v>
      </c>
      <c r="X245" s="6">
        <v>2.7337960241625492</v>
      </c>
      <c r="Y245" s="6">
        <f t="shared" si="13"/>
        <v>2.1078321256497841</v>
      </c>
      <c r="Z245" s="6">
        <f t="shared" si="13"/>
        <v>1.791277908276405</v>
      </c>
      <c r="AA245" s="6">
        <f t="shared" si="13"/>
        <v>3.5464695291487867</v>
      </c>
      <c r="AB245" s="6">
        <f t="shared" si="10"/>
        <v>3.1391791757229099</v>
      </c>
    </row>
    <row r="246" spans="1:28">
      <c r="A246" s="1">
        <v>29</v>
      </c>
      <c r="B246" s="1">
        <v>1</v>
      </c>
      <c r="C246" s="1">
        <v>1</v>
      </c>
      <c r="D246" s="1">
        <v>1</v>
      </c>
      <c r="E246" s="1">
        <v>0</v>
      </c>
      <c r="F246" s="1">
        <v>23</v>
      </c>
      <c r="G246" s="1">
        <v>18</v>
      </c>
      <c r="H246" s="1">
        <v>3</v>
      </c>
      <c r="I246" s="1">
        <v>1</v>
      </c>
      <c r="J246" s="1">
        <v>6</v>
      </c>
      <c r="K246" s="1">
        <v>7</v>
      </c>
      <c r="L246" s="1">
        <v>3</v>
      </c>
      <c r="M246" s="1">
        <v>48</v>
      </c>
      <c r="N246" s="5">
        <v>10.199999999999999</v>
      </c>
      <c r="O246" s="6">
        <v>104.04</v>
      </c>
      <c r="P246" s="5">
        <v>317.67399999999998</v>
      </c>
      <c r="Q246">
        <v>270.87708716136484</v>
      </c>
      <c r="R246" s="6">
        <v>13.34674</v>
      </c>
      <c r="S246" s="6">
        <v>863.03700000000003</v>
      </c>
      <c r="T246" s="6">
        <v>751.59506666666687</v>
      </c>
      <c r="U246" s="6">
        <v>266.66666666666663</v>
      </c>
      <c r="V246" s="6">
        <f t="shared" si="11"/>
        <v>1.0086001717619175</v>
      </c>
      <c r="W246" s="6">
        <f t="shared" si="12"/>
        <v>2.5019816714887804</v>
      </c>
      <c r="X246" s="6">
        <v>2.4327722706653785</v>
      </c>
      <c r="Y246" s="6">
        <f t="shared" si="13"/>
        <v>1.1253752003144801</v>
      </c>
      <c r="Z246" s="6">
        <f t="shared" si="13"/>
        <v>2.9360294151258399</v>
      </c>
      <c r="AA246" s="6">
        <f t="shared" si="13"/>
        <v>2.8759839208078448</v>
      </c>
      <c r="AB246" s="6">
        <f t="shared" si="10"/>
        <v>2.4259687322722812</v>
      </c>
    </row>
    <row r="247" spans="1:28">
      <c r="A247" s="1">
        <v>30</v>
      </c>
      <c r="B247" s="1">
        <v>0</v>
      </c>
      <c r="C247" s="1">
        <v>1</v>
      </c>
      <c r="D247" s="1">
        <v>0</v>
      </c>
      <c r="E247" s="1">
        <v>0</v>
      </c>
      <c r="F247" s="1">
        <v>4</v>
      </c>
      <c r="G247" s="1">
        <v>6</v>
      </c>
      <c r="H247" s="1">
        <v>1</v>
      </c>
      <c r="I247" s="1">
        <v>1</v>
      </c>
      <c r="J247" s="1">
        <v>2</v>
      </c>
      <c r="K247" s="1">
        <v>2</v>
      </c>
      <c r="L247" s="1">
        <v>3</v>
      </c>
      <c r="M247" s="1">
        <v>48</v>
      </c>
      <c r="N247" s="5">
        <v>302.2</v>
      </c>
      <c r="O247" s="6">
        <v>91324.84</v>
      </c>
      <c r="P247" s="5">
        <v>436.72399999999999</v>
      </c>
      <c r="Q247">
        <v>489.94357643123311</v>
      </c>
      <c r="R247" s="6">
        <v>185.52359999999999</v>
      </c>
      <c r="S247" s="6">
        <v>72.409000000000006</v>
      </c>
      <c r="T247" s="6">
        <v>4802.630622222222</v>
      </c>
      <c r="U247" s="6">
        <v>955.5555555555552</v>
      </c>
      <c r="V247" s="6">
        <f t="shared" si="11"/>
        <v>2.4802944600030066</v>
      </c>
      <c r="W247" s="6">
        <f t="shared" si="12"/>
        <v>2.6402070590639153</v>
      </c>
      <c r="X247" s="6">
        <v>2.6901460680784766</v>
      </c>
      <c r="Y247" s="6">
        <f t="shared" si="13"/>
        <v>2.2683991629960674</v>
      </c>
      <c r="Z247" s="6">
        <f t="shared" si="13"/>
        <v>1.8597925497249963</v>
      </c>
      <c r="AA247" s="6">
        <f t="shared" si="13"/>
        <v>3.6814791856605122</v>
      </c>
      <c r="AB247" s="6">
        <f t="shared" si="10"/>
        <v>2.9802559418042427</v>
      </c>
    </row>
    <row r="248" spans="1:28">
      <c r="A248" s="1">
        <v>31</v>
      </c>
      <c r="B248" s="1">
        <v>1</v>
      </c>
      <c r="C248" s="1">
        <v>0</v>
      </c>
      <c r="D248" s="1">
        <v>0</v>
      </c>
      <c r="E248" s="1">
        <v>1</v>
      </c>
      <c r="F248" s="1">
        <v>3</v>
      </c>
      <c r="G248" s="1">
        <v>6</v>
      </c>
      <c r="H248" s="1">
        <v>1</v>
      </c>
      <c r="I248" s="1">
        <v>1</v>
      </c>
      <c r="J248" s="1">
        <v>1</v>
      </c>
      <c r="K248" s="1">
        <v>1</v>
      </c>
      <c r="L248" s="1">
        <v>3</v>
      </c>
      <c r="M248" s="1">
        <v>48</v>
      </c>
      <c r="N248" s="5">
        <v>4.2</v>
      </c>
      <c r="O248" s="6">
        <v>17.64</v>
      </c>
      <c r="P248" s="5">
        <v>317.67399999999998</v>
      </c>
      <c r="Q248">
        <v>270.87708716136484</v>
      </c>
      <c r="R248" s="6">
        <v>18.5915</v>
      </c>
      <c r="S248" s="6">
        <v>444.63040000000001</v>
      </c>
      <c r="T248" s="6">
        <v>1501.3207111111105</v>
      </c>
      <c r="U248" s="6">
        <v>377.77777777777783</v>
      </c>
      <c r="V248" s="6">
        <f t="shared" si="11"/>
        <v>0.62324929039790045</v>
      </c>
      <c r="W248" s="6">
        <f t="shared" si="12"/>
        <v>2.5019816714887804</v>
      </c>
      <c r="X248" s="6">
        <v>2.4327722706653785</v>
      </c>
      <c r="Y248" s="6">
        <f t="shared" si="13"/>
        <v>1.2693144309468489</v>
      </c>
      <c r="Z248" s="6">
        <f t="shared" si="13"/>
        <v>2.6479991526969826</v>
      </c>
      <c r="AA248" s="6">
        <f t="shared" si="13"/>
        <v>3.1764734758462043</v>
      </c>
      <c r="AB248" s="6">
        <f t="shared" si="10"/>
        <v>2.5772364076029302</v>
      </c>
    </row>
    <row r="249" spans="1:28">
      <c r="A249" s="1">
        <v>32</v>
      </c>
      <c r="B249" s="1">
        <v>1</v>
      </c>
      <c r="C249" s="1">
        <v>1</v>
      </c>
      <c r="D249" s="1">
        <v>1</v>
      </c>
      <c r="E249" s="1">
        <v>1</v>
      </c>
      <c r="F249" s="1">
        <v>13</v>
      </c>
      <c r="G249" s="1">
        <v>6</v>
      </c>
      <c r="H249" s="1">
        <v>3</v>
      </c>
      <c r="I249" s="1">
        <v>1</v>
      </c>
      <c r="J249" s="1">
        <v>5</v>
      </c>
      <c r="K249" s="1">
        <v>5</v>
      </c>
      <c r="L249" s="1">
        <v>3</v>
      </c>
      <c r="M249" s="1">
        <v>48</v>
      </c>
      <c r="N249" s="5">
        <v>26.2</v>
      </c>
      <c r="O249" s="6">
        <v>686.44</v>
      </c>
      <c r="P249" s="5">
        <v>341.48399999999998</v>
      </c>
      <c r="Q249">
        <v>309.39368226742988</v>
      </c>
      <c r="R249" s="6">
        <v>13.190180000000002</v>
      </c>
      <c r="S249" s="6">
        <v>57.535800000000002</v>
      </c>
      <c r="T249" s="6">
        <v>728.76519999999982</v>
      </c>
      <c r="U249" s="6">
        <v>222.22222222222243</v>
      </c>
      <c r="V249" s="6">
        <f t="shared" si="11"/>
        <v>1.4183012913197455</v>
      </c>
      <c r="W249" s="6">
        <f t="shared" si="12"/>
        <v>2.5333703599223933</v>
      </c>
      <c r="X249" s="6">
        <v>2.4905114412818796</v>
      </c>
      <c r="Y249" s="6">
        <f t="shared" si="13"/>
        <v>1.1202507221933211</v>
      </c>
      <c r="Z249" s="6">
        <f t="shared" si="13"/>
        <v>1.7599381560701586</v>
      </c>
      <c r="AA249" s="6">
        <f t="shared" si="13"/>
        <v>2.8625876260274921</v>
      </c>
      <c r="AB249" s="6">
        <f t="shared" si="10"/>
        <v>2.3467874862246569</v>
      </c>
    </row>
    <row r="250" spans="1:28">
      <c r="A250" s="1">
        <v>33</v>
      </c>
      <c r="B250" s="1">
        <v>0</v>
      </c>
      <c r="C250" s="1">
        <v>1</v>
      </c>
      <c r="D250" s="1">
        <v>1</v>
      </c>
      <c r="E250" s="1">
        <v>0</v>
      </c>
      <c r="F250" s="1">
        <v>12</v>
      </c>
      <c r="G250" s="1">
        <v>6</v>
      </c>
      <c r="H250" s="1">
        <v>2</v>
      </c>
      <c r="I250" s="1">
        <v>1</v>
      </c>
      <c r="J250" s="1">
        <v>4</v>
      </c>
      <c r="K250" s="1">
        <v>4</v>
      </c>
      <c r="L250" s="1">
        <v>3</v>
      </c>
      <c r="M250" s="1">
        <v>48</v>
      </c>
      <c r="N250" s="5">
        <v>30.2</v>
      </c>
      <c r="O250" s="6">
        <v>912.04</v>
      </c>
      <c r="P250" s="5">
        <v>389.10399999999998</v>
      </c>
      <c r="Q250">
        <v>394.35344357187671</v>
      </c>
      <c r="R250" s="6">
        <v>11.428879999999999</v>
      </c>
      <c r="S250" s="6">
        <v>655.20359999999994</v>
      </c>
      <c r="T250" s="6">
        <v>1903.0149777777769</v>
      </c>
      <c r="U250" s="6">
        <v>444.44444444444326</v>
      </c>
      <c r="V250" s="6">
        <f t="shared" si="11"/>
        <v>1.4800069429571505</v>
      </c>
      <c r="W250" s="6">
        <f t="shared" si="12"/>
        <v>2.5900656953861083</v>
      </c>
      <c r="X250" s="6">
        <v>2.5958856375234856</v>
      </c>
      <c r="Y250" s="6">
        <f t="shared" si="13"/>
        <v>1.0580036727704005</v>
      </c>
      <c r="Z250" s="6">
        <f t="shared" si="13"/>
        <v>2.8163762749792234</v>
      </c>
      <c r="AA250" s="6">
        <f t="shared" si="13"/>
        <v>3.2794422064376465</v>
      </c>
      <c r="AB250" s="6">
        <f t="shared" si="10"/>
        <v>2.6478174818886364</v>
      </c>
    </row>
    <row r="251" spans="1:28">
      <c r="A251" s="1">
        <v>34</v>
      </c>
      <c r="B251" s="1">
        <v>0</v>
      </c>
      <c r="C251" s="1">
        <v>1</v>
      </c>
      <c r="D251" s="1">
        <v>1</v>
      </c>
      <c r="E251" s="1">
        <v>1</v>
      </c>
      <c r="F251" s="1">
        <v>10</v>
      </c>
      <c r="G251" s="1">
        <v>6</v>
      </c>
      <c r="H251" s="1">
        <v>2</v>
      </c>
      <c r="I251" s="1">
        <v>1</v>
      </c>
      <c r="J251" s="1">
        <v>4</v>
      </c>
      <c r="K251" s="1">
        <v>4</v>
      </c>
      <c r="L251" s="1">
        <v>3</v>
      </c>
      <c r="M251" s="1">
        <v>48</v>
      </c>
      <c r="N251" s="5">
        <v>28.2</v>
      </c>
      <c r="O251" s="6">
        <v>795.24</v>
      </c>
      <c r="P251" s="5">
        <v>365.29400000000004</v>
      </c>
      <c r="Q251">
        <v>350.54926031071238</v>
      </c>
      <c r="R251" s="6">
        <v>14.599220000000001</v>
      </c>
      <c r="S251" s="6">
        <v>208.61619999999999</v>
      </c>
      <c r="T251" s="6">
        <v>1498.3646666666668</v>
      </c>
      <c r="U251" s="6">
        <v>777.77777777777692</v>
      </c>
      <c r="V251" s="6">
        <f t="shared" si="11"/>
        <v>1.4502491083193612</v>
      </c>
      <c r="W251" s="6">
        <f t="shared" si="12"/>
        <v>2.5626425389288854</v>
      </c>
      <c r="X251" s="6">
        <v>2.5447490550499197</v>
      </c>
      <c r="Y251" s="6">
        <f t="shared" si="13"/>
        <v>1.1643296531306699</v>
      </c>
      <c r="Z251" s="6">
        <f t="shared" si="13"/>
        <v>2.3193480303485545</v>
      </c>
      <c r="AA251" s="6">
        <f t="shared" si="13"/>
        <v>3.1756175232749357</v>
      </c>
      <c r="AB251" s="6">
        <f t="shared" si="10"/>
        <v>2.8908555305749313</v>
      </c>
    </row>
    <row r="252" spans="1:28">
      <c r="A252" s="1">
        <v>35</v>
      </c>
      <c r="B252" s="1">
        <v>1</v>
      </c>
      <c r="C252" s="1">
        <v>1</v>
      </c>
      <c r="D252" s="1">
        <v>0</v>
      </c>
      <c r="E252" s="1">
        <v>1</v>
      </c>
      <c r="F252" s="1">
        <v>8</v>
      </c>
      <c r="G252" s="1">
        <v>6</v>
      </c>
      <c r="H252" s="1">
        <v>2</v>
      </c>
      <c r="I252" s="1">
        <v>1</v>
      </c>
      <c r="J252" s="1">
        <v>3</v>
      </c>
      <c r="K252" s="1">
        <v>3</v>
      </c>
      <c r="L252" s="1">
        <v>3</v>
      </c>
      <c r="M252" s="1">
        <v>48</v>
      </c>
      <c r="N252" s="5">
        <v>38.200000000000003</v>
      </c>
      <c r="O252" s="6">
        <v>1459.24</v>
      </c>
      <c r="P252" s="5">
        <v>293.86400000000003</v>
      </c>
      <c r="Q252">
        <v>234.98926912889357</v>
      </c>
      <c r="R252" s="6">
        <v>12.36824</v>
      </c>
      <c r="S252" s="6">
        <v>55.187399999999997</v>
      </c>
      <c r="T252" s="6">
        <v>1009.5222666666665</v>
      </c>
      <c r="U252" s="6">
        <v>177.77777777777669</v>
      </c>
      <c r="V252" s="6">
        <f t="shared" si="11"/>
        <v>1.5820633629117087</v>
      </c>
      <c r="W252" s="6">
        <f t="shared" si="12"/>
        <v>2.4681463858039061</v>
      </c>
      <c r="X252" s="6">
        <v>2.3710480305078452</v>
      </c>
      <c r="Y252" s="6">
        <f t="shared" si="13"/>
        <v>1.0923079039403862</v>
      </c>
      <c r="Z252" s="6">
        <f t="shared" si="13"/>
        <v>1.7418399339773623</v>
      </c>
      <c r="AA252" s="6">
        <f t="shared" si="13"/>
        <v>3.0041159024612489</v>
      </c>
      <c r="AB252" s="6">
        <f t="shared" si="10"/>
        <v>2.2498774732165971</v>
      </c>
    </row>
    <row r="253" spans="1:28">
      <c r="A253" s="1">
        <v>36</v>
      </c>
      <c r="B253" s="1">
        <v>1</v>
      </c>
      <c r="C253" s="1">
        <v>1</v>
      </c>
      <c r="D253" s="1">
        <v>1</v>
      </c>
      <c r="E253" s="1">
        <v>1</v>
      </c>
      <c r="F253" s="1">
        <v>20</v>
      </c>
      <c r="G253" s="1">
        <v>18</v>
      </c>
      <c r="H253" s="1">
        <v>3</v>
      </c>
      <c r="I253" s="1">
        <v>1</v>
      </c>
      <c r="J253" s="1">
        <v>6</v>
      </c>
      <c r="K253" s="1">
        <v>7</v>
      </c>
      <c r="L253" s="1">
        <v>3</v>
      </c>
      <c r="M253" s="1">
        <v>48</v>
      </c>
      <c r="N253" s="5">
        <v>18.2</v>
      </c>
      <c r="O253" s="6">
        <v>331.24</v>
      </c>
      <c r="P253" s="5">
        <v>389.10399999999998</v>
      </c>
      <c r="Q253">
        <v>394.35344357187671</v>
      </c>
      <c r="R253" s="6">
        <v>4.8533600000000003</v>
      </c>
      <c r="S253" s="6">
        <v>480.24779999999998</v>
      </c>
      <c r="T253" s="6">
        <v>694.62582222222261</v>
      </c>
      <c r="U253" s="6">
        <v>111.11111111111121</v>
      </c>
      <c r="V253" s="6">
        <f t="shared" si="11"/>
        <v>1.2600713879850747</v>
      </c>
      <c r="W253" s="6">
        <f t="shared" si="12"/>
        <v>2.5900656953861083</v>
      </c>
      <c r="X253" s="6">
        <v>2.5958856375234856</v>
      </c>
      <c r="Y253" s="6">
        <f t="shared" si="13"/>
        <v>0.6860425064842175</v>
      </c>
      <c r="Z253" s="6">
        <f t="shared" si="13"/>
        <v>2.6814653840489866</v>
      </c>
      <c r="AA253" s="6">
        <f t="shared" si="13"/>
        <v>2.8417509238641396</v>
      </c>
      <c r="AB253" s="6">
        <f t="shared" si="10"/>
        <v>2.0457574905606757</v>
      </c>
    </row>
    <row r="254" spans="1:28">
      <c r="A254" s="1">
        <v>37</v>
      </c>
      <c r="B254" s="1">
        <v>1</v>
      </c>
      <c r="C254" s="1">
        <v>1</v>
      </c>
      <c r="D254" s="1">
        <v>1</v>
      </c>
      <c r="E254" s="1">
        <v>1</v>
      </c>
      <c r="F254" s="1">
        <v>23</v>
      </c>
      <c r="G254" s="1">
        <v>18</v>
      </c>
      <c r="H254" s="1">
        <v>3</v>
      </c>
      <c r="I254" s="1">
        <v>1</v>
      </c>
      <c r="J254" s="1">
        <v>6</v>
      </c>
      <c r="K254" s="1">
        <v>7</v>
      </c>
      <c r="L254" s="1">
        <v>3</v>
      </c>
      <c r="M254" s="1">
        <v>48</v>
      </c>
      <c r="N254" s="5">
        <v>76.2</v>
      </c>
      <c r="O254" s="6">
        <v>5806.44</v>
      </c>
      <c r="P254" s="5">
        <v>365.29400000000004</v>
      </c>
      <c r="Q254">
        <v>350.54926031071238</v>
      </c>
      <c r="R254" s="6">
        <v>23.640560000000001</v>
      </c>
      <c r="S254" s="6">
        <v>143.6438</v>
      </c>
      <c r="T254" s="6">
        <v>883.23413333333235</v>
      </c>
      <c r="U254" s="6">
        <v>288.88888888888795</v>
      </c>
      <c r="V254" s="6">
        <f t="shared" si="11"/>
        <v>1.8819549713396004</v>
      </c>
      <c r="W254" s="6">
        <f t="shared" si="12"/>
        <v>2.5626425389288854</v>
      </c>
      <c r="X254" s="6">
        <v>2.5447490550499197</v>
      </c>
      <c r="Y254" s="6">
        <f t="shared" si="13"/>
        <v>1.3736577599431141</v>
      </c>
      <c r="Z254" s="6">
        <f t="shared" si="13"/>
        <v>2.1572868855740719</v>
      </c>
      <c r="AA254" s="6">
        <f t="shared" si="13"/>
        <v>2.9460758443885999</v>
      </c>
      <c r="AB254" s="6">
        <f t="shared" si="10"/>
        <v>2.4607308385314917</v>
      </c>
    </row>
    <row r="255" spans="1:28">
      <c r="A255" s="1">
        <v>38</v>
      </c>
      <c r="B255" s="1">
        <v>0</v>
      </c>
      <c r="C255" s="1">
        <v>1</v>
      </c>
      <c r="D255" s="1">
        <v>0</v>
      </c>
      <c r="E255" s="1">
        <v>1</v>
      </c>
      <c r="F255" s="1">
        <v>4</v>
      </c>
      <c r="G255" s="1">
        <v>6</v>
      </c>
      <c r="H255" s="1">
        <v>1</v>
      </c>
      <c r="I255" s="1">
        <v>1</v>
      </c>
      <c r="J255" s="1">
        <v>2</v>
      </c>
      <c r="K255" s="1">
        <v>2</v>
      </c>
      <c r="L255" s="1">
        <v>3</v>
      </c>
      <c r="M255" s="1">
        <v>48</v>
      </c>
      <c r="N255" s="5">
        <v>40.200000000000003</v>
      </c>
      <c r="O255" s="6">
        <v>1616.04</v>
      </c>
      <c r="P255" s="5">
        <v>341.48399999999998</v>
      </c>
      <c r="Q255">
        <v>309.39368226742988</v>
      </c>
      <c r="R255" s="6">
        <v>45.9895</v>
      </c>
      <c r="S255" s="6">
        <v>36.400200000000005</v>
      </c>
      <c r="T255" s="6">
        <v>2571.0720888888886</v>
      </c>
      <c r="U255" s="6">
        <v>444.44444444444326</v>
      </c>
      <c r="V255" s="6">
        <f t="shared" si="11"/>
        <v>1.6042260530844701</v>
      </c>
      <c r="W255" s="6">
        <f t="shared" si="12"/>
        <v>2.5333703599223933</v>
      </c>
      <c r="X255" s="6">
        <v>2.4905114412818796</v>
      </c>
      <c r="Y255" s="6">
        <f t="shared" si="13"/>
        <v>1.6626586879297374</v>
      </c>
      <c r="Z255" s="6">
        <f t="shared" si="13"/>
        <v>1.5611037698759176</v>
      </c>
      <c r="AA255" s="6">
        <f t="shared" si="13"/>
        <v>3.4101142537598328</v>
      </c>
      <c r="AB255" s="6">
        <f t="shared" si="10"/>
        <v>2.6478174818886364</v>
      </c>
    </row>
    <row r="256" spans="1:28">
      <c r="A256" s="1">
        <v>39</v>
      </c>
      <c r="B256" s="1">
        <v>1</v>
      </c>
      <c r="C256" s="1">
        <v>1</v>
      </c>
      <c r="D256" s="1">
        <v>1</v>
      </c>
      <c r="E256" s="1">
        <v>1</v>
      </c>
      <c r="F256" s="1">
        <v>22</v>
      </c>
      <c r="G256" s="1">
        <v>18</v>
      </c>
      <c r="H256" s="1">
        <v>3</v>
      </c>
      <c r="I256" s="1">
        <v>1</v>
      </c>
      <c r="J256" s="1">
        <v>6</v>
      </c>
      <c r="K256" s="1">
        <v>7</v>
      </c>
      <c r="L256" s="1">
        <v>3</v>
      </c>
      <c r="M256" s="1">
        <v>48</v>
      </c>
      <c r="N256" s="5">
        <v>50.2</v>
      </c>
      <c r="O256" s="6">
        <v>2520.04</v>
      </c>
      <c r="P256" s="5">
        <v>412.91399999999999</v>
      </c>
      <c r="Q256">
        <v>440.81533572388372</v>
      </c>
      <c r="R256" s="6">
        <v>34.521480000000004</v>
      </c>
      <c r="S256" s="6">
        <v>186.69779999999997</v>
      </c>
      <c r="T256" s="6">
        <v>7227.912666666668</v>
      </c>
      <c r="U256" s="6">
        <v>5444.4444444444443</v>
      </c>
      <c r="V256" s="6">
        <f t="shared" si="11"/>
        <v>1.7007037171450194</v>
      </c>
      <c r="W256" s="6">
        <f t="shared" si="12"/>
        <v>2.6158596080373835</v>
      </c>
      <c r="X256" s="6">
        <v>2.6442566949735031</v>
      </c>
      <c r="Y256" s="6">
        <f t="shared" si="13"/>
        <v>1.5380894064538022</v>
      </c>
      <c r="Z256" s="6">
        <f t="shared" si="13"/>
        <v>2.271139200362096</v>
      </c>
      <c r="AA256" s="6">
        <f t="shared" si="13"/>
        <v>3.859012896432628</v>
      </c>
      <c r="AB256" s="6">
        <f t="shared" si="10"/>
        <v>3.7359535705891886</v>
      </c>
    </row>
    <row r="257" spans="1:28">
      <c r="A257" s="1">
        <v>40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</v>
      </c>
      <c r="J257" s="1">
        <v>0</v>
      </c>
      <c r="K257" s="1">
        <v>0</v>
      </c>
      <c r="L257" s="1">
        <v>3</v>
      </c>
      <c r="M257" s="1">
        <v>48</v>
      </c>
      <c r="N257" s="5">
        <v>58.2</v>
      </c>
      <c r="O257" s="6">
        <v>3387.24</v>
      </c>
      <c r="P257" s="5">
        <v>436.72399999999999</v>
      </c>
      <c r="Q257">
        <v>489.94357643123311</v>
      </c>
      <c r="R257" s="6">
        <v>39.374840000000006</v>
      </c>
      <c r="S257" s="6">
        <v>778.88599999999997</v>
      </c>
      <c r="T257" s="6">
        <v>4393.3764888888891</v>
      </c>
      <c r="U257" s="6">
        <v>1200</v>
      </c>
      <c r="V257" s="6">
        <f t="shared" si="11"/>
        <v>1.7649229846498886</v>
      </c>
      <c r="W257" s="6">
        <f t="shared" si="12"/>
        <v>2.6402070590639153</v>
      </c>
      <c r="X257" s="6">
        <v>2.6901460680784766</v>
      </c>
      <c r="Y257" s="6">
        <f t="shared" si="13"/>
        <v>1.5952188020418909</v>
      </c>
      <c r="Z257" s="6">
        <f t="shared" si="13"/>
        <v>2.8914738977316889</v>
      </c>
      <c r="AA257" s="6">
        <f t="shared" si="13"/>
        <v>3.642798421576475</v>
      </c>
      <c r="AB257" s="6">
        <f t="shared" si="10"/>
        <v>3.0791812460476247</v>
      </c>
    </row>
    <row r="258" spans="1:28">
      <c r="A258" s="1">
        <v>41</v>
      </c>
      <c r="B258" s="1">
        <v>1</v>
      </c>
      <c r="C258" s="1">
        <v>1</v>
      </c>
      <c r="D258" s="1">
        <v>0</v>
      </c>
      <c r="E258" s="1">
        <v>1</v>
      </c>
      <c r="F258" s="1">
        <v>9</v>
      </c>
      <c r="G258" s="1">
        <v>6</v>
      </c>
      <c r="H258" s="1">
        <v>2</v>
      </c>
      <c r="I258" s="1">
        <v>1</v>
      </c>
      <c r="J258" s="1">
        <v>3</v>
      </c>
      <c r="K258" s="1">
        <v>3</v>
      </c>
      <c r="L258" s="1">
        <v>3</v>
      </c>
      <c r="M258" s="1">
        <v>48</v>
      </c>
      <c r="N258" s="5">
        <v>80.2</v>
      </c>
      <c r="O258" s="6">
        <v>6432.04</v>
      </c>
      <c r="P258" s="5">
        <v>341.48399999999998</v>
      </c>
      <c r="Q258">
        <v>309.39368226742988</v>
      </c>
      <c r="R258" s="6">
        <v>28.259080000000001</v>
      </c>
      <c r="S258" s="6">
        <v>256.36700000000002</v>
      </c>
      <c r="T258" s="6">
        <v>525.93782222222308</v>
      </c>
      <c r="U258" s="6">
        <v>111.11111111111121</v>
      </c>
      <c r="V258" s="6">
        <f t="shared" si="11"/>
        <v>1.9041743682841634</v>
      </c>
      <c r="W258" s="6">
        <f t="shared" si="12"/>
        <v>2.5333703599223933</v>
      </c>
      <c r="X258" s="6">
        <v>2.4905114412818796</v>
      </c>
      <c r="Y258" s="6">
        <f t="shared" si="13"/>
        <v>1.4511580188916215</v>
      </c>
      <c r="Z258" s="6">
        <f t="shared" si="13"/>
        <v>2.4088621213137653</v>
      </c>
      <c r="AA258" s="6">
        <f t="shared" si="13"/>
        <v>2.7209344037318122</v>
      </c>
      <c r="AB258" s="6">
        <f t="shared" si="13"/>
        <v>2.0457574905606757</v>
      </c>
    </row>
    <row r="259" spans="1:28">
      <c r="A259" s="1">
        <v>42</v>
      </c>
      <c r="B259" s="1">
        <v>0</v>
      </c>
      <c r="C259" s="1">
        <v>0</v>
      </c>
      <c r="D259" s="1">
        <v>0</v>
      </c>
      <c r="E259" s="1">
        <v>1</v>
      </c>
      <c r="F259" s="1">
        <v>0</v>
      </c>
      <c r="G259" s="1">
        <v>0</v>
      </c>
      <c r="H259" s="1">
        <v>0</v>
      </c>
      <c r="I259" s="1">
        <v>1</v>
      </c>
      <c r="J259" s="1">
        <v>0</v>
      </c>
      <c r="K259" s="1">
        <v>0</v>
      </c>
      <c r="L259" s="1">
        <v>3</v>
      </c>
      <c r="M259" s="1">
        <v>48</v>
      </c>
      <c r="N259" s="5">
        <v>104.2</v>
      </c>
      <c r="O259" s="6">
        <v>10857.64</v>
      </c>
      <c r="P259" s="5">
        <v>246.24400000000003</v>
      </c>
      <c r="Q259">
        <v>171.05573676297263</v>
      </c>
      <c r="R259" s="6">
        <v>66.537999999999997</v>
      </c>
      <c r="S259" s="6">
        <v>622.32600000000002</v>
      </c>
      <c r="T259" s="6">
        <v>27119.038666666671</v>
      </c>
      <c r="U259" s="6">
        <v>19000</v>
      </c>
      <c r="V259" s="6">
        <f t="shared" ref="V259:V322" si="14">LOG(N259)</f>
        <v>2.0178677189635055</v>
      </c>
      <c r="W259" s="6">
        <f t="shared" ref="W259:W322" si="15">LOG(P259)</f>
        <v>2.3913656572462489</v>
      </c>
      <c r="X259" s="6">
        <v>2.2331376438687824</v>
      </c>
      <c r="Y259" s="6">
        <f t="shared" ref="Y259:AB322" si="16">LOG(R259)</f>
        <v>1.8230697427002562</v>
      </c>
      <c r="Z259" s="6">
        <f t="shared" si="16"/>
        <v>2.7940179456424339</v>
      </c>
      <c r="AA259" s="6">
        <f t="shared" si="16"/>
        <v>4.4332742903144293</v>
      </c>
      <c r="AB259" s="6">
        <f t="shared" si="16"/>
        <v>4.2787536009528289</v>
      </c>
    </row>
    <row r="260" spans="1:28">
      <c r="A260" s="1">
        <v>43</v>
      </c>
      <c r="B260" s="1">
        <v>1</v>
      </c>
      <c r="C260" s="1">
        <v>1</v>
      </c>
      <c r="D260" s="1">
        <v>0</v>
      </c>
      <c r="E260" s="1">
        <v>1</v>
      </c>
      <c r="F260" s="1">
        <v>7</v>
      </c>
      <c r="G260" s="1">
        <v>6</v>
      </c>
      <c r="H260" s="1">
        <v>2</v>
      </c>
      <c r="I260" s="1">
        <v>1</v>
      </c>
      <c r="J260" s="1">
        <v>3</v>
      </c>
      <c r="K260" s="1">
        <v>3</v>
      </c>
      <c r="L260" s="1">
        <v>3</v>
      </c>
      <c r="M260" s="1">
        <v>48</v>
      </c>
      <c r="N260" s="5">
        <v>58.2</v>
      </c>
      <c r="O260" s="6">
        <v>3387.24</v>
      </c>
      <c r="P260" s="5">
        <v>317.67399999999998</v>
      </c>
      <c r="Q260">
        <v>270.87708716136484</v>
      </c>
      <c r="R260" s="6">
        <v>23.953680000000002</v>
      </c>
      <c r="S260" s="6">
        <v>100.9812</v>
      </c>
      <c r="T260" s="6">
        <v>1521.7556888888889</v>
      </c>
      <c r="U260" s="6">
        <v>688.88888888888857</v>
      </c>
      <c r="V260" s="6">
        <f t="shared" si="14"/>
        <v>1.7649229846498886</v>
      </c>
      <c r="W260" s="6">
        <f t="shared" si="15"/>
        <v>2.5019816714887804</v>
      </c>
      <c r="X260" s="6">
        <v>2.4327722706653785</v>
      </c>
      <c r="Y260" s="6">
        <f t="shared" si="16"/>
        <v>1.3793722434675435</v>
      </c>
      <c r="Z260" s="6">
        <f t="shared" si="16"/>
        <v>2.0042405272852126</v>
      </c>
      <c r="AA260" s="6">
        <f t="shared" si="16"/>
        <v>3.1823449339824204</v>
      </c>
      <c r="AB260" s="6">
        <f t="shared" si="16"/>
        <v>2.8381491800589287</v>
      </c>
    </row>
    <row r="261" spans="1:28">
      <c r="A261" s="1">
        <v>44</v>
      </c>
      <c r="B261" s="1">
        <v>0</v>
      </c>
      <c r="C261" s="1">
        <v>1</v>
      </c>
      <c r="D261" s="1">
        <v>0</v>
      </c>
      <c r="E261" s="1">
        <v>0</v>
      </c>
      <c r="F261" s="1">
        <v>5</v>
      </c>
      <c r="G261" s="1">
        <v>6</v>
      </c>
      <c r="H261" s="1">
        <v>1</v>
      </c>
      <c r="I261" s="1">
        <v>1</v>
      </c>
      <c r="J261" s="1">
        <v>2</v>
      </c>
      <c r="K261" s="1">
        <v>2</v>
      </c>
      <c r="L261" s="1">
        <v>3</v>
      </c>
      <c r="M261" s="1">
        <v>48</v>
      </c>
      <c r="N261" s="5">
        <v>214.2</v>
      </c>
      <c r="O261" s="6">
        <v>45881.64</v>
      </c>
      <c r="P261" s="5">
        <v>389.10399999999998</v>
      </c>
      <c r="Q261">
        <v>394.35344357187671</v>
      </c>
      <c r="R261" s="6">
        <v>156.1686</v>
      </c>
      <c r="S261" s="6">
        <v>36.791599999999995</v>
      </c>
      <c r="T261" s="6">
        <v>4212.0707111111115</v>
      </c>
      <c r="U261" s="6">
        <v>311.11111111111074</v>
      </c>
      <c r="V261" s="6">
        <f t="shared" si="14"/>
        <v>2.3308194664958366</v>
      </c>
      <c r="W261" s="6">
        <f t="shared" si="15"/>
        <v>2.5900656953861083</v>
      </c>
      <c r="X261" s="6">
        <v>2.5958856375234856</v>
      </c>
      <c r="Y261" s="6">
        <f t="shared" si="16"/>
        <v>2.1935937170087305</v>
      </c>
      <c r="Z261" s="6">
        <f t="shared" si="16"/>
        <v>1.5657486749216809</v>
      </c>
      <c r="AA261" s="6">
        <f t="shared" si="16"/>
        <v>3.6244956533936938</v>
      </c>
      <c r="AB261" s="6">
        <f t="shared" si="16"/>
        <v>2.4929155219028938</v>
      </c>
    </row>
    <row r="262" spans="1:28">
      <c r="A262" s="1">
        <v>45</v>
      </c>
      <c r="B262" s="1">
        <v>0</v>
      </c>
      <c r="C262" s="1">
        <v>1</v>
      </c>
      <c r="D262" s="1">
        <v>0</v>
      </c>
      <c r="E262" s="1">
        <v>1</v>
      </c>
      <c r="F262" s="1">
        <v>5</v>
      </c>
      <c r="G262" s="1">
        <v>6</v>
      </c>
      <c r="H262" s="1">
        <v>1</v>
      </c>
      <c r="I262" s="1">
        <v>1</v>
      </c>
      <c r="J262" s="1">
        <v>2</v>
      </c>
      <c r="K262" s="1">
        <v>2</v>
      </c>
      <c r="L262" s="1">
        <v>3</v>
      </c>
      <c r="M262" s="1">
        <v>48</v>
      </c>
      <c r="N262" s="5">
        <v>148.19999999999999</v>
      </c>
      <c r="O262" s="6">
        <v>21963.24</v>
      </c>
      <c r="P262" s="5">
        <v>460.53400000000005</v>
      </c>
      <c r="Q262">
        <v>541.74638768079785</v>
      </c>
      <c r="R262" s="6">
        <v>83.368200000000002</v>
      </c>
      <c r="S262" s="6">
        <v>69.277799999999999</v>
      </c>
      <c r="T262" s="6">
        <v>7386.7172888888872</v>
      </c>
      <c r="U262" s="6">
        <v>1755.555555555555</v>
      </c>
      <c r="V262" s="6">
        <f t="shared" si="14"/>
        <v>2.1708482036433092</v>
      </c>
      <c r="W262" s="6">
        <f t="shared" si="15"/>
        <v>2.6632616985226694</v>
      </c>
      <c r="X262" s="6">
        <v>2.7337960241625492</v>
      </c>
      <c r="Y262" s="6">
        <f t="shared" si="16"/>
        <v>1.9210004247607202</v>
      </c>
      <c r="Z262" s="6">
        <f t="shared" si="16"/>
        <v>1.840594087683789</v>
      </c>
      <c r="AA262" s="6">
        <f t="shared" si="16"/>
        <v>3.8684514776286663</v>
      </c>
      <c r="AB262" s="6">
        <f t="shared" si="16"/>
        <v>3.2444145775150974</v>
      </c>
    </row>
    <row r="263" spans="1:28">
      <c r="A263" s="1">
        <v>46</v>
      </c>
      <c r="B263" s="1">
        <v>0</v>
      </c>
      <c r="C263" s="1">
        <v>1</v>
      </c>
      <c r="D263" s="1">
        <v>0</v>
      </c>
      <c r="E263" s="1">
        <v>1</v>
      </c>
      <c r="F263" s="1">
        <v>6</v>
      </c>
      <c r="G263" s="1">
        <v>6</v>
      </c>
      <c r="H263" s="1">
        <v>1</v>
      </c>
      <c r="I263" s="1">
        <v>1</v>
      </c>
      <c r="J263" s="1">
        <v>2</v>
      </c>
      <c r="K263" s="1">
        <v>2</v>
      </c>
      <c r="L263" s="1">
        <v>3</v>
      </c>
      <c r="M263" s="1">
        <v>48</v>
      </c>
      <c r="N263" s="5">
        <v>42.2</v>
      </c>
      <c r="O263" s="6">
        <v>1780.84</v>
      </c>
      <c r="P263" s="5">
        <v>365.29400000000004</v>
      </c>
      <c r="Q263">
        <v>350.54926031071238</v>
      </c>
      <c r="R263" s="6">
        <v>7.3583199999999991</v>
      </c>
      <c r="S263" s="6">
        <v>38.357199999999999</v>
      </c>
      <c r="T263" s="6">
        <v>825.56426666666653</v>
      </c>
      <c r="U263" s="6">
        <v>111.11111111111121</v>
      </c>
      <c r="V263" s="6">
        <f t="shared" si="14"/>
        <v>1.6253124509616739</v>
      </c>
      <c r="W263" s="6">
        <f t="shared" si="15"/>
        <v>2.5626425389288854</v>
      </c>
      <c r="X263" s="6">
        <v>2.5447490550499197</v>
      </c>
      <c r="Y263" s="6">
        <f t="shared" si="16"/>
        <v>0.86677867058566216</v>
      </c>
      <c r="Z263" s="6">
        <f t="shared" si="16"/>
        <v>1.5838468970144772</v>
      </c>
      <c r="AA263" s="6">
        <f t="shared" si="16"/>
        <v>2.9167508868929524</v>
      </c>
      <c r="AB263" s="6">
        <f t="shared" si="16"/>
        <v>2.0457574905606757</v>
      </c>
    </row>
    <row r="264" spans="1:28">
      <c r="A264" s="1">
        <v>47</v>
      </c>
      <c r="B264" s="1">
        <v>1</v>
      </c>
      <c r="C264" s="1">
        <v>1</v>
      </c>
      <c r="D264" s="1">
        <v>1</v>
      </c>
      <c r="E264" s="1">
        <v>1</v>
      </c>
      <c r="F264" s="1">
        <v>16</v>
      </c>
      <c r="G264" s="1">
        <v>6</v>
      </c>
      <c r="H264" s="1">
        <v>3</v>
      </c>
      <c r="I264" s="1">
        <v>1</v>
      </c>
      <c r="J264" s="1">
        <v>5</v>
      </c>
      <c r="K264" s="1">
        <v>6</v>
      </c>
      <c r="L264" s="1">
        <v>3</v>
      </c>
      <c r="M264" s="1">
        <v>48</v>
      </c>
      <c r="N264" s="5">
        <v>60.2</v>
      </c>
      <c r="O264" s="6">
        <v>3624.04</v>
      </c>
      <c r="P264" s="5">
        <v>270.05399999999997</v>
      </c>
      <c r="Q264">
        <v>201.7193605435836</v>
      </c>
      <c r="R264" s="6">
        <v>7.4366000000000003</v>
      </c>
      <c r="S264" s="6">
        <v>684.55859999999996</v>
      </c>
      <c r="T264" s="6">
        <v>1577.2058222222236</v>
      </c>
      <c r="U264" s="6">
        <v>444.44444444444485</v>
      </c>
      <c r="V264" s="6">
        <f t="shared" si="14"/>
        <v>1.7795964912578246</v>
      </c>
      <c r="W264" s="6">
        <f t="shared" si="15"/>
        <v>2.431450614370636</v>
      </c>
      <c r="X264" s="6">
        <v>2.3047475827627588</v>
      </c>
      <c r="Y264" s="6">
        <f t="shared" si="16"/>
        <v>0.87137442227481132</v>
      </c>
      <c r="Z264" s="6">
        <f t="shared" si="16"/>
        <v>2.8354106308006588</v>
      </c>
      <c r="AA264" s="6">
        <f t="shared" si="16"/>
        <v>3.1978883715931188</v>
      </c>
      <c r="AB264" s="6">
        <f t="shared" si="16"/>
        <v>2.6478174818886377</v>
      </c>
    </row>
    <row r="265" spans="1:28">
      <c r="A265" s="1">
        <v>48</v>
      </c>
      <c r="B265" s="1">
        <v>0</v>
      </c>
      <c r="C265" s="1">
        <v>1</v>
      </c>
      <c r="D265" s="1">
        <v>1</v>
      </c>
      <c r="E265" s="1">
        <v>1</v>
      </c>
      <c r="F265" s="1">
        <v>12</v>
      </c>
      <c r="G265" s="1">
        <v>6</v>
      </c>
      <c r="H265" s="1">
        <v>2</v>
      </c>
      <c r="I265" s="1">
        <v>1</v>
      </c>
      <c r="J265" s="1">
        <v>4</v>
      </c>
      <c r="K265" s="1">
        <v>4</v>
      </c>
      <c r="L265" s="1">
        <v>3</v>
      </c>
      <c r="M265" s="1">
        <v>48</v>
      </c>
      <c r="N265" s="5">
        <v>102.2</v>
      </c>
      <c r="O265" s="6">
        <v>10444.84</v>
      </c>
      <c r="P265" s="5">
        <v>365.29400000000004</v>
      </c>
      <c r="Q265">
        <v>350.54926031071238</v>
      </c>
      <c r="R265" s="6">
        <v>39.492260000000002</v>
      </c>
      <c r="S265" s="6">
        <v>835.63900000000012</v>
      </c>
      <c r="T265" s="6">
        <v>1806.694888888889</v>
      </c>
      <c r="U265" s="6">
        <v>1155.5555555555563</v>
      </c>
      <c r="V265" s="6">
        <f t="shared" si="14"/>
        <v>2.0094508957986941</v>
      </c>
      <c r="W265" s="6">
        <f t="shared" si="15"/>
        <v>2.5626425389288854</v>
      </c>
      <c r="X265" s="6">
        <v>2.5447490550499197</v>
      </c>
      <c r="Y265" s="6">
        <f t="shared" si="16"/>
        <v>1.5965119875588929</v>
      </c>
      <c r="Z265" s="6">
        <f t="shared" si="16"/>
        <v>2.9220187006830249</v>
      </c>
      <c r="AA265" s="6">
        <f t="shared" si="16"/>
        <v>3.2568848159476804</v>
      </c>
      <c r="AB265" s="6">
        <f t="shared" si="16"/>
        <v>3.0627908298594559</v>
      </c>
    </row>
    <row r="266" spans="1:28">
      <c r="A266" s="1">
        <v>49</v>
      </c>
      <c r="B266" s="1">
        <v>1</v>
      </c>
      <c r="C266" s="1">
        <v>0</v>
      </c>
      <c r="D266" s="1">
        <v>0</v>
      </c>
      <c r="E266" s="1">
        <v>1</v>
      </c>
      <c r="F266" s="1">
        <v>2</v>
      </c>
      <c r="G266" s="1">
        <v>6</v>
      </c>
      <c r="H266" s="1">
        <v>1</v>
      </c>
      <c r="I266" s="1">
        <v>1</v>
      </c>
      <c r="J266" s="1">
        <v>1</v>
      </c>
      <c r="K266" s="1">
        <v>1</v>
      </c>
      <c r="L266" s="1">
        <v>3</v>
      </c>
      <c r="M266" s="1">
        <v>48</v>
      </c>
      <c r="N266" s="5">
        <v>54.2</v>
      </c>
      <c r="O266" s="6">
        <v>2937.64</v>
      </c>
      <c r="P266" s="5">
        <v>317.67399999999998</v>
      </c>
      <c r="Q266">
        <v>270.87708716136484</v>
      </c>
      <c r="R266" s="6">
        <v>7.6714400000000005</v>
      </c>
      <c r="S266" s="6">
        <v>487.29300000000001</v>
      </c>
      <c r="T266" s="6">
        <v>1181.0376444444446</v>
      </c>
      <c r="U266" s="6">
        <v>422.22222222222194</v>
      </c>
      <c r="V266" s="6">
        <f t="shared" si="14"/>
        <v>1.7339992865383869</v>
      </c>
      <c r="W266" s="6">
        <f t="shared" si="15"/>
        <v>2.5019816714887804</v>
      </c>
      <c r="X266" s="6">
        <v>2.4327722706653785</v>
      </c>
      <c r="Y266" s="6">
        <f t="shared" si="16"/>
        <v>0.88487689267845848</v>
      </c>
      <c r="Z266" s="6">
        <f t="shared" si="16"/>
        <v>2.6877901727537377</v>
      </c>
      <c r="AA266" s="6">
        <f t="shared" si="16"/>
        <v>3.0722637405550417</v>
      </c>
      <c r="AB266" s="6">
        <f t="shared" si="16"/>
        <v>2.6255410871774849</v>
      </c>
    </row>
    <row r="267" spans="1:28">
      <c r="A267" s="1">
        <v>50</v>
      </c>
      <c r="B267" s="1">
        <v>1</v>
      </c>
      <c r="C267" s="1">
        <v>1</v>
      </c>
      <c r="D267" s="1">
        <v>1</v>
      </c>
      <c r="E267" s="1">
        <v>1</v>
      </c>
      <c r="F267" s="1">
        <v>17</v>
      </c>
      <c r="G267" s="1">
        <v>6</v>
      </c>
      <c r="H267" s="1">
        <v>3</v>
      </c>
      <c r="I267" s="1">
        <v>1</v>
      </c>
      <c r="J267" s="1">
        <v>5</v>
      </c>
      <c r="K267" s="1">
        <v>6</v>
      </c>
      <c r="L267" s="1">
        <v>3</v>
      </c>
      <c r="M267" s="1">
        <v>48</v>
      </c>
      <c r="N267" s="5">
        <v>70.2</v>
      </c>
      <c r="O267" s="6">
        <v>4928.04</v>
      </c>
      <c r="P267" s="5">
        <v>341.48399999999998</v>
      </c>
      <c r="Q267">
        <v>309.39368226742988</v>
      </c>
      <c r="R267" s="6">
        <v>17.886980000000005</v>
      </c>
      <c r="S267" s="6">
        <v>54.795999999999999</v>
      </c>
      <c r="T267" s="6">
        <v>315.63275555555646</v>
      </c>
      <c r="U267" s="6">
        <v>133.33333333333405</v>
      </c>
      <c r="V267" s="6">
        <f t="shared" si="14"/>
        <v>1.8463371121298053</v>
      </c>
      <c r="W267" s="6">
        <f t="shared" si="15"/>
        <v>2.5333703599223933</v>
      </c>
      <c r="X267" s="6">
        <v>2.4905114412818796</v>
      </c>
      <c r="Y267" s="6">
        <f t="shared" si="16"/>
        <v>1.2525370213918328</v>
      </c>
      <c r="Z267" s="6">
        <f t="shared" si="16"/>
        <v>1.7387488570002203</v>
      </c>
      <c r="AA267" s="6">
        <f t="shared" si="16"/>
        <v>2.4991820668404832</v>
      </c>
      <c r="AB267" s="6">
        <f t="shared" si="16"/>
        <v>2.1249387366083021</v>
      </c>
    </row>
    <row r="268" spans="1:28">
      <c r="A268" s="1">
        <v>51</v>
      </c>
      <c r="B268" s="1">
        <v>0</v>
      </c>
      <c r="C268" s="1">
        <v>1</v>
      </c>
      <c r="D268" s="1">
        <v>1</v>
      </c>
      <c r="E268" s="1">
        <v>0</v>
      </c>
      <c r="F268" s="1">
        <v>11</v>
      </c>
      <c r="G268" s="1">
        <v>6</v>
      </c>
      <c r="H268" s="1">
        <v>2</v>
      </c>
      <c r="I268" s="1">
        <v>1</v>
      </c>
      <c r="J268" s="1">
        <v>4</v>
      </c>
      <c r="K268" s="1">
        <v>4</v>
      </c>
      <c r="L268" s="1">
        <v>3</v>
      </c>
      <c r="M268" s="1">
        <v>48</v>
      </c>
      <c r="N268" s="5">
        <v>112.2</v>
      </c>
      <c r="O268" s="6">
        <v>12588.84</v>
      </c>
      <c r="P268" s="5">
        <v>341.48399999999998</v>
      </c>
      <c r="Q268">
        <v>309.39368226742988</v>
      </c>
      <c r="R268" s="6">
        <v>127.00930000000001</v>
      </c>
      <c r="S268" s="6">
        <v>113.11460000000001</v>
      </c>
      <c r="T268" s="6">
        <v>19559.286888888892</v>
      </c>
      <c r="U268" s="6">
        <v>6622.2222222222235</v>
      </c>
      <c r="V268" s="6">
        <f t="shared" si="14"/>
        <v>2.0499928569201424</v>
      </c>
      <c r="W268" s="6">
        <f t="shared" si="15"/>
        <v>2.5333703599223933</v>
      </c>
      <c r="X268" s="6">
        <v>2.4905114412818796</v>
      </c>
      <c r="Y268" s="6">
        <f t="shared" si="16"/>
        <v>2.1038355224583705</v>
      </c>
      <c r="Z268" s="6">
        <f t="shared" si="16"/>
        <v>2.0535186640785303</v>
      </c>
      <c r="AA268" s="6">
        <f t="shared" si="16"/>
        <v>4.291353016818344</v>
      </c>
      <c r="AB268" s="6">
        <f t="shared" si="16"/>
        <v>3.8210037503009118</v>
      </c>
    </row>
    <row r="269" spans="1:28">
      <c r="A269" s="1">
        <v>52</v>
      </c>
      <c r="B269" s="1">
        <v>0</v>
      </c>
      <c r="C269" s="1">
        <v>1</v>
      </c>
      <c r="D269" s="1">
        <v>1</v>
      </c>
      <c r="E269" s="1">
        <v>1</v>
      </c>
      <c r="F269" s="1">
        <v>11</v>
      </c>
      <c r="G269" s="1">
        <v>6</v>
      </c>
      <c r="H269" s="1">
        <v>2</v>
      </c>
      <c r="I269" s="1">
        <v>1</v>
      </c>
      <c r="J269" s="1">
        <v>4</v>
      </c>
      <c r="K269" s="1">
        <v>4</v>
      </c>
      <c r="L269" s="1">
        <v>3</v>
      </c>
      <c r="M269" s="1">
        <v>48</v>
      </c>
      <c r="N269" s="5">
        <v>176.2</v>
      </c>
      <c r="O269" s="6">
        <v>31046.44</v>
      </c>
      <c r="P269" s="5">
        <v>317.67399999999998</v>
      </c>
      <c r="Q269">
        <v>270.87708716136484</v>
      </c>
      <c r="R269" s="6">
        <v>96.088700000000017</v>
      </c>
      <c r="S269" s="6">
        <v>151.4718</v>
      </c>
      <c r="T269" s="6">
        <v>0.1</v>
      </c>
      <c r="U269" s="6">
        <v>422.22222222222194</v>
      </c>
      <c r="V269" s="6">
        <f t="shared" si="14"/>
        <v>2.246005904076029</v>
      </c>
      <c r="W269" s="6">
        <f t="shared" si="15"/>
        <v>2.5019816714887804</v>
      </c>
      <c r="X269" s="6">
        <v>2.4327722706653785</v>
      </c>
      <c r="Y269" s="6">
        <f t="shared" si="16"/>
        <v>1.9826723177809698</v>
      </c>
      <c r="Z269" s="6">
        <f t="shared" si="16"/>
        <v>2.180331786340894</v>
      </c>
      <c r="AA269" s="6">
        <f t="shared" si="16"/>
        <v>-1</v>
      </c>
      <c r="AB269" s="6">
        <f t="shared" si="16"/>
        <v>2.6255410871774849</v>
      </c>
    </row>
    <row r="270" spans="1:28">
      <c r="A270" s="1">
        <v>53</v>
      </c>
      <c r="B270" s="1">
        <v>1</v>
      </c>
      <c r="C270" s="1">
        <v>1</v>
      </c>
      <c r="D270" s="1">
        <v>1</v>
      </c>
      <c r="E270" s="1">
        <v>1</v>
      </c>
      <c r="F270" s="1">
        <v>15</v>
      </c>
      <c r="G270" s="1">
        <v>6</v>
      </c>
      <c r="H270" s="1">
        <v>3</v>
      </c>
      <c r="I270" s="1">
        <v>1</v>
      </c>
      <c r="J270" s="1">
        <v>5</v>
      </c>
      <c r="K270" s="1">
        <v>5</v>
      </c>
      <c r="L270" s="1">
        <v>3</v>
      </c>
      <c r="M270" s="1">
        <v>48</v>
      </c>
      <c r="N270" s="5">
        <v>96.2</v>
      </c>
      <c r="O270" s="6">
        <v>9254.44</v>
      </c>
      <c r="P270" s="5">
        <v>389.10399999999998</v>
      </c>
      <c r="Q270">
        <v>394.35344357187671</v>
      </c>
      <c r="R270" s="6">
        <v>20.000540000000001</v>
      </c>
      <c r="S270" s="6">
        <v>390.61720000000003</v>
      </c>
      <c r="T270" s="6">
        <v>579.22042758620591</v>
      </c>
      <c r="U270" s="6">
        <v>111.11111111111121</v>
      </c>
      <c r="V270" s="6">
        <f t="shared" si="14"/>
        <v>1.983175072037813</v>
      </c>
      <c r="W270" s="6">
        <f t="shared" si="15"/>
        <v>2.5900656953861083</v>
      </c>
      <c r="X270" s="6">
        <v>2.5958856375234856</v>
      </c>
      <c r="Y270" s="6">
        <f t="shared" si="16"/>
        <v>1.3010417214566952</v>
      </c>
      <c r="Z270" s="6">
        <f t="shared" si="16"/>
        <v>2.5917513626093536</v>
      </c>
      <c r="AA270" s="6">
        <f t="shared" si="16"/>
        <v>2.7628438698871691</v>
      </c>
      <c r="AB270" s="6">
        <f t="shared" si="16"/>
        <v>2.0457574905606757</v>
      </c>
    </row>
    <row r="271" spans="1:28">
      <c r="A271" s="1">
        <v>54</v>
      </c>
      <c r="B271" s="1">
        <v>1</v>
      </c>
      <c r="C271" s="1">
        <v>1</v>
      </c>
      <c r="D271" s="1">
        <v>1</v>
      </c>
      <c r="E271" s="1">
        <v>1</v>
      </c>
      <c r="F271" s="1">
        <v>19</v>
      </c>
      <c r="G271" s="1">
        <v>6</v>
      </c>
      <c r="H271" s="1">
        <v>3</v>
      </c>
      <c r="I271" s="1">
        <v>1</v>
      </c>
      <c r="J271" s="1">
        <v>5</v>
      </c>
      <c r="K271" s="1">
        <v>6</v>
      </c>
      <c r="L271" s="1">
        <v>3</v>
      </c>
      <c r="M271" s="1">
        <v>48</v>
      </c>
      <c r="N271" s="5">
        <v>104.2</v>
      </c>
      <c r="O271" s="6">
        <v>10857.64</v>
      </c>
      <c r="P271" s="5">
        <v>436.72399999999999</v>
      </c>
      <c r="Q271">
        <v>489.94357643123311</v>
      </c>
      <c r="R271" s="6">
        <v>15.538580000000003</v>
      </c>
      <c r="S271" s="6">
        <v>305.29199999999997</v>
      </c>
      <c r="T271" s="6">
        <v>25092.452577777782</v>
      </c>
      <c r="U271" s="6">
        <v>11600</v>
      </c>
      <c r="V271" s="6">
        <f t="shared" si="14"/>
        <v>2.0178677189635055</v>
      </c>
      <c r="W271" s="6">
        <f t="shared" si="15"/>
        <v>2.6402070590639153</v>
      </c>
      <c r="X271" s="6">
        <v>2.6901460680784766</v>
      </c>
      <c r="Y271" s="6">
        <f t="shared" si="16"/>
        <v>1.1914113280850975</v>
      </c>
      <c r="Z271" s="6">
        <f t="shared" si="16"/>
        <v>2.4847154240124629</v>
      </c>
      <c r="AA271" s="6">
        <f t="shared" si="16"/>
        <v>4.3995431120495372</v>
      </c>
      <c r="AB271" s="6">
        <f t="shared" si="16"/>
        <v>4.0644579892269181</v>
      </c>
    </row>
    <row r="272" spans="1:28">
      <c r="A272" s="1">
        <v>55</v>
      </c>
      <c r="B272" s="1">
        <v>0</v>
      </c>
      <c r="C272" s="1">
        <v>1</v>
      </c>
      <c r="D272" s="1">
        <v>1</v>
      </c>
      <c r="E272" s="1">
        <v>0</v>
      </c>
      <c r="F272" s="1">
        <v>11</v>
      </c>
      <c r="G272" s="1">
        <v>6</v>
      </c>
      <c r="H272" s="1">
        <v>2</v>
      </c>
      <c r="I272" s="1">
        <v>2</v>
      </c>
      <c r="J272" s="1">
        <v>4</v>
      </c>
      <c r="K272" s="1">
        <v>4</v>
      </c>
      <c r="L272" s="1">
        <v>3</v>
      </c>
      <c r="M272" s="1">
        <v>48</v>
      </c>
      <c r="N272" s="5">
        <v>56.2</v>
      </c>
      <c r="O272" s="6">
        <v>3158.44</v>
      </c>
      <c r="P272" s="5">
        <v>341.48399999999998</v>
      </c>
      <c r="Q272">
        <v>309.39368226742988</v>
      </c>
      <c r="R272" s="6">
        <v>14.834060000000001</v>
      </c>
      <c r="S272" s="6">
        <v>103.721</v>
      </c>
      <c r="T272" s="6">
        <v>1580.8159999999991</v>
      </c>
      <c r="U272" s="6">
        <v>422.22222222222194</v>
      </c>
      <c r="V272" s="6">
        <f t="shared" si="14"/>
        <v>1.7497363155690611</v>
      </c>
      <c r="W272" s="6">
        <f t="shared" si="15"/>
        <v>2.5333703599223933</v>
      </c>
      <c r="X272" s="6">
        <v>2.4905114412818796</v>
      </c>
      <c r="Y272" s="6">
        <f t="shared" si="16"/>
        <v>1.1712600312900547</v>
      </c>
      <c r="Z272" s="6">
        <f t="shared" si="16"/>
        <v>2.01586669525879</v>
      </c>
      <c r="AA272" s="6">
        <f t="shared" si="16"/>
        <v>3.1988813229144442</v>
      </c>
      <c r="AB272" s="6">
        <f t="shared" si="16"/>
        <v>2.6255410871774849</v>
      </c>
    </row>
    <row r="273" spans="1:28">
      <c r="A273" s="1">
        <v>56</v>
      </c>
      <c r="B273" s="1">
        <v>0</v>
      </c>
      <c r="C273" s="1">
        <v>1</v>
      </c>
      <c r="D273" s="1">
        <v>1</v>
      </c>
      <c r="E273" s="1">
        <v>0</v>
      </c>
      <c r="F273" s="1">
        <v>10</v>
      </c>
      <c r="G273" s="1">
        <v>6</v>
      </c>
      <c r="H273" s="1">
        <v>2</v>
      </c>
      <c r="I273" s="1">
        <v>2</v>
      </c>
      <c r="J273" s="1">
        <v>4</v>
      </c>
      <c r="K273" s="1">
        <v>4</v>
      </c>
      <c r="L273" s="1">
        <v>3</v>
      </c>
      <c r="M273" s="1">
        <v>48</v>
      </c>
      <c r="N273" s="5">
        <v>68.2</v>
      </c>
      <c r="O273" s="6">
        <v>4651.24</v>
      </c>
      <c r="P273" s="5">
        <v>341.48399999999998</v>
      </c>
      <c r="Q273">
        <v>309.39368226742988</v>
      </c>
      <c r="R273" s="6">
        <v>7.593160000000001</v>
      </c>
      <c r="S273" s="6">
        <v>655.20359999999994</v>
      </c>
      <c r="T273" s="6">
        <v>3794.5095999999999</v>
      </c>
      <c r="U273" s="6">
        <v>2466.6666666666679</v>
      </c>
      <c r="V273" s="6">
        <f t="shared" si="14"/>
        <v>1.833784374656479</v>
      </c>
      <c r="W273" s="6">
        <f t="shared" si="15"/>
        <v>2.5333703599223933</v>
      </c>
      <c r="X273" s="6">
        <v>2.4905114412818796</v>
      </c>
      <c r="Y273" s="6">
        <f t="shared" si="16"/>
        <v>0.88042255125220847</v>
      </c>
      <c r="Z273" s="6">
        <f t="shared" si="16"/>
        <v>2.8163762749792234</v>
      </c>
      <c r="AA273" s="6">
        <f t="shared" si="16"/>
        <v>3.5791556559163729</v>
      </c>
      <c r="AB273" s="6">
        <f t="shared" si="16"/>
        <v>3.3921104650113141</v>
      </c>
    </row>
    <row r="274" spans="1:28">
      <c r="A274" s="1">
        <v>57</v>
      </c>
      <c r="B274" s="1">
        <v>1</v>
      </c>
      <c r="C274" s="1">
        <v>1</v>
      </c>
      <c r="D274" s="1">
        <v>1</v>
      </c>
      <c r="E274" s="1">
        <v>0</v>
      </c>
      <c r="F274" s="1">
        <v>20</v>
      </c>
      <c r="G274" s="1">
        <v>18</v>
      </c>
      <c r="H274" s="1">
        <v>3</v>
      </c>
      <c r="I274" s="1">
        <v>2</v>
      </c>
      <c r="J274" s="1">
        <v>6</v>
      </c>
      <c r="K274" s="1">
        <v>7</v>
      </c>
      <c r="L274" s="1">
        <v>3</v>
      </c>
      <c r="M274" s="1">
        <v>48</v>
      </c>
      <c r="N274" s="5">
        <v>142.19999999999999</v>
      </c>
      <c r="O274" s="6">
        <v>20220.84</v>
      </c>
      <c r="P274" s="5">
        <v>494.45962399999962</v>
      </c>
      <c r="Q274">
        <v>653.40675387780539</v>
      </c>
      <c r="R274" s="6">
        <v>179.2612</v>
      </c>
      <c r="S274" s="6">
        <v>380.44080000000002</v>
      </c>
      <c r="T274" s="6">
        <v>10645.805777777776</v>
      </c>
      <c r="U274" s="6">
        <v>2066.6666666666661</v>
      </c>
      <c r="V274" s="6">
        <f t="shared" si="14"/>
        <v>2.1528995963937474</v>
      </c>
      <c r="W274" s="6">
        <f t="shared" si="15"/>
        <v>2.6941308342751373</v>
      </c>
      <c r="X274" s="6">
        <v>2.8151836192069162</v>
      </c>
      <c r="Y274" s="6">
        <f t="shared" si="16"/>
        <v>2.2534862993258518</v>
      </c>
      <c r="Z274" s="6">
        <f t="shared" si="16"/>
        <v>2.5802870862482568</v>
      </c>
      <c r="AA274" s="6">
        <f t="shared" si="16"/>
        <v>4.0271785386347068</v>
      </c>
      <c r="AB274" s="6">
        <f t="shared" si="16"/>
        <v>3.3152704347785913</v>
      </c>
    </row>
    <row r="275" spans="1:28">
      <c r="A275" s="1">
        <v>58</v>
      </c>
      <c r="B275" s="1">
        <v>1</v>
      </c>
      <c r="C275" s="1">
        <v>1</v>
      </c>
      <c r="D275" s="1">
        <v>1</v>
      </c>
      <c r="E275" s="1">
        <v>0</v>
      </c>
      <c r="F275" s="1">
        <v>25</v>
      </c>
      <c r="G275" s="1">
        <v>18</v>
      </c>
      <c r="H275" s="1">
        <v>3</v>
      </c>
      <c r="I275" s="1">
        <v>2</v>
      </c>
      <c r="J275" s="1">
        <v>6</v>
      </c>
      <c r="K275" s="1">
        <v>7</v>
      </c>
      <c r="L275" s="1">
        <v>3</v>
      </c>
      <c r="M275" s="1">
        <v>48</v>
      </c>
      <c r="N275" s="5">
        <v>142.19999999999999</v>
      </c>
      <c r="O275" s="6">
        <v>20220.84</v>
      </c>
      <c r="P275" s="5">
        <v>500.52025599999979</v>
      </c>
      <c r="Q275">
        <v>713.2789950834034</v>
      </c>
      <c r="R275" s="6">
        <v>87.47790000000002</v>
      </c>
      <c r="S275" s="6">
        <v>241.8852</v>
      </c>
      <c r="T275" s="6">
        <v>5190.1880000000001</v>
      </c>
      <c r="U275" s="6">
        <v>1444.4444444444443</v>
      </c>
      <c r="V275" s="6">
        <f t="shared" si="14"/>
        <v>2.1528995963937474</v>
      </c>
      <c r="W275" s="6">
        <f t="shared" si="15"/>
        <v>2.6994216580211612</v>
      </c>
      <c r="X275" s="6">
        <v>2.8532594349365836</v>
      </c>
      <c r="Y275" s="6">
        <f t="shared" si="16"/>
        <v>1.9418983487899377</v>
      </c>
      <c r="Z275" s="6">
        <f t="shared" si="16"/>
        <v>2.383609296410798</v>
      </c>
      <c r="AA275" s="6">
        <f t="shared" si="16"/>
        <v>3.7151830892326307</v>
      </c>
      <c r="AB275" s="6">
        <f t="shared" si="16"/>
        <v>3.1597008428675117</v>
      </c>
    </row>
    <row r="276" spans="1:28">
      <c r="A276" s="1">
        <v>59</v>
      </c>
      <c r="B276" s="1">
        <v>1</v>
      </c>
      <c r="C276" s="1">
        <v>1</v>
      </c>
      <c r="D276" s="1">
        <v>1</v>
      </c>
      <c r="E276" s="1">
        <v>0</v>
      </c>
      <c r="F276" s="1">
        <v>17</v>
      </c>
      <c r="G276" s="1">
        <v>6</v>
      </c>
      <c r="H276" s="1">
        <v>3</v>
      </c>
      <c r="I276" s="1">
        <v>2</v>
      </c>
      <c r="J276" s="1">
        <v>5</v>
      </c>
      <c r="K276" s="1">
        <v>6</v>
      </c>
      <c r="L276" s="1">
        <v>3</v>
      </c>
      <c r="M276" s="1">
        <v>48</v>
      </c>
      <c r="N276" s="5">
        <v>50.2</v>
      </c>
      <c r="O276" s="6">
        <v>2520.04</v>
      </c>
      <c r="P276" s="5">
        <v>317.67399999999998</v>
      </c>
      <c r="Q276">
        <v>270.87708716136484</v>
      </c>
      <c r="R276" s="6">
        <v>47.359400000000001</v>
      </c>
      <c r="S276" s="6">
        <v>42.2712</v>
      </c>
      <c r="T276" s="6">
        <v>1024.5241333333333</v>
      </c>
      <c r="U276" s="6">
        <v>355.55555555555645</v>
      </c>
      <c r="V276" s="6">
        <f t="shared" si="14"/>
        <v>1.7007037171450194</v>
      </c>
      <c r="W276" s="6">
        <f t="shared" si="15"/>
        <v>2.5019816714887804</v>
      </c>
      <c r="X276" s="6">
        <v>2.4327722706653785</v>
      </c>
      <c r="Y276" s="6">
        <f t="shared" si="16"/>
        <v>1.6754061916384324</v>
      </c>
      <c r="Z276" s="6">
        <f t="shared" si="16"/>
        <v>1.626044576808932</v>
      </c>
      <c r="AA276" s="6">
        <f t="shared" si="16"/>
        <v>3.0105221929471235</v>
      </c>
      <c r="AB276" s="6">
        <f t="shared" si="16"/>
        <v>2.5509074688805824</v>
      </c>
    </row>
    <row r="277" spans="1:28">
      <c r="A277" s="1">
        <v>60</v>
      </c>
      <c r="B277" s="1">
        <v>1</v>
      </c>
      <c r="C277" s="1">
        <v>1</v>
      </c>
      <c r="D277" s="1">
        <v>1</v>
      </c>
      <c r="E277" s="1">
        <v>0</v>
      </c>
      <c r="F277" s="1">
        <v>23</v>
      </c>
      <c r="G277" s="1">
        <v>18</v>
      </c>
      <c r="H277" s="1">
        <v>3</v>
      </c>
      <c r="I277" s="1">
        <v>2</v>
      </c>
      <c r="J277" s="1">
        <v>6</v>
      </c>
      <c r="K277" s="1">
        <v>7</v>
      </c>
      <c r="L277" s="1">
        <v>3</v>
      </c>
      <c r="M277" s="1">
        <v>48</v>
      </c>
      <c r="N277" s="5">
        <v>88.2</v>
      </c>
      <c r="O277" s="6">
        <v>7779.24</v>
      </c>
      <c r="P277" s="5">
        <v>341.48399999999998</v>
      </c>
      <c r="Q277">
        <v>309.39368226742988</v>
      </c>
      <c r="R277" s="6">
        <v>30.333500000000001</v>
      </c>
      <c r="S277" s="6">
        <v>453.63260000000002</v>
      </c>
      <c r="T277" s="6">
        <v>2495.8875999999987</v>
      </c>
      <c r="U277" s="6">
        <v>999.99999999999943</v>
      </c>
      <c r="V277" s="6">
        <f t="shared" si="14"/>
        <v>1.9454685851318196</v>
      </c>
      <c r="W277" s="6">
        <f t="shared" si="15"/>
        <v>2.5333703599223933</v>
      </c>
      <c r="X277" s="6">
        <v>2.4905114412818796</v>
      </c>
      <c r="Y277" s="6">
        <f t="shared" si="16"/>
        <v>1.4819225238282927</v>
      </c>
      <c r="Z277" s="6">
        <f t="shared" si="16"/>
        <v>2.6567042572855786</v>
      </c>
      <c r="AA277" s="6">
        <f t="shared" si="16"/>
        <v>3.3972250233986427</v>
      </c>
      <c r="AB277" s="6">
        <f t="shared" si="16"/>
        <v>2.9999999999999996</v>
      </c>
    </row>
    <row r="278" spans="1:28">
      <c r="A278" s="1">
        <v>61</v>
      </c>
      <c r="B278" s="1">
        <v>0</v>
      </c>
      <c r="C278" s="1">
        <v>1</v>
      </c>
      <c r="D278" s="1">
        <v>0</v>
      </c>
      <c r="E278" s="1">
        <v>0</v>
      </c>
      <c r="F278" s="1">
        <v>6</v>
      </c>
      <c r="G278" s="1">
        <v>6</v>
      </c>
      <c r="H278" s="1">
        <v>1</v>
      </c>
      <c r="I278" s="1">
        <v>2</v>
      </c>
      <c r="J278" s="1">
        <v>2</v>
      </c>
      <c r="K278" s="1">
        <v>2</v>
      </c>
      <c r="L278" s="1">
        <v>3</v>
      </c>
      <c r="M278" s="1">
        <v>48</v>
      </c>
      <c r="N278" s="5">
        <v>264.2</v>
      </c>
      <c r="O278" s="6">
        <v>69801.64</v>
      </c>
      <c r="P278" s="5">
        <v>484.34399999999994</v>
      </c>
      <c r="Q278">
        <v>596.23161344105915</v>
      </c>
      <c r="R278" s="6">
        <v>125.63940000000001</v>
      </c>
      <c r="S278" s="6">
        <v>56.753</v>
      </c>
      <c r="T278" s="6">
        <v>5751.3161333333319</v>
      </c>
      <c r="U278" s="6">
        <v>2733.333333333333</v>
      </c>
      <c r="V278" s="6">
        <f t="shared" si="14"/>
        <v>2.4219328132785085</v>
      </c>
      <c r="W278" s="6">
        <f t="shared" si="15"/>
        <v>2.6851539241140707</v>
      </c>
      <c r="X278" s="6">
        <v>2.7754149995044197</v>
      </c>
      <c r="Y278" s="6">
        <f t="shared" si="16"/>
        <v>2.0991258537268545</v>
      </c>
      <c r="Z278" s="6">
        <f t="shared" si="16"/>
        <v>1.7539888235569572</v>
      </c>
      <c r="AA278" s="6">
        <f t="shared" si="16"/>
        <v>3.7597672401744573</v>
      </c>
      <c r="AB278" s="6">
        <f t="shared" si="16"/>
        <v>3.4366925976640541</v>
      </c>
    </row>
    <row r="279" spans="1:28">
      <c r="A279" s="1">
        <v>62</v>
      </c>
      <c r="B279" s="1">
        <v>0</v>
      </c>
      <c r="C279" s="1">
        <v>1</v>
      </c>
      <c r="D279" s="1">
        <v>0</v>
      </c>
      <c r="E279" s="1">
        <v>0</v>
      </c>
      <c r="F279" s="1">
        <v>5</v>
      </c>
      <c r="G279" s="1">
        <v>6</v>
      </c>
      <c r="H279" s="1">
        <v>1</v>
      </c>
      <c r="I279" s="1">
        <v>2</v>
      </c>
      <c r="J279" s="1">
        <v>2</v>
      </c>
      <c r="K279" s="1">
        <v>2</v>
      </c>
      <c r="L279" s="1">
        <v>3</v>
      </c>
      <c r="M279" s="1">
        <v>48</v>
      </c>
      <c r="N279" s="5">
        <v>194.2</v>
      </c>
      <c r="O279" s="6">
        <v>37713.64</v>
      </c>
      <c r="P279" s="5">
        <v>484.34399999999994</v>
      </c>
      <c r="Q279">
        <v>596.23161344105915</v>
      </c>
      <c r="R279" s="6">
        <v>190.61180000000002</v>
      </c>
      <c r="S279" s="6">
        <v>25.832400000000003</v>
      </c>
      <c r="T279" s="6">
        <v>7705.5634222222225</v>
      </c>
      <c r="U279" s="6">
        <v>2911.1111111111113</v>
      </c>
      <c r="V279" s="6">
        <f t="shared" si="14"/>
        <v>2.288249225571986</v>
      </c>
      <c r="W279" s="6">
        <f t="shared" si="15"/>
        <v>2.6851539241140707</v>
      </c>
      <c r="X279" s="6">
        <v>2.7754149995044197</v>
      </c>
      <c r="Y279" s="6">
        <f t="shared" si="16"/>
        <v>2.2801497825366166</v>
      </c>
      <c r="Z279" s="6">
        <f t="shared" si="16"/>
        <v>1.4121647568638511</v>
      </c>
      <c r="AA279" s="6">
        <f t="shared" si="16"/>
        <v>3.8868043993446526</v>
      </c>
      <c r="AB279" s="6">
        <f t="shared" si="16"/>
        <v>3.4640587818804205</v>
      </c>
    </row>
    <row r="280" spans="1:28">
      <c r="A280" s="1">
        <v>63</v>
      </c>
      <c r="B280" s="1">
        <v>0</v>
      </c>
      <c r="C280" s="1">
        <v>1</v>
      </c>
      <c r="D280" s="1">
        <v>0</v>
      </c>
      <c r="E280" s="1">
        <v>1</v>
      </c>
      <c r="F280" s="1">
        <v>5</v>
      </c>
      <c r="G280" s="1">
        <v>6</v>
      </c>
      <c r="H280" s="1">
        <v>1</v>
      </c>
      <c r="I280" s="1">
        <v>2</v>
      </c>
      <c r="J280" s="1">
        <v>2</v>
      </c>
      <c r="K280" s="1">
        <v>2</v>
      </c>
      <c r="L280" s="1">
        <v>3</v>
      </c>
      <c r="M280" s="1">
        <v>48</v>
      </c>
      <c r="N280" s="5">
        <v>92.2</v>
      </c>
      <c r="O280" s="6">
        <v>8500.84</v>
      </c>
      <c r="P280" s="5">
        <v>389.10399999999998</v>
      </c>
      <c r="Q280">
        <v>394.35344357187671</v>
      </c>
      <c r="R280" s="6">
        <v>55.187400000000004</v>
      </c>
      <c r="S280" s="6">
        <v>23.483999999999998</v>
      </c>
      <c r="T280" s="6">
        <v>5921.3231999999998</v>
      </c>
      <c r="U280" s="6">
        <v>1333.333333333333</v>
      </c>
      <c r="V280" s="6">
        <f t="shared" si="14"/>
        <v>1.9647309210536295</v>
      </c>
      <c r="W280" s="6">
        <f t="shared" si="15"/>
        <v>2.5900656953861083</v>
      </c>
      <c r="X280" s="6">
        <v>2.5958856375234856</v>
      </c>
      <c r="Y280" s="6">
        <f t="shared" si="16"/>
        <v>1.7418399339773623</v>
      </c>
      <c r="Z280" s="6">
        <f t="shared" si="16"/>
        <v>1.370772071705626</v>
      </c>
      <c r="AA280" s="6">
        <f t="shared" si="16"/>
        <v>3.7724187665617808</v>
      </c>
      <c r="AB280" s="6">
        <f t="shared" si="16"/>
        <v>3.1249387366082999</v>
      </c>
    </row>
    <row r="281" spans="1:28">
      <c r="A281" s="1">
        <v>64</v>
      </c>
      <c r="B281" s="1">
        <v>1</v>
      </c>
      <c r="C281" s="1">
        <v>1</v>
      </c>
      <c r="D281" s="1">
        <v>0</v>
      </c>
      <c r="E281" s="1">
        <v>0</v>
      </c>
      <c r="F281" s="1">
        <v>9</v>
      </c>
      <c r="G281" s="1">
        <v>6</v>
      </c>
      <c r="H281" s="1">
        <v>2</v>
      </c>
      <c r="I281" s="1">
        <v>2</v>
      </c>
      <c r="J281" s="1">
        <v>3</v>
      </c>
      <c r="K281" s="1">
        <v>3</v>
      </c>
      <c r="L281" s="1">
        <v>3</v>
      </c>
      <c r="M281" s="1">
        <v>48</v>
      </c>
      <c r="N281" s="5">
        <v>186.2</v>
      </c>
      <c r="O281" s="6">
        <v>34670.44</v>
      </c>
      <c r="P281" s="5">
        <v>389.10399999999998</v>
      </c>
      <c r="Q281">
        <v>394.35344357187671</v>
      </c>
      <c r="R281" s="6">
        <v>80.237000000000009</v>
      </c>
      <c r="S281" s="6">
        <v>452.06700000000001</v>
      </c>
      <c r="T281" s="6">
        <v>26447.814666666673</v>
      </c>
      <c r="U281" s="6">
        <v>14422.222222222226</v>
      </c>
      <c r="V281" s="6">
        <f t="shared" si="14"/>
        <v>2.269979676645324</v>
      </c>
      <c r="W281" s="6">
        <f t="shared" si="15"/>
        <v>2.5900656953861083</v>
      </c>
      <c r="X281" s="6">
        <v>2.5958856375234856</v>
      </c>
      <c r="Y281" s="6">
        <f t="shared" si="16"/>
        <v>1.9043746823777368</v>
      </c>
      <c r="Z281" s="6">
        <f t="shared" si="16"/>
        <v>2.6552028055501453</v>
      </c>
      <c r="AA281" s="6">
        <f t="shared" si="16"/>
        <v>4.422389792914986</v>
      </c>
      <c r="AB281" s="6">
        <f t="shared" si="16"/>
        <v>4.1590321830250261</v>
      </c>
    </row>
    <row r="282" spans="1:28">
      <c r="A282" s="1">
        <v>65</v>
      </c>
      <c r="B282" s="1">
        <v>1</v>
      </c>
      <c r="C282" s="1">
        <v>1</v>
      </c>
      <c r="D282" s="1">
        <v>1</v>
      </c>
      <c r="E282" s="1">
        <v>0</v>
      </c>
      <c r="F282" s="1">
        <v>15</v>
      </c>
      <c r="G282" s="1">
        <v>6</v>
      </c>
      <c r="H282" s="1">
        <v>3</v>
      </c>
      <c r="I282" s="1">
        <v>2</v>
      </c>
      <c r="J282" s="1">
        <v>5</v>
      </c>
      <c r="K282" s="1">
        <v>5</v>
      </c>
      <c r="L282" s="1">
        <v>3</v>
      </c>
      <c r="M282" s="1">
        <v>48</v>
      </c>
      <c r="N282" s="5">
        <v>168.2</v>
      </c>
      <c r="O282" s="6">
        <v>28291.24</v>
      </c>
      <c r="P282" s="5">
        <v>719.13509599999998</v>
      </c>
      <c r="Q282">
        <v>1053.3292702891267</v>
      </c>
      <c r="R282" s="6">
        <v>174.56440000000001</v>
      </c>
      <c r="S282" s="6">
        <v>626.24</v>
      </c>
      <c r="T282" s="6">
        <v>30055.306444444446</v>
      </c>
      <c r="U282" s="6">
        <v>10822.222222222223</v>
      </c>
      <c r="V282" s="6">
        <f t="shared" si="14"/>
        <v>2.2258259914618934</v>
      </c>
      <c r="W282" s="6">
        <f t="shared" si="15"/>
        <v>2.8568104841742628</v>
      </c>
      <c r="X282" s="6">
        <v>3.0225641526825244</v>
      </c>
      <c r="Y282" s="6">
        <f t="shared" si="16"/>
        <v>2.241955680034124</v>
      </c>
      <c r="Z282" s="6">
        <f t="shared" si="16"/>
        <v>2.7967408039779071</v>
      </c>
      <c r="AA282" s="6">
        <f t="shared" si="16"/>
        <v>4.4779211604015492</v>
      </c>
      <c r="AB282" s="6">
        <f t="shared" si="16"/>
        <v>4.0343164474392905</v>
      </c>
    </row>
    <row r="283" spans="1:28">
      <c r="A283" s="1">
        <v>66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2</v>
      </c>
      <c r="J283" s="1">
        <v>0</v>
      </c>
      <c r="K283" s="1">
        <v>0</v>
      </c>
      <c r="L283" s="1">
        <v>3</v>
      </c>
      <c r="M283" s="1">
        <v>48</v>
      </c>
      <c r="N283" s="5">
        <v>68.2</v>
      </c>
      <c r="O283" s="6">
        <v>4651.24</v>
      </c>
      <c r="P283" s="5">
        <v>341.48399999999998</v>
      </c>
      <c r="Q283">
        <v>309.39368226742988</v>
      </c>
      <c r="R283" s="6">
        <v>24.345079999999999</v>
      </c>
      <c r="S283" s="6">
        <v>1456.008</v>
      </c>
      <c r="T283" s="6">
        <v>5372.7804444444446</v>
      </c>
      <c r="U283" s="6">
        <v>1822.2222222222217</v>
      </c>
      <c r="V283" s="6">
        <f t="shared" si="14"/>
        <v>1.833784374656479</v>
      </c>
      <c r="W283" s="6">
        <f t="shared" si="15"/>
        <v>2.5333703599223933</v>
      </c>
      <c r="X283" s="6">
        <v>2.4905114412818796</v>
      </c>
      <c r="Y283" s="6">
        <f t="shared" si="16"/>
        <v>1.3864112060128011</v>
      </c>
      <c r="Z283" s="6">
        <f t="shared" si="16"/>
        <v>3.1631637612038799</v>
      </c>
      <c r="AA283" s="6">
        <f t="shared" si="16"/>
        <v>3.7301990937392748</v>
      </c>
      <c r="AB283" s="6">
        <f t="shared" si="16"/>
        <v>3.2606013386083728</v>
      </c>
    </row>
    <row r="284" spans="1:28">
      <c r="A284" s="1">
        <v>67</v>
      </c>
      <c r="B284" s="1">
        <v>1</v>
      </c>
      <c r="C284" s="1">
        <v>1</v>
      </c>
      <c r="D284" s="1">
        <v>1</v>
      </c>
      <c r="E284" s="1">
        <v>0</v>
      </c>
      <c r="F284" s="1">
        <v>18</v>
      </c>
      <c r="G284" s="1">
        <v>6</v>
      </c>
      <c r="H284" s="1">
        <v>3</v>
      </c>
      <c r="I284" s="1">
        <v>2</v>
      </c>
      <c r="J284" s="1">
        <v>5</v>
      </c>
      <c r="K284" s="1">
        <v>6</v>
      </c>
      <c r="L284" s="1">
        <v>3</v>
      </c>
      <c r="M284" s="1">
        <v>48</v>
      </c>
      <c r="N284" s="5">
        <v>66.2</v>
      </c>
      <c r="O284" s="6">
        <v>4382.4399999999996</v>
      </c>
      <c r="P284" s="5">
        <v>389.10399999999998</v>
      </c>
      <c r="Q284">
        <v>394.35344357187671</v>
      </c>
      <c r="R284" s="6">
        <v>29.707260000000005</v>
      </c>
      <c r="S284" s="6">
        <v>792.58500000000004</v>
      </c>
      <c r="T284" s="6">
        <v>7268.6431555555555</v>
      </c>
      <c r="U284" s="6">
        <v>3355.5555555555561</v>
      </c>
      <c r="V284" s="6">
        <f t="shared" si="14"/>
        <v>1.8208579894396999</v>
      </c>
      <c r="W284" s="6">
        <f t="shared" si="15"/>
        <v>2.5900656953861083</v>
      </c>
      <c r="X284" s="6">
        <v>2.5958856375234856</v>
      </c>
      <c r="Y284" s="6">
        <f t="shared" si="16"/>
        <v>1.4728625972174627</v>
      </c>
      <c r="Z284" s="6">
        <f t="shared" si="16"/>
        <v>2.8990458488726696</v>
      </c>
      <c r="AA284" s="6">
        <f t="shared" si="16"/>
        <v>3.8614533482659983</v>
      </c>
      <c r="AB284" s="6">
        <f t="shared" si="16"/>
        <v>3.5257644335178258</v>
      </c>
    </row>
    <row r="285" spans="1:28">
      <c r="A285" s="1">
        <v>68</v>
      </c>
      <c r="B285" s="1">
        <v>1</v>
      </c>
      <c r="C285" s="1">
        <v>1</v>
      </c>
      <c r="D285" s="1">
        <v>0</v>
      </c>
      <c r="E285" s="1">
        <v>0</v>
      </c>
      <c r="F285" s="1">
        <v>8</v>
      </c>
      <c r="G285" s="1">
        <v>6</v>
      </c>
      <c r="H285" s="1">
        <v>2</v>
      </c>
      <c r="I285" s="1">
        <v>2</v>
      </c>
      <c r="J285" s="1">
        <v>3</v>
      </c>
      <c r="K285" s="1">
        <v>3</v>
      </c>
      <c r="L285" s="1">
        <v>3</v>
      </c>
      <c r="M285" s="1">
        <v>48</v>
      </c>
      <c r="N285" s="5">
        <v>28.2</v>
      </c>
      <c r="O285" s="6">
        <v>795.24</v>
      </c>
      <c r="P285" s="5">
        <v>341.48399999999998</v>
      </c>
      <c r="Q285">
        <v>309.39368226742988</v>
      </c>
      <c r="R285" s="6">
        <v>9.2761800000000019</v>
      </c>
      <c r="S285" s="6">
        <v>127.59639999999999</v>
      </c>
      <c r="T285" s="6">
        <v>619.82733333333431</v>
      </c>
      <c r="U285" s="6">
        <v>266.66666666666663</v>
      </c>
      <c r="V285" s="6">
        <f t="shared" si="14"/>
        <v>1.4502491083193612</v>
      </c>
      <c r="W285" s="6">
        <f t="shared" si="15"/>
        <v>2.5333703599223933</v>
      </c>
      <c r="X285" s="6">
        <v>2.4905114412818796</v>
      </c>
      <c r="Y285" s="6">
        <f t="shared" si="16"/>
        <v>0.96736916733208633</v>
      </c>
      <c r="Z285" s="6">
        <f t="shared" si="16"/>
        <v>2.1058384213899215</v>
      </c>
      <c r="AA285" s="6">
        <f t="shared" si="16"/>
        <v>2.7922707239750553</v>
      </c>
      <c r="AB285" s="6">
        <f t="shared" si="16"/>
        <v>2.4259687322722812</v>
      </c>
    </row>
    <row r="286" spans="1:28">
      <c r="A286" s="1">
        <v>69</v>
      </c>
      <c r="B286" s="1">
        <v>0</v>
      </c>
      <c r="C286" s="1">
        <v>1</v>
      </c>
      <c r="D286" s="1">
        <v>0</v>
      </c>
      <c r="E286" s="1">
        <v>0</v>
      </c>
      <c r="F286" s="1">
        <v>4</v>
      </c>
      <c r="G286" s="1">
        <v>6</v>
      </c>
      <c r="H286" s="1">
        <v>1</v>
      </c>
      <c r="I286" s="1">
        <v>2</v>
      </c>
      <c r="J286" s="1">
        <v>2</v>
      </c>
      <c r="K286" s="1">
        <v>2</v>
      </c>
      <c r="L286" s="1">
        <v>3</v>
      </c>
      <c r="M286" s="1">
        <v>48</v>
      </c>
      <c r="N286" s="5">
        <v>58.2</v>
      </c>
      <c r="O286" s="6">
        <v>3387.24</v>
      </c>
      <c r="P286" s="5">
        <v>341.48399999999998</v>
      </c>
      <c r="Q286">
        <v>309.39368226742988</v>
      </c>
      <c r="R286" s="6">
        <v>29.628980000000002</v>
      </c>
      <c r="S286" s="6">
        <v>75.148799999999994</v>
      </c>
      <c r="T286" s="6">
        <v>2905.8315555555555</v>
      </c>
      <c r="U286" s="6">
        <v>1111.1111111111104</v>
      </c>
      <c r="V286" s="6">
        <f t="shared" si="14"/>
        <v>1.7649229846498886</v>
      </c>
      <c r="W286" s="6">
        <f t="shared" si="15"/>
        <v>2.5333703599223933</v>
      </c>
      <c r="X286" s="6">
        <v>2.4905114412818796</v>
      </c>
      <c r="Y286" s="6">
        <f t="shared" si="16"/>
        <v>1.4717167008220551</v>
      </c>
      <c r="Z286" s="6">
        <f t="shared" si="16"/>
        <v>1.875922050025532</v>
      </c>
      <c r="AA286" s="6">
        <f t="shared" si="16"/>
        <v>3.4632704356285586</v>
      </c>
      <c r="AB286" s="6">
        <f t="shared" si="16"/>
        <v>3.0457574905606748</v>
      </c>
    </row>
    <row r="287" spans="1:28">
      <c r="A287" s="1">
        <v>70</v>
      </c>
      <c r="B287" s="1">
        <v>1</v>
      </c>
      <c r="C287" s="1">
        <v>1</v>
      </c>
      <c r="D287" s="1">
        <v>1</v>
      </c>
      <c r="E287" s="1">
        <v>0</v>
      </c>
      <c r="F287" s="1">
        <v>21</v>
      </c>
      <c r="G287" s="1">
        <v>18</v>
      </c>
      <c r="H287" s="1">
        <v>3</v>
      </c>
      <c r="I287" s="1">
        <v>2</v>
      </c>
      <c r="J287" s="1">
        <v>6</v>
      </c>
      <c r="K287" s="1">
        <v>7</v>
      </c>
      <c r="L287" s="1">
        <v>3</v>
      </c>
      <c r="M287" s="1">
        <v>48</v>
      </c>
      <c r="N287" s="5">
        <v>80.2</v>
      </c>
      <c r="O287" s="6">
        <v>6432.04</v>
      </c>
      <c r="P287" s="5">
        <v>436.72399999999999</v>
      </c>
      <c r="Q287">
        <v>489.94357643123311</v>
      </c>
      <c r="R287" s="6">
        <v>107.63500000000001</v>
      </c>
      <c r="S287" s="6">
        <v>118.5942</v>
      </c>
      <c r="T287" s="6">
        <v>2642.5642222222227</v>
      </c>
      <c r="U287" s="6">
        <v>666.66666666666572</v>
      </c>
      <c r="V287" s="6">
        <f t="shared" si="14"/>
        <v>1.9041743682841634</v>
      </c>
      <c r="W287" s="6">
        <f t="shared" si="15"/>
        <v>2.6402070590639153</v>
      </c>
      <c r="X287" s="6">
        <v>2.6901460680784766</v>
      </c>
      <c r="Y287" s="6">
        <f t="shared" si="16"/>
        <v>2.031953515152245</v>
      </c>
      <c r="Z287" s="6">
        <f t="shared" si="16"/>
        <v>2.0740634498242874</v>
      </c>
      <c r="AA287" s="6">
        <f t="shared" si="16"/>
        <v>3.4220255507638737</v>
      </c>
      <c r="AB287" s="6">
        <f t="shared" si="16"/>
        <v>2.8239087409443182</v>
      </c>
    </row>
    <row r="288" spans="1:28">
      <c r="A288" s="1">
        <v>71</v>
      </c>
      <c r="B288" s="1">
        <v>1</v>
      </c>
      <c r="C288" s="1">
        <v>0</v>
      </c>
      <c r="D288" s="1">
        <v>0</v>
      </c>
      <c r="E288" s="1">
        <v>0</v>
      </c>
      <c r="F288" s="1">
        <v>2</v>
      </c>
      <c r="G288" s="1">
        <v>6</v>
      </c>
      <c r="H288" s="1">
        <v>1</v>
      </c>
      <c r="I288" s="1">
        <v>2</v>
      </c>
      <c r="J288" s="1">
        <v>1</v>
      </c>
      <c r="K288" s="1">
        <v>1</v>
      </c>
      <c r="L288" s="1">
        <v>3</v>
      </c>
      <c r="M288" s="1">
        <v>48</v>
      </c>
      <c r="N288" s="5">
        <v>88.2</v>
      </c>
      <c r="O288" s="6">
        <v>7779.24</v>
      </c>
      <c r="P288" s="5">
        <v>460.53400000000005</v>
      </c>
      <c r="Q288">
        <v>541.74638768079785</v>
      </c>
      <c r="R288" s="6">
        <v>53.034700000000001</v>
      </c>
      <c r="S288" s="6">
        <v>263.80360000000002</v>
      </c>
      <c r="T288" s="6">
        <v>8940.3353333333362</v>
      </c>
      <c r="U288" s="6">
        <v>1577.7777777777783</v>
      </c>
      <c r="V288" s="6">
        <f t="shared" si="14"/>
        <v>1.9454685851318196</v>
      </c>
      <c r="W288" s="6">
        <f t="shared" si="15"/>
        <v>2.6632616985226694</v>
      </c>
      <c r="X288" s="6">
        <v>2.7337960241625492</v>
      </c>
      <c r="Y288" s="6">
        <f t="shared" si="16"/>
        <v>1.7245601165324069</v>
      </c>
      <c r="Z288" s="6">
        <f t="shared" si="16"/>
        <v>2.4212807178573024</v>
      </c>
      <c r="AA288" s="6">
        <f t="shared" si="16"/>
        <v>3.951353808581715</v>
      </c>
      <c r="AB288" s="6">
        <f t="shared" si="16"/>
        <v>3.198045834943732</v>
      </c>
    </row>
    <row r="289" spans="1:28">
      <c r="A289" s="1">
        <v>72</v>
      </c>
      <c r="B289" s="1">
        <v>1</v>
      </c>
      <c r="C289" s="1">
        <v>1</v>
      </c>
      <c r="D289" s="1">
        <v>1</v>
      </c>
      <c r="E289" s="1">
        <v>0</v>
      </c>
      <c r="F289" s="1">
        <v>24</v>
      </c>
      <c r="G289" s="1">
        <v>18</v>
      </c>
      <c r="H289" s="1">
        <v>3</v>
      </c>
      <c r="I289" s="1">
        <v>2</v>
      </c>
      <c r="J289" s="1">
        <v>6</v>
      </c>
      <c r="K289" s="1">
        <v>7</v>
      </c>
      <c r="L289" s="1">
        <v>3</v>
      </c>
      <c r="M289" s="1">
        <v>48</v>
      </c>
      <c r="N289" s="5">
        <v>172.2</v>
      </c>
      <c r="O289" s="6">
        <v>29652.84</v>
      </c>
      <c r="P289" s="5">
        <v>1721.7326639999992</v>
      </c>
      <c r="Q289">
        <v>1739.8821340455966</v>
      </c>
      <c r="R289" s="6">
        <v>188.0677</v>
      </c>
      <c r="S289" s="6">
        <v>56.361599999999996</v>
      </c>
      <c r="T289" s="6">
        <v>15602.519333333332</v>
      </c>
      <c r="U289" s="6">
        <v>4333.3333333333321</v>
      </c>
      <c r="V289" s="6">
        <f t="shared" si="14"/>
        <v>2.2360331471176358</v>
      </c>
      <c r="W289" s="6">
        <f t="shared" si="15"/>
        <v>3.2359657188000659</v>
      </c>
      <c r="X289" s="6">
        <v>3.2405198285886851</v>
      </c>
      <c r="Y289" s="6">
        <f t="shared" si="16"/>
        <v>2.2743142133265466</v>
      </c>
      <c r="Z289" s="6">
        <f t="shared" si="16"/>
        <v>1.7509833134172319</v>
      </c>
      <c r="AA289" s="6">
        <f t="shared" si="16"/>
        <v>4.1931947293945502</v>
      </c>
      <c r="AB289" s="6">
        <f t="shared" si="16"/>
        <v>3.6368220975871743</v>
      </c>
    </row>
    <row r="290" spans="1:28">
      <c r="A290" s="1">
        <v>73</v>
      </c>
      <c r="B290" s="1">
        <v>1</v>
      </c>
      <c r="C290" s="1">
        <v>1</v>
      </c>
      <c r="D290" s="1">
        <v>1</v>
      </c>
      <c r="E290" s="1">
        <v>0</v>
      </c>
      <c r="F290" s="1">
        <v>14</v>
      </c>
      <c r="G290" s="1">
        <v>6</v>
      </c>
      <c r="H290" s="1">
        <v>3</v>
      </c>
      <c r="I290" s="1">
        <v>2</v>
      </c>
      <c r="J290" s="1">
        <v>5</v>
      </c>
      <c r="K290" s="1">
        <v>5</v>
      </c>
      <c r="L290" s="1">
        <v>3</v>
      </c>
      <c r="M290" s="1">
        <v>48</v>
      </c>
      <c r="N290" s="5">
        <v>196.2</v>
      </c>
      <c r="O290" s="6">
        <v>38494.44</v>
      </c>
      <c r="P290" s="5">
        <v>673.99829999999997</v>
      </c>
      <c r="Q290">
        <v>673.99829999999997</v>
      </c>
      <c r="R290" s="6">
        <v>174.76009999999999</v>
      </c>
      <c r="S290" s="6">
        <v>190.22040000000001</v>
      </c>
      <c r="T290" s="6">
        <v>5447.6362222222224</v>
      </c>
      <c r="U290" s="6">
        <v>1711.1111111111106</v>
      </c>
      <c r="V290" s="6">
        <f t="shared" si="14"/>
        <v>2.2926990030439298</v>
      </c>
      <c r="W290" s="6">
        <f t="shared" si="15"/>
        <v>2.8286588011324261</v>
      </c>
      <c r="X290" s="6">
        <v>2.8286588011324261</v>
      </c>
      <c r="Y290" s="6">
        <f t="shared" si="16"/>
        <v>2.2424422845465477</v>
      </c>
      <c r="Z290" s="6">
        <f t="shared" si="16"/>
        <v>2.2792570905842759</v>
      </c>
      <c r="AA290" s="6">
        <f t="shared" si="16"/>
        <v>3.7362080989127384</v>
      </c>
      <c r="AB290" s="6">
        <f t="shared" si="16"/>
        <v>3.2332782113971379</v>
      </c>
    </row>
    <row r="291" spans="1:28">
      <c r="A291" s="1">
        <v>74</v>
      </c>
      <c r="B291" s="1">
        <v>1</v>
      </c>
      <c r="C291" s="1">
        <v>1</v>
      </c>
      <c r="D291" s="1">
        <v>1</v>
      </c>
      <c r="E291" s="1">
        <v>0</v>
      </c>
      <c r="F291" s="1">
        <v>13</v>
      </c>
      <c r="G291" s="1">
        <v>6</v>
      </c>
      <c r="H291" s="1">
        <v>3</v>
      </c>
      <c r="I291" s="1">
        <v>2</v>
      </c>
      <c r="J291" s="1">
        <v>5</v>
      </c>
      <c r="K291" s="1">
        <v>5</v>
      </c>
      <c r="L291" s="1">
        <v>3</v>
      </c>
      <c r="M291" s="1">
        <v>48</v>
      </c>
      <c r="N291" s="5">
        <v>234.2</v>
      </c>
      <c r="O291" s="6">
        <v>54849.64</v>
      </c>
      <c r="P291" s="5">
        <v>550.30385599999954</v>
      </c>
      <c r="Q291">
        <v>841.14210666180543</v>
      </c>
      <c r="R291" s="6">
        <v>168.49770000000001</v>
      </c>
      <c r="S291" s="6">
        <v>52.839000000000006</v>
      </c>
      <c r="T291" s="6">
        <v>7325.5410222222226</v>
      </c>
      <c r="U291" s="6">
        <v>4266.666666666667</v>
      </c>
      <c r="V291" s="6">
        <f t="shared" si="14"/>
        <v>2.3695868907363442</v>
      </c>
      <c r="W291" s="6">
        <f t="shared" si="15"/>
        <v>2.7406025559397316</v>
      </c>
      <c r="X291" s="6">
        <v>2.92486937383056</v>
      </c>
      <c r="Y291" s="6">
        <f t="shared" si="16"/>
        <v>2.2265939771116559</v>
      </c>
      <c r="Z291" s="6">
        <f t="shared" si="16"/>
        <v>1.7229545898169885</v>
      </c>
      <c r="AA291" s="6">
        <f t="shared" si="16"/>
        <v>3.8648397046969976</v>
      </c>
      <c r="AB291" s="6">
        <f t="shared" si="16"/>
        <v>3.6300887149282062</v>
      </c>
    </row>
    <row r="292" spans="1:28">
      <c r="A292" s="1">
        <v>75</v>
      </c>
      <c r="B292" s="1">
        <v>0</v>
      </c>
      <c r="C292" s="1">
        <v>1</v>
      </c>
      <c r="D292" s="1">
        <v>0</v>
      </c>
      <c r="E292" s="1">
        <v>1</v>
      </c>
      <c r="F292" s="1">
        <v>6</v>
      </c>
      <c r="G292" s="1">
        <v>6</v>
      </c>
      <c r="H292" s="1">
        <v>1</v>
      </c>
      <c r="I292" s="1">
        <v>2</v>
      </c>
      <c r="J292" s="1">
        <v>2</v>
      </c>
      <c r="K292" s="1">
        <v>2</v>
      </c>
      <c r="L292" s="1">
        <v>3</v>
      </c>
      <c r="M292" s="1">
        <v>48</v>
      </c>
      <c r="N292" s="5">
        <v>54.2</v>
      </c>
      <c r="O292" s="6">
        <v>2937.64</v>
      </c>
      <c r="P292" s="5">
        <v>317.67399999999998</v>
      </c>
      <c r="Q292">
        <v>270.87708716136484</v>
      </c>
      <c r="R292" s="6">
        <v>21.018180000000001</v>
      </c>
      <c r="S292" s="6">
        <v>17.613</v>
      </c>
      <c r="T292" s="6">
        <v>3035.7871555555553</v>
      </c>
      <c r="U292" s="6">
        <v>2244.4444444444439</v>
      </c>
      <c r="V292" s="6">
        <f t="shared" si="14"/>
        <v>1.7339992865383869</v>
      </c>
      <c r="W292" s="6">
        <f t="shared" si="15"/>
        <v>2.5019816714887804</v>
      </c>
      <c r="X292" s="6">
        <v>2.4327722706653785</v>
      </c>
      <c r="Y292" s="6">
        <f t="shared" si="16"/>
        <v>1.322595107021538</v>
      </c>
      <c r="Z292" s="6">
        <f t="shared" si="16"/>
        <v>1.2458333350973261</v>
      </c>
      <c r="AA292" s="6">
        <f t="shared" si="16"/>
        <v>3.4822713191311774</v>
      </c>
      <c r="AB292" s="6">
        <f t="shared" si="16"/>
        <v>3.3511088600072987</v>
      </c>
    </row>
    <row r="293" spans="1:28">
      <c r="A293" s="1">
        <v>76</v>
      </c>
      <c r="B293" s="1">
        <v>1</v>
      </c>
      <c r="C293" s="1">
        <v>0</v>
      </c>
      <c r="D293" s="1">
        <v>0</v>
      </c>
      <c r="E293" s="1">
        <v>0</v>
      </c>
      <c r="F293" s="1">
        <v>1</v>
      </c>
      <c r="G293" s="1">
        <v>6</v>
      </c>
      <c r="H293" s="1">
        <v>1</v>
      </c>
      <c r="I293" s="1">
        <v>2</v>
      </c>
      <c r="J293" s="1">
        <v>1</v>
      </c>
      <c r="K293" s="1">
        <v>1</v>
      </c>
      <c r="L293" s="1">
        <v>3</v>
      </c>
      <c r="M293" s="1">
        <v>48</v>
      </c>
      <c r="N293" s="5">
        <v>126.2</v>
      </c>
      <c r="O293" s="6">
        <v>15926.44</v>
      </c>
      <c r="P293" s="5">
        <v>412.91399999999999</v>
      </c>
      <c r="Q293">
        <v>440.81533572388372</v>
      </c>
      <c r="R293" s="6">
        <v>167.71490000000003</v>
      </c>
      <c r="S293" s="6">
        <v>602.75599999999997</v>
      </c>
      <c r="T293" s="6">
        <v>17958.153777777781</v>
      </c>
      <c r="U293" s="6">
        <v>5822.2222222222226</v>
      </c>
      <c r="V293" s="6">
        <f t="shared" si="14"/>
        <v>2.1010593549081156</v>
      </c>
      <c r="W293" s="6">
        <f t="shared" si="15"/>
        <v>2.6158596080373835</v>
      </c>
      <c r="X293" s="6">
        <v>2.6442566949735031</v>
      </c>
      <c r="Y293" s="6">
        <f t="shared" si="16"/>
        <v>2.2245716475811994</v>
      </c>
      <c r="Z293" s="6">
        <f t="shared" si="16"/>
        <v>2.7801415421584452</v>
      </c>
      <c r="AA293" s="6">
        <f t="shared" si="16"/>
        <v>4.2542616861543614</v>
      </c>
      <c r="AB293" s="6">
        <f t="shared" si="16"/>
        <v>3.7650887775444017</v>
      </c>
    </row>
    <row r="294" spans="1:28">
      <c r="A294" s="1">
        <v>77</v>
      </c>
      <c r="B294" s="1">
        <v>0</v>
      </c>
      <c r="C294" s="1">
        <v>0</v>
      </c>
      <c r="D294" s="1">
        <v>0</v>
      </c>
      <c r="E294" s="1">
        <v>1</v>
      </c>
      <c r="F294" s="1">
        <v>0</v>
      </c>
      <c r="G294" s="1">
        <v>0</v>
      </c>
      <c r="H294" s="1">
        <v>0</v>
      </c>
      <c r="I294" s="1">
        <v>2</v>
      </c>
      <c r="J294" s="1">
        <v>0</v>
      </c>
      <c r="K294" s="1">
        <v>0</v>
      </c>
      <c r="L294" s="1">
        <v>3</v>
      </c>
      <c r="M294" s="1">
        <v>48</v>
      </c>
      <c r="N294" s="5">
        <v>64.2</v>
      </c>
      <c r="O294" s="6">
        <v>4121.6400000000003</v>
      </c>
      <c r="P294" s="5">
        <v>388.05658800000003</v>
      </c>
      <c r="Q294">
        <v>388.05658800000003</v>
      </c>
      <c r="R294" s="6">
        <v>34.09094000000001</v>
      </c>
      <c r="S294" s="6">
        <v>77.497200000000007</v>
      </c>
      <c r="T294" s="6">
        <v>2760.7205333333341</v>
      </c>
      <c r="U294" s="6">
        <v>977.77777777777794</v>
      </c>
      <c r="V294" s="6">
        <f t="shared" si="14"/>
        <v>1.8075350280688534</v>
      </c>
      <c r="W294" s="6">
        <f t="shared" si="15"/>
        <v>2.5888950608111632</v>
      </c>
      <c r="X294" s="6">
        <v>2.5888950608111632</v>
      </c>
      <c r="Y294" s="6">
        <f t="shared" si="16"/>
        <v>1.5326389763296457</v>
      </c>
      <c r="Z294" s="6">
        <f t="shared" si="16"/>
        <v>1.8892860115835135</v>
      </c>
      <c r="AA294" s="6">
        <f t="shared" si="16"/>
        <v>3.4410224454026959</v>
      </c>
      <c r="AB294" s="6">
        <f t="shared" si="16"/>
        <v>2.9902401627108439</v>
      </c>
    </row>
    <row r="295" spans="1:28">
      <c r="A295" s="1">
        <v>78</v>
      </c>
      <c r="B295" s="1">
        <v>1</v>
      </c>
      <c r="C295" s="1">
        <v>0</v>
      </c>
      <c r="D295" s="1">
        <v>0</v>
      </c>
      <c r="E295" s="1">
        <v>1</v>
      </c>
      <c r="F295" s="1">
        <v>1</v>
      </c>
      <c r="G295" s="1">
        <v>6</v>
      </c>
      <c r="H295" s="1">
        <v>1</v>
      </c>
      <c r="I295" s="1">
        <v>2</v>
      </c>
      <c r="J295" s="1">
        <v>1</v>
      </c>
      <c r="K295" s="1">
        <v>1</v>
      </c>
      <c r="L295" s="1">
        <v>3</v>
      </c>
      <c r="M295" s="1">
        <v>48</v>
      </c>
      <c r="N295" s="5">
        <v>62.2</v>
      </c>
      <c r="O295" s="6">
        <v>3868.84</v>
      </c>
      <c r="P295" s="5">
        <v>389.10399999999998</v>
      </c>
      <c r="Q295">
        <v>394.35344357187671</v>
      </c>
      <c r="R295" s="6">
        <v>36.087080000000007</v>
      </c>
      <c r="S295" s="6">
        <v>632.50239999999997</v>
      </c>
      <c r="T295" s="6">
        <v>1849.0947555555558</v>
      </c>
      <c r="U295" s="6">
        <v>666.66666666666731</v>
      </c>
      <c r="V295" s="6">
        <f t="shared" si="14"/>
        <v>1.7937903846908188</v>
      </c>
      <c r="W295" s="6">
        <f t="shared" si="15"/>
        <v>2.5900656953861083</v>
      </c>
      <c r="X295" s="6">
        <v>2.5958856375234856</v>
      </c>
      <c r="Y295" s="6">
        <f t="shared" si="16"/>
        <v>1.5573517423756118</v>
      </c>
      <c r="Z295" s="6">
        <f t="shared" si="16"/>
        <v>2.8010621777605498</v>
      </c>
      <c r="AA295" s="6">
        <f t="shared" si="16"/>
        <v>3.2669591668435927</v>
      </c>
      <c r="AB295" s="6">
        <f t="shared" si="16"/>
        <v>2.8239087409443191</v>
      </c>
    </row>
    <row r="296" spans="1:28">
      <c r="A296" s="1">
        <v>79</v>
      </c>
      <c r="B296" s="1">
        <v>1</v>
      </c>
      <c r="C296" s="1">
        <v>1</v>
      </c>
      <c r="D296" s="1">
        <v>1</v>
      </c>
      <c r="E296" s="1">
        <v>0</v>
      </c>
      <c r="F296" s="1">
        <v>16</v>
      </c>
      <c r="G296" s="1">
        <v>6</v>
      </c>
      <c r="H296" s="1">
        <v>3</v>
      </c>
      <c r="I296" s="1">
        <v>2</v>
      </c>
      <c r="J296" s="1">
        <v>5</v>
      </c>
      <c r="K296" s="1">
        <v>6</v>
      </c>
      <c r="L296" s="1">
        <v>3</v>
      </c>
      <c r="M296" s="1">
        <v>48</v>
      </c>
      <c r="N296" s="5">
        <v>408.2</v>
      </c>
      <c r="O296" s="6">
        <v>166627.24</v>
      </c>
      <c r="P296" s="5">
        <v>460.53400000000005</v>
      </c>
      <c r="Q296">
        <v>541.74638768079785</v>
      </c>
      <c r="R296" s="6">
        <v>174.36869999999999</v>
      </c>
      <c r="S296" s="6">
        <v>200.78819999999999</v>
      </c>
      <c r="T296" s="6">
        <v>14391.603333333334</v>
      </c>
      <c r="U296" s="6">
        <v>5177.7777777777774</v>
      </c>
      <c r="V296" s="6">
        <f t="shared" si="14"/>
        <v>2.6108730003800518</v>
      </c>
      <c r="W296" s="6">
        <f t="shared" si="15"/>
        <v>2.6632616985226694</v>
      </c>
      <c r="X296" s="6">
        <v>2.7337960241625492</v>
      </c>
      <c r="Y296" s="6">
        <f t="shared" si="16"/>
        <v>2.2414685296948758</v>
      </c>
      <c r="Z296" s="6">
        <f t="shared" si="16"/>
        <v>2.3027381864337988</v>
      </c>
      <c r="AA296" s="6">
        <f t="shared" si="16"/>
        <v>4.1581091803181405</v>
      </c>
      <c r="AB296" s="6">
        <f t="shared" si="16"/>
        <v>3.7141434072506754</v>
      </c>
    </row>
    <row r="297" spans="1:28">
      <c r="A297" s="1">
        <v>80</v>
      </c>
      <c r="B297" s="1">
        <v>1</v>
      </c>
      <c r="C297" s="1">
        <v>1</v>
      </c>
      <c r="D297" s="1">
        <v>1</v>
      </c>
      <c r="E297" s="1">
        <v>1</v>
      </c>
      <c r="F297" s="1">
        <v>23</v>
      </c>
      <c r="G297" s="1">
        <v>18</v>
      </c>
      <c r="H297" s="1">
        <v>3</v>
      </c>
      <c r="I297" s="1">
        <v>2</v>
      </c>
      <c r="J297" s="1">
        <v>6</v>
      </c>
      <c r="K297" s="1">
        <v>7</v>
      </c>
      <c r="L297" s="1">
        <v>3</v>
      </c>
      <c r="M297" s="1">
        <v>48</v>
      </c>
      <c r="N297" s="5">
        <v>74.2</v>
      </c>
      <c r="O297" s="6">
        <v>5505.64</v>
      </c>
      <c r="P297" s="5">
        <v>365.29400000000004</v>
      </c>
      <c r="Q297">
        <v>350.54926031071238</v>
      </c>
      <c r="R297" s="6">
        <v>101.17690000000002</v>
      </c>
      <c r="S297" s="6">
        <v>463.02620000000002</v>
      </c>
      <c r="T297" s="6">
        <v>1923.3212888888881</v>
      </c>
      <c r="U297" s="6">
        <v>911.11111111111086</v>
      </c>
      <c r="V297" s="6">
        <f t="shared" si="14"/>
        <v>1.8704039052790271</v>
      </c>
      <c r="W297" s="6">
        <f t="shared" si="15"/>
        <v>2.5626425389288854</v>
      </c>
      <c r="X297" s="6">
        <v>2.5447490550499197</v>
      </c>
      <c r="Y297" s="6">
        <f t="shared" si="16"/>
        <v>2.0050813687519438</v>
      </c>
      <c r="Z297" s="6">
        <f t="shared" si="16"/>
        <v>2.6656055659499129</v>
      </c>
      <c r="AA297" s="6">
        <f t="shared" si="16"/>
        <v>3.2840518387555808</v>
      </c>
      <c r="AB297" s="6">
        <f t="shared" si="16"/>
        <v>2.9595713429443915</v>
      </c>
    </row>
    <row r="298" spans="1:28">
      <c r="A298" s="1">
        <v>81</v>
      </c>
      <c r="B298" s="1">
        <v>1</v>
      </c>
      <c r="C298" s="1">
        <v>1</v>
      </c>
      <c r="D298" s="1">
        <v>0</v>
      </c>
      <c r="E298" s="1">
        <v>0</v>
      </c>
      <c r="F298" s="1">
        <v>7</v>
      </c>
      <c r="G298" s="1">
        <v>6</v>
      </c>
      <c r="H298" s="1">
        <v>2</v>
      </c>
      <c r="I298" s="1">
        <v>2</v>
      </c>
      <c r="J298" s="1">
        <v>3</v>
      </c>
      <c r="K298" s="1">
        <v>3</v>
      </c>
      <c r="L298" s="1">
        <v>3</v>
      </c>
      <c r="M298" s="1">
        <v>48</v>
      </c>
      <c r="N298" s="5">
        <v>186.2</v>
      </c>
      <c r="O298" s="6">
        <v>34670.44</v>
      </c>
      <c r="P298" s="5">
        <v>594.02682399999958</v>
      </c>
      <c r="Q298">
        <v>909.14599767261734</v>
      </c>
      <c r="R298" s="6">
        <v>182.19669999999999</v>
      </c>
      <c r="S298" s="6">
        <v>91.978999999999999</v>
      </c>
      <c r="T298" s="6">
        <v>13325.426444444445</v>
      </c>
      <c r="U298" s="6">
        <v>7577.7777777777765</v>
      </c>
      <c r="V298" s="6">
        <f t="shared" si="14"/>
        <v>2.269979676645324</v>
      </c>
      <c r="W298" s="6">
        <f t="shared" si="15"/>
        <v>2.7738060565168072</v>
      </c>
      <c r="X298" s="6">
        <v>2.9586336311781887</v>
      </c>
      <c r="Y298" s="6">
        <f t="shared" si="16"/>
        <v>2.2605405066393436</v>
      </c>
      <c r="Z298" s="6">
        <f t="shared" si="16"/>
        <v>1.9636886835937186</v>
      </c>
      <c r="AA298" s="6">
        <f t="shared" si="16"/>
        <v>4.1246811163481842</v>
      </c>
      <c r="AB298" s="6">
        <f t="shared" si="16"/>
        <v>3.8795418652171541</v>
      </c>
    </row>
    <row r="299" spans="1:28">
      <c r="A299" s="1">
        <v>82</v>
      </c>
      <c r="B299" s="1">
        <v>1</v>
      </c>
      <c r="C299" s="1">
        <v>1</v>
      </c>
      <c r="D299" s="1">
        <v>1</v>
      </c>
      <c r="E299" s="1">
        <v>1</v>
      </c>
      <c r="F299" s="1">
        <v>21</v>
      </c>
      <c r="G299" s="1">
        <v>18</v>
      </c>
      <c r="H299" s="1">
        <v>3</v>
      </c>
      <c r="I299" s="1">
        <v>2</v>
      </c>
      <c r="J299" s="1">
        <v>6</v>
      </c>
      <c r="K299" s="1">
        <v>7</v>
      </c>
      <c r="L299" s="1">
        <v>3</v>
      </c>
      <c r="M299" s="1">
        <v>48</v>
      </c>
      <c r="N299" s="5">
        <v>76.2</v>
      </c>
      <c r="O299" s="6">
        <v>5806.44</v>
      </c>
      <c r="P299" s="5">
        <v>412.91399999999999</v>
      </c>
      <c r="Q299">
        <v>440.81533572388372</v>
      </c>
      <c r="R299" s="6">
        <v>52.447600000000001</v>
      </c>
      <c r="S299" s="6">
        <v>306.46620000000001</v>
      </c>
      <c r="T299" s="6">
        <v>4393.0261777777787</v>
      </c>
      <c r="U299" s="6">
        <v>1800</v>
      </c>
      <c r="V299" s="6">
        <f t="shared" si="14"/>
        <v>1.8819549713396004</v>
      </c>
      <c r="W299" s="6">
        <f t="shared" si="15"/>
        <v>2.6158596080373835</v>
      </c>
      <c r="X299" s="6">
        <v>2.6442566949735031</v>
      </c>
      <c r="Y299" s="6">
        <f t="shared" si="16"/>
        <v>1.7197256196867901</v>
      </c>
      <c r="Z299" s="6">
        <f t="shared" si="16"/>
        <v>2.4863825833799256</v>
      </c>
      <c r="AA299" s="6">
        <f t="shared" si="16"/>
        <v>3.6427637912076296</v>
      </c>
      <c r="AB299" s="6">
        <f t="shared" si="16"/>
        <v>3.255272505103306</v>
      </c>
    </row>
    <row r="300" spans="1:28">
      <c r="A300" s="1">
        <v>83</v>
      </c>
      <c r="B300" s="1">
        <v>1</v>
      </c>
      <c r="C300" s="1">
        <v>1</v>
      </c>
      <c r="D300" s="1">
        <v>1</v>
      </c>
      <c r="E300" s="1">
        <v>1</v>
      </c>
      <c r="F300" s="1">
        <v>18</v>
      </c>
      <c r="G300" s="1">
        <v>6</v>
      </c>
      <c r="H300" s="1">
        <v>3</v>
      </c>
      <c r="I300" s="1">
        <v>2</v>
      </c>
      <c r="J300" s="1">
        <v>5</v>
      </c>
      <c r="K300" s="1">
        <v>6</v>
      </c>
      <c r="L300" s="1">
        <v>3</v>
      </c>
      <c r="M300" s="1">
        <v>48</v>
      </c>
      <c r="N300" s="5">
        <v>94.2</v>
      </c>
      <c r="O300" s="6">
        <v>8873.64</v>
      </c>
      <c r="P300" s="5">
        <v>389.10399999999998</v>
      </c>
      <c r="Q300">
        <v>394.35344357187671</v>
      </c>
      <c r="R300" s="6">
        <v>25.675840000000001</v>
      </c>
      <c r="S300" s="6">
        <v>121.334</v>
      </c>
      <c r="T300" s="6">
        <v>7113.1092000000008</v>
      </c>
      <c r="U300" s="6">
        <v>6866.666666666667</v>
      </c>
      <c r="V300" s="6">
        <f t="shared" si="14"/>
        <v>1.9740509027928774</v>
      </c>
      <c r="W300" s="6">
        <f t="shared" si="15"/>
        <v>2.5900656953861083</v>
      </c>
      <c r="X300" s="6">
        <v>2.5958856375234856</v>
      </c>
      <c r="Y300" s="6">
        <f t="shared" si="16"/>
        <v>1.4095246606976426</v>
      </c>
      <c r="Z300" s="6">
        <f t="shared" si="16"/>
        <v>2.0839825151562552</v>
      </c>
      <c r="AA300" s="6">
        <f t="shared" si="16"/>
        <v>3.8520594760102913</v>
      </c>
      <c r="AB300" s="6">
        <f t="shared" si="16"/>
        <v>3.8367459656494911</v>
      </c>
    </row>
    <row r="301" spans="1:28">
      <c r="A301" s="1">
        <v>84</v>
      </c>
      <c r="B301" s="1">
        <v>1</v>
      </c>
      <c r="C301" s="1">
        <v>1</v>
      </c>
      <c r="D301" s="1">
        <v>1</v>
      </c>
      <c r="E301" s="1">
        <v>1</v>
      </c>
      <c r="F301" s="1">
        <v>24</v>
      </c>
      <c r="G301" s="1">
        <v>18</v>
      </c>
      <c r="H301" s="1">
        <v>3</v>
      </c>
      <c r="I301" s="1">
        <v>2</v>
      </c>
      <c r="J301" s="1">
        <v>6</v>
      </c>
      <c r="K301" s="1">
        <v>7</v>
      </c>
      <c r="L301" s="1">
        <v>3</v>
      </c>
      <c r="M301" s="1">
        <v>48</v>
      </c>
      <c r="N301" s="5">
        <v>70.2</v>
      </c>
      <c r="O301" s="6">
        <v>4928.04</v>
      </c>
      <c r="P301" s="5">
        <v>412.91399999999999</v>
      </c>
      <c r="Q301">
        <v>440.81533572388372</v>
      </c>
      <c r="R301" s="6">
        <v>28.259080000000001</v>
      </c>
      <c r="S301" s="6">
        <v>18.395799999999998</v>
      </c>
      <c r="T301" s="6">
        <v>388.86564444444326</v>
      </c>
      <c r="U301" s="6">
        <v>200</v>
      </c>
      <c r="V301" s="6">
        <f t="shared" si="14"/>
        <v>1.8463371121298053</v>
      </c>
      <c r="W301" s="6">
        <f t="shared" si="15"/>
        <v>2.6158596080373835</v>
      </c>
      <c r="X301" s="6">
        <v>2.6442566949735031</v>
      </c>
      <c r="Y301" s="6">
        <f t="shared" si="16"/>
        <v>1.4511580188916215</v>
      </c>
      <c r="Z301" s="6">
        <f t="shared" si="16"/>
        <v>1.2647186792576999</v>
      </c>
      <c r="AA301" s="6">
        <f t="shared" si="16"/>
        <v>2.589799575733529</v>
      </c>
      <c r="AB301" s="6">
        <f t="shared" si="16"/>
        <v>2.3010299956639813</v>
      </c>
    </row>
    <row r="302" spans="1:28">
      <c r="A302" s="1">
        <v>85</v>
      </c>
      <c r="B302" s="1">
        <v>1</v>
      </c>
      <c r="C302" s="1">
        <v>1</v>
      </c>
      <c r="D302" s="1">
        <v>1</v>
      </c>
      <c r="E302" s="1">
        <v>1</v>
      </c>
      <c r="F302" s="1">
        <v>20</v>
      </c>
      <c r="G302" s="1">
        <v>18</v>
      </c>
      <c r="H302" s="1">
        <v>3</v>
      </c>
      <c r="I302" s="1">
        <v>2</v>
      </c>
      <c r="J302" s="1">
        <v>6</v>
      </c>
      <c r="K302" s="1">
        <v>7</v>
      </c>
      <c r="L302" s="1">
        <v>3</v>
      </c>
      <c r="M302" s="1">
        <v>48</v>
      </c>
      <c r="N302" s="5">
        <v>46.2</v>
      </c>
      <c r="O302" s="6">
        <v>2134.44</v>
      </c>
      <c r="P302" s="5">
        <v>317.67399999999998</v>
      </c>
      <c r="Q302">
        <v>270.87708716136484</v>
      </c>
      <c r="R302" s="6">
        <v>6.9669200000000009</v>
      </c>
      <c r="S302" s="6">
        <v>257.93259999999998</v>
      </c>
      <c r="T302" s="6">
        <v>700.28057777777849</v>
      </c>
      <c r="U302" s="6">
        <v>288.88888888888943</v>
      </c>
      <c r="V302" s="6">
        <f t="shared" si="14"/>
        <v>1.6646419755561255</v>
      </c>
      <c r="W302" s="6">
        <f t="shared" si="15"/>
        <v>2.5019816714887804</v>
      </c>
      <c r="X302" s="6">
        <v>2.4327722706653785</v>
      </c>
      <c r="Y302" s="6">
        <f t="shared" si="16"/>
        <v>0.8430408236308764</v>
      </c>
      <c r="Z302" s="6">
        <f t="shared" si="16"/>
        <v>2.4115062359159922</v>
      </c>
      <c r="AA302" s="6">
        <f t="shared" si="16"/>
        <v>2.845272081394532</v>
      </c>
      <c r="AB302" s="6">
        <f t="shared" si="16"/>
        <v>2.4607308385314939</v>
      </c>
    </row>
    <row r="303" spans="1:28">
      <c r="A303" s="1">
        <v>86</v>
      </c>
      <c r="B303" s="1">
        <v>1</v>
      </c>
      <c r="C303" s="1">
        <v>1</v>
      </c>
      <c r="D303" s="1">
        <v>1</v>
      </c>
      <c r="E303" s="1">
        <v>1</v>
      </c>
      <c r="F303" s="1">
        <v>17</v>
      </c>
      <c r="G303" s="1">
        <v>6</v>
      </c>
      <c r="H303" s="1">
        <v>3</v>
      </c>
      <c r="I303" s="1">
        <v>2</v>
      </c>
      <c r="J303" s="1">
        <v>5</v>
      </c>
      <c r="K303" s="1">
        <v>6</v>
      </c>
      <c r="L303" s="1">
        <v>3</v>
      </c>
      <c r="M303" s="1">
        <v>48</v>
      </c>
      <c r="N303" s="5">
        <v>46.2</v>
      </c>
      <c r="O303" s="6">
        <v>2134.44</v>
      </c>
      <c r="P303" s="5">
        <v>317.67399999999998</v>
      </c>
      <c r="Q303">
        <v>270.87708716136484</v>
      </c>
      <c r="R303" s="6">
        <v>18.552360000000004</v>
      </c>
      <c r="S303" s="6">
        <v>28.9636</v>
      </c>
      <c r="T303" s="6">
        <v>868.05711111111088</v>
      </c>
      <c r="U303" s="6">
        <v>288.88888888888943</v>
      </c>
      <c r="V303" s="6">
        <f t="shared" si="14"/>
        <v>1.6646419755561255</v>
      </c>
      <c r="W303" s="6">
        <f t="shared" si="15"/>
        <v>2.5019816714887804</v>
      </c>
      <c r="X303" s="6">
        <v>2.4327722706653785</v>
      </c>
      <c r="Y303" s="6">
        <f t="shared" si="16"/>
        <v>1.2683991629960676</v>
      </c>
      <c r="Z303" s="6">
        <f t="shared" si="16"/>
        <v>1.4618525410529586</v>
      </c>
      <c r="AA303" s="6">
        <f t="shared" si="16"/>
        <v>2.9385482991678211</v>
      </c>
      <c r="AB303" s="6">
        <f t="shared" si="16"/>
        <v>2.4607308385314939</v>
      </c>
    </row>
    <row r="304" spans="1:28">
      <c r="A304" s="1">
        <v>87</v>
      </c>
      <c r="B304" s="1">
        <v>0</v>
      </c>
      <c r="C304" s="1">
        <v>1</v>
      </c>
      <c r="D304" s="1">
        <v>1</v>
      </c>
      <c r="E304" s="1">
        <v>0</v>
      </c>
      <c r="F304" s="1">
        <v>12</v>
      </c>
      <c r="G304" s="1">
        <v>6</v>
      </c>
      <c r="H304" s="1">
        <v>2</v>
      </c>
      <c r="I304" s="1">
        <v>2</v>
      </c>
      <c r="J304" s="1">
        <v>4</v>
      </c>
      <c r="K304" s="1">
        <v>4</v>
      </c>
      <c r="L304" s="1">
        <v>3</v>
      </c>
      <c r="M304" s="1">
        <v>48</v>
      </c>
      <c r="N304" s="5">
        <v>68.2</v>
      </c>
      <c r="O304" s="6">
        <v>4651.24</v>
      </c>
      <c r="P304" s="5">
        <v>412.91399999999999</v>
      </c>
      <c r="Q304">
        <v>440.81533572388372</v>
      </c>
      <c r="R304" s="6">
        <v>12.83792</v>
      </c>
      <c r="S304" s="6">
        <v>67.320800000000006</v>
      </c>
      <c r="T304" s="6">
        <v>1993.7732888888895</v>
      </c>
      <c r="U304" s="6">
        <v>533.33333333333326</v>
      </c>
      <c r="V304" s="6">
        <f t="shared" si="14"/>
        <v>1.833784374656479</v>
      </c>
      <c r="W304" s="6">
        <f t="shared" si="15"/>
        <v>2.6158596080373835</v>
      </c>
      <c r="X304" s="6">
        <v>2.6442566949735031</v>
      </c>
      <c r="Y304" s="6">
        <f t="shared" si="16"/>
        <v>1.1084946650336616</v>
      </c>
      <c r="Z304" s="6">
        <f t="shared" si="16"/>
        <v>1.8281492682295313</v>
      </c>
      <c r="AA304" s="6">
        <f t="shared" si="16"/>
        <v>3.2996757733426296</v>
      </c>
      <c r="AB304" s="6">
        <f t="shared" si="16"/>
        <v>2.7269987279362624</v>
      </c>
    </row>
    <row r="305" spans="1:28">
      <c r="A305" s="1">
        <v>88</v>
      </c>
      <c r="B305" s="1">
        <v>1</v>
      </c>
      <c r="C305" s="1">
        <v>1</v>
      </c>
      <c r="D305" s="1">
        <v>1</v>
      </c>
      <c r="E305" s="1">
        <v>1</v>
      </c>
      <c r="F305" s="1">
        <v>15</v>
      </c>
      <c r="G305" s="1">
        <v>6</v>
      </c>
      <c r="H305" s="1">
        <v>3</v>
      </c>
      <c r="I305" s="1">
        <v>2</v>
      </c>
      <c r="J305" s="1">
        <v>5</v>
      </c>
      <c r="K305" s="1">
        <v>5</v>
      </c>
      <c r="L305" s="1">
        <v>3</v>
      </c>
      <c r="M305" s="1">
        <v>48</v>
      </c>
      <c r="N305" s="5">
        <v>52.2</v>
      </c>
      <c r="O305" s="6">
        <v>2724.84</v>
      </c>
      <c r="P305" s="5">
        <v>365.29400000000004</v>
      </c>
      <c r="Q305">
        <v>350.54926031071238</v>
      </c>
      <c r="R305" s="6">
        <v>9.9024199999999993</v>
      </c>
      <c r="S305" s="6">
        <v>303.33499999999998</v>
      </c>
      <c r="T305" s="6">
        <v>953.63964444444343</v>
      </c>
      <c r="U305" s="6">
        <v>533.33333333333326</v>
      </c>
      <c r="V305" s="6">
        <f t="shared" si="14"/>
        <v>1.7176705030022621</v>
      </c>
      <c r="W305" s="6">
        <f t="shared" si="15"/>
        <v>2.5626425389288854</v>
      </c>
      <c r="X305" s="6">
        <v>2.5447490550499197</v>
      </c>
      <c r="Y305" s="6">
        <f t="shared" si="16"/>
        <v>0.99574134249780022</v>
      </c>
      <c r="Z305" s="6">
        <f t="shared" si="16"/>
        <v>2.4819225238282927</v>
      </c>
      <c r="AA305" s="6">
        <f t="shared" si="16"/>
        <v>2.9793842971419426</v>
      </c>
      <c r="AB305" s="6">
        <f t="shared" si="16"/>
        <v>2.7269987279362624</v>
      </c>
    </row>
    <row r="306" spans="1:28">
      <c r="A306" s="1">
        <v>89</v>
      </c>
      <c r="B306" s="1">
        <v>1</v>
      </c>
      <c r="C306" s="1">
        <v>0</v>
      </c>
      <c r="D306" s="1">
        <v>0</v>
      </c>
      <c r="E306" s="1">
        <v>0</v>
      </c>
      <c r="F306" s="1">
        <v>3</v>
      </c>
      <c r="G306" s="1">
        <v>6</v>
      </c>
      <c r="H306" s="1">
        <v>1</v>
      </c>
      <c r="I306" s="1">
        <v>2</v>
      </c>
      <c r="J306" s="1">
        <v>1</v>
      </c>
      <c r="K306" s="1">
        <v>1</v>
      </c>
      <c r="L306" s="1">
        <v>3</v>
      </c>
      <c r="M306" s="1">
        <v>48</v>
      </c>
      <c r="N306" s="5">
        <v>60.2</v>
      </c>
      <c r="O306" s="6">
        <v>3624.04</v>
      </c>
      <c r="P306" s="5">
        <v>293.86400000000003</v>
      </c>
      <c r="Q306">
        <v>234.98926912889357</v>
      </c>
      <c r="R306" s="6">
        <v>7.7497200000000008</v>
      </c>
      <c r="S306" s="6">
        <v>448.93580000000003</v>
      </c>
      <c r="T306" s="6">
        <v>882.45133333333388</v>
      </c>
      <c r="U306" s="6">
        <v>488.88888888888897</v>
      </c>
      <c r="V306" s="6">
        <f t="shared" si="14"/>
        <v>1.7795964912578246</v>
      </c>
      <c r="W306" s="6">
        <f t="shared" si="15"/>
        <v>2.4681463858039061</v>
      </c>
      <c r="X306" s="6">
        <v>2.3710480305078452</v>
      </c>
      <c r="Y306" s="6">
        <f t="shared" si="16"/>
        <v>0.8892860115835135</v>
      </c>
      <c r="Z306" s="6">
        <f t="shared" si="16"/>
        <v>2.6521842392232502</v>
      </c>
      <c r="AA306" s="6">
        <f t="shared" si="16"/>
        <v>2.9456907636376677</v>
      </c>
      <c r="AB306" s="6">
        <f t="shared" si="16"/>
        <v>2.6892101670468627</v>
      </c>
    </row>
    <row r="307" spans="1:28">
      <c r="A307" s="1">
        <v>90</v>
      </c>
      <c r="B307" s="1">
        <v>1</v>
      </c>
      <c r="C307" s="1">
        <v>1</v>
      </c>
      <c r="D307" s="1">
        <v>1</v>
      </c>
      <c r="E307" s="1">
        <v>1</v>
      </c>
      <c r="F307" s="1">
        <v>16</v>
      </c>
      <c r="G307" s="1">
        <v>6</v>
      </c>
      <c r="H307" s="1">
        <v>3</v>
      </c>
      <c r="I307" s="1">
        <v>2</v>
      </c>
      <c r="J307" s="1">
        <v>5</v>
      </c>
      <c r="K307" s="1">
        <v>6</v>
      </c>
      <c r="L307" s="1">
        <v>3</v>
      </c>
      <c r="M307" s="1">
        <v>48</v>
      </c>
      <c r="N307" s="5">
        <v>46.2</v>
      </c>
      <c r="O307" s="6">
        <v>2134.44</v>
      </c>
      <c r="P307" s="5">
        <v>365.29400000000004</v>
      </c>
      <c r="Q307">
        <v>350.54926031071238</v>
      </c>
      <c r="R307" s="6">
        <v>6.4189600000000002</v>
      </c>
      <c r="S307" s="6">
        <v>335.03840000000002</v>
      </c>
      <c r="T307" s="6">
        <v>2915.539777777778</v>
      </c>
      <c r="U307" s="6">
        <v>377.77777777777783</v>
      </c>
      <c r="V307" s="6">
        <f t="shared" si="14"/>
        <v>1.6646419755561255</v>
      </c>
      <c r="W307" s="6">
        <f t="shared" si="15"/>
        <v>2.5626425389288854</v>
      </c>
      <c r="X307" s="6">
        <v>2.5447490550499197</v>
      </c>
      <c r="Y307" s="6">
        <f t="shared" si="16"/>
        <v>0.80746466936968031</v>
      </c>
      <c r="Z307" s="6">
        <f t="shared" si="16"/>
        <v>2.5250945859991356</v>
      </c>
      <c r="AA307" s="6">
        <f t="shared" si="16"/>
        <v>3.4647189710362758</v>
      </c>
      <c r="AB307" s="6">
        <f t="shared" si="16"/>
        <v>2.5772364076029302</v>
      </c>
    </row>
    <row r="308" spans="1:28">
      <c r="A308" s="1">
        <v>91</v>
      </c>
      <c r="B308" s="1">
        <v>1</v>
      </c>
      <c r="C308" s="1">
        <v>1</v>
      </c>
      <c r="D308" s="1">
        <v>1</v>
      </c>
      <c r="E308" s="1">
        <v>0</v>
      </c>
      <c r="F308" s="1">
        <v>22</v>
      </c>
      <c r="G308" s="1">
        <v>18</v>
      </c>
      <c r="H308" s="1">
        <v>3</v>
      </c>
      <c r="I308" s="1">
        <v>2</v>
      </c>
      <c r="J308" s="1">
        <v>6</v>
      </c>
      <c r="K308" s="1">
        <v>7</v>
      </c>
      <c r="L308" s="1">
        <v>3</v>
      </c>
      <c r="M308" s="1">
        <v>48</v>
      </c>
      <c r="N308" s="5">
        <v>124.2</v>
      </c>
      <c r="O308" s="6">
        <v>15425.64</v>
      </c>
      <c r="P308" s="5">
        <v>389.10399999999998</v>
      </c>
      <c r="Q308">
        <v>394.35344357187671</v>
      </c>
      <c r="R308" s="6">
        <v>111.35329999999999</v>
      </c>
      <c r="S308" s="6">
        <v>60.275600000000004</v>
      </c>
      <c r="T308" s="6">
        <v>3189.5554666666662</v>
      </c>
      <c r="U308" s="6">
        <v>1155.5555555555547</v>
      </c>
      <c r="V308" s="6">
        <f t="shared" si="14"/>
        <v>2.0941215958405612</v>
      </c>
      <c r="W308" s="6">
        <f t="shared" si="15"/>
        <v>2.5900656953861083</v>
      </c>
      <c r="X308" s="6">
        <v>2.5958856375234856</v>
      </c>
      <c r="Y308" s="6">
        <f t="shared" si="16"/>
        <v>2.0467030920530722</v>
      </c>
      <c r="Z308" s="6">
        <f t="shared" si="16"/>
        <v>1.7801415421584454</v>
      </c>
      <c r="AA308" s="6">
        <f t="shared" si="16"/>
        <v>3.5037301589736427</v>
      </c>
      <c r="AB308" s="6">
        <f t="shared" si="16"/>
        <v>3.0627908298594551</v>
      </c>
    </row>
    <row r="309" spans="1:28">
      <c r="A309" s="1">
        <v>92</v>
      </c>
      <c r="B309" s="1">
        <v>1</v>
      </c>
      <c r="C309" s="1">
        <v>1</v>
      </c>
      <c r="D309" s="1">
        <v>0</v>
      </c>
      <c r="E309" s="1">
        <v>1</v>
      </c>
      <c r="F309" s="1">
        <v>7</v>
      </c>
      <c r="G309" s="1">
        <v>6</v>
      </c>
      <c r="H309" s="1">
        <v>2</v>
      </c>
      <c r="I309" s="1">
        <v>2</v>
      </c>
      <c r="J309" s="1">
        <v>3</v>
      </c>
      <c r="K309" s="1">
        <v>3</v>
      </c>
      <c r="L309" s="1">
        <v>3</v>
      </c>
      <c r="M309" s="1">
        <v>48</v>
      </c>
      <c r="N309" s="5">
        <v>44.2</v>
      </c>
      <c r="O309" s="6">
        <v>1953.64</v>
      </c>
      <c r="P309" s="5">
        <v>317.67399999999998</v>
      </c>
      <c r="Q309">
        <v>270.87708716136484</v>
      </c>
      <c r="R309" s="6">
        <v>12.916200000000002</v>
      </c>
      <c r="S309" s="6">
        <v>239.14540000000002</v>
      </c>
      <c r="T309" s="6">
        <v>1402.6057333333326</v>
      </c>
      <c r="U309" s="6">
        <v>555.55555555555452</v>
      </c>
      <c r="V309" s="6">
        <f t="shared" si="14"/>
        <v>1.6454222693490919</v>
      </c>
      <c r="W309" s="6">
        <f t="shared" si="15"/>
        <v>2.5019816714887804</v>
      </c>
      <c r="X309" s="6">
        <v>2.4327722706653785</v>
      </c>
      <c r="Y309" s="6">
        <f t="shared" si="16"/>
        <v>1.1111347611998699</v>
      </c>
      <c r="Z309" s="6">
        <f t="shared" si="16"/>
        <v>2.3786620315645366</v>
      </c>
      <c r="AA309" s="6">
        <f t="shared" si="16"/>
        <v>3.1469356098015631</v>
      </c>
      <c r="AB309" s="6">
        <f t="shared" si="16"/>
        <v>2.7447274948966931</v>
      </c>
    </row>
    <row r="310" spans="1:28">
      <c r="A310" s="1">
        <v>93</v>
      </c>
      <c r="B310" s="1">
        <v>0</v>
      </c>
      <c r="C310" s="1">
        <v>1</v>
      </c>
      <c r="D310" s="1">
        <v>1</v>
      </c>
      <c r="E310" s="1">
        <v>1</v>
      </c>
      <c r="F310" s="1">
        <v>11</v>
      </c>
      <c r="G310" s="1">
        <v>6</v>
      </c>
      <c r="H310" s="1">
        <v>2</v>
      </c>
      <c r="I310" s="1">
        <v>2</v>
      </c>
      <c r="J310" s="1">
        <v>4</v>
      </c>
      <c r="K310" s="1">
        <v>4</v>
      </c>
      <c r="L310" s="1">
        <v>3</v>
      </c>
      <c r="M310" s="1">
        <v>48</v>
      </c>
      <c r="N310" s="5">
        <v>398.2</v>
      </c>
      <c r="O310" s="6">
        <v>158563.24</v>
      </c>
      <c r="P310" s="5">
        <v>1000.9533439999996</v>
      </c>
      <c r="Q310">
        <v>1290.1292815374122</v>
      </c>
      <c r="R310" s="6">
        <v>163.9966</v>
      </c>
      <c r="S310" s="6">
        <v>55.970199999999998</v>
      </c>
      <c r="T310" s="6">
        <v>16018.872666666664</v>
      </c>
      <c r="U310" s="6">
        <v>4888.8888888888887</v>
      </c>
      <c r="V310" s="6">
        <f t="shared" si="14"/>
        <v>2.6001012556913907</v>
      </c>
      <c r="W310" s="6">
        <f t="shared" si="15"/>
        <v>3.0004138348064191</v>
      </c>
      <c r="X310" s="6">
        <v>3.1106332323496817</v>
      </c>
      <c r="Y310" s="6">
        <f t="shared" si="16"/>
        <v>2.2148348442882777</v>
      </c>
      <c r="Z310" s="6">
        <f t="shared" si="16"/>
        <v>1.7479568587870442</v>
      </c>
      <c r="AA310" s="6">
        <f t="shared" si="16"/>
        <v>4.2046319492093165</v>
      </c>
      <c r="AB310" s="6">
        <f t="shared" si="16"/>
        <v>3.6892101670468627</v>
      </c>
    </row>
    <row r="311" spans="1:28">
      <c r="A311" s="1">
        <v>94</v>
      </c>
      <c r="B311" s="1">
        <v>1</v>
      </c>
      <c r="C311" s="1">
        <v>0</v>
      </c>
      <c r="D311" s="1">
        <v>0</v>
      </c>
      <c r="E311" s="1">
        <v>1</v>
      </c>
      <c r="F311" s="1">
        <v>3</v>
      </c>
      <c r="G311" s="1">
        <v>6</v>
      </c>
      <c r="H311" s="1">
        <v>1</v>
      </c>
      <c r="I311" s="1">
        <v>2</v>
      </c>
      <c r="J311" s="1">
        <v>1</v>
      </c>
      <c r="K311" s="1">
        <v>1</v>
      </c>
      <c r="L311" s="1">
        <v>3</v>
      </c>
      <c r="M311" s="1">
        <v>48</v>
      </c>
      <c r="N311" s="5">
        <v>140.19999999999999</v>
      </c>
      <c r="O311" s="6">
        <v>19656.04</v>
      </c>
      <c r="P311" s="5">
        <v>484.34399999999994</v>
      </c>
      <c r="Q311">
        <v>596.23161344105915</v>
      </c>
      <c r="R311" s="6">
        <v>61.841200000000008</v>
      </c>
      <c r="S311" s="6">
        <v>84.542400000000001</v>
      </c>
      <c r="T311" s="6">
        <v>6483.7844888888894</v>
      </c>
      <c r="U311" s="6">
        <v>2044.4444444444443</v>
      </c>
      <c r="V311" s="6">
        <f t="shared" si="14"/>
        <v>2.1467480136306398</v>
      </c>
      <c r="W311" s="6">
        <f t="shared" si="15"/>
        <v>2.6851539241140707</v>
      </c>
      <c r="X311" s="6">
        <v>2.7754149995044197</v>
      </c>
      <c r="Y311" s="6">
        <f t="shared" si="16"/>
        <v>1.791277908276405</v>
      </c>
      <c r="Z311" s="6">
        <f t="shared" si="16"/>
        <v>1.9270745724729132</v>
      </c>
      <c r="AA311" s="6">
        <f t="shared" si="16"/>
        <v>3.8118285711299307</v>
      </c>
      <c r="AB311" s="6">
        <f t="shared" si="16"/>
        <v>3.3105753135702116</v>
      </c>
    </row>
    <row r="312" spans="1:28">
      <c r="A312" s="1">
        <v>95</v>
      </c>
      <c r="B312" s="1">
        <v>1</v>
      </c>
      <c r="C312" s="1">
        <v>1</v>
      </c>
      <c r="D312" s="1">
        <v>0</v>
      </c>
      <c r="E312" s="1">
        <v>1</v>
      </c>
      <c r="F312" s="1">
        <v>8</v>
      </c>
      <c r="G312" s="1">
        <v>6</v>
      </c>
      <c r="H312" s="1">
        <v>2</v>
      </c>
      <c r="I312" s="1">
        <v>2</v>
      </c>
      <c r="J312" s="1">
        <v>3</v>
      </c>
      <c r="K312" s="1">
        <v>3</v>
      </c>
      <c r="L312" s="1">
        <v>3</v>
      </c>
      <c r="M312" s="1">
        <v>48</v>
      </c>
      <c r="N312" s="5">
        <v>94.2</v>
      </c>
      <c r="O312" s="6">
        <v>8873.64</v>
      </c>
      <c r="P312" s="5">
        <v>389.10399999999998</v>
      </c>
      <c r="Q312">
        <v>394.35344357187671</v>
      </c>
      <c r="R312" s="6">
        <v>44.932720000000003</v>
      </c>
      <c r="S312" s="6">
        <v>20.744200000000003</v>
      </c>
      <c r="T312" s="6">
        <v>976.16568888888935</v>
      </c>
      <c r="U312" s="6">
        <v>377.77777777777783</v>
      </c>
      <c r="V312" s="6">
        <f t="shared" si="14"/>
        <v>1.9740509027928774</v>
      </c>
      <c r="W312" s="6">
        <f t="shared" si="15"/>
        <v>2.5900656953861083</v>
      </c>
      <c r="X312" s="6">
        <v>2.5958856375234856</v>
      </c>
      <c r="Y312" s="6">
        <f t="shared" si="16"/>
        <v>1.652562709383937</v>
      </c>
      <c r="Z312" s="6">
        <f t="shared" si="16"/>
        <v>1.3168966909227715</v>
      </c>
      <c r="AA312" s="6">
        <f t="shared" si="16"/>
        <v>2.9895235386328367</v>
      </c>
      <c r="AB312" s="6">
        <f t="shared" si="16"/>
        <v>2.5772364076029302</v>
      </c>
    </row>
    <row r="313" spans="1:28">
      <c r="A313" s="1">
        <v>96</v>
      </c>
      <c r="B313" s="1">
        <v>1</v>
      </c>
      <c r="C313" s="1">
        <v>1</v>
      </c>
      <c r="D313" s="1">
        <v>0</v>
      </c>
      <c r="E313" s="1">
        <v>1</v>
      </c>
      <c r="F313" s="1">
        <v>9</v>
      </c>
      <c r="G313" s="1">
        <v>6</v>
      </c>
      <c r="H313" s="1">
        <v>2</v>
      </c>
      <c r="I313" s="1">
        <v>2</v>
      </c>
      <c r="J313" s="1">
        <v>3</v>
      </c>
      <c r="K313" s="1">
        <v>3</v>
      </c>
      <c r="L313" s="1">
        <v>3</v>
      </c>
      <c r="M313" s="1">
        <v>48</v>
      </c>
      <c r="N313" s="5">
        <v>60.2</v>
      </c>
      <c r="O313" s="6">
        <v>3624.04</v>
      </c>
      <c r="P313" s="5">
        <v>341.48399999999998</v>
      </c>
      <c r="Q313">
        <v>309.39368226742988</v>
      </c>
      <c r="R313" s="6">
        <v>4.4619600000000004</v>
      </c>
      <c r="S313" s="6">
        <v>55.970199999999998</v>
      </c>
      <c r="T313" s="6">
        <v>878.23351111111083</v>
      </c>
      <c r="U313" s="6">
        <v>244.44444444444531</v>
      </c>
      <c r="V313" s="6">
        <f t="shared" si="14"/>
        <v>1.7795964912578246</v>
      </c>
      <c r="W313" s="6">
        <f t="shared" si="15"/>
        <v>2.5333703599223933</v>
      </c>
      <c r="X313" s="6">
        <v>2.4905114412818796</v>
      </c>
      <c r="Y313" s="6">
        <f t="shared" si="16"/>
        <v>0.64952567265845496</v>
      </c>
      <c r="Z313" s="6">
        <f t="shared" si="16"/>
        <v>1.7479568587870442</v>
      </c>
      <c r="AA313" s="6">
        <f t="shared" si="16"/>
        <v>2.9436100046346509</v>
      </c>
      <c r="AB313" s="6">
        <f t="shared" si="16"/>
        <v>2.3881801713828827</v>
      </c>
    </row>
    <row r="314" spans="1:28">
      <c r="A314" s="1">
        <v>97</v>
      </c>
      <c r="B314" s="1">
        <v>1</v>
      </c>
      <c r="C314" s="1">
        <v>1</v>
      </c>
      <c r="D314" s="1">
        <v>1</v>
      </c>
      <c r="E314" s="1">
        <v>1</v>
      </c>
      <c r="F314" s="1">
        <v>19</v>
      </c>
      <c r="G314" s="1">
        <v>6</v>
      </c>
      <c r="H314" s="1">
        <v>3</v>
      </c>
      <c r="I314" s="1">
        <v>2</v>
      </c>
      <c r="J314" s="1">
        <v>5</v>
      </c>
      <c r="K314" s="1">
        <v>6</v>
      </c>
      <c r="L314" s="1">
        <v>3</v>
      </c>
      <c r="M314" s="1">
        <v>48</v>
      </c>
      <c r="N314" s="5">
        <v>60.2</v>
      </c>
      <c r="O314" s="6">
        <v>3624.04</v>
      </c>
      <c r="P314" s="5">
        <v>252.30292799999998</v>
      </c>
      <c r="Q314">
        <v>252.30292799999998</v>
      </c>
      <c r="R314" s="6">
        <v>11.428879999999999</v>
      </c>
      <c r="S314" s="6">
        <v>15.656000000000001</v>
      </c>
      <c r="T314" s="6">
        <v>274.79848888888796</v>
      </c>
      <c r="U314" s="6">
        <v>0.1</v>
      </c>
      <c r="V314" s="6">
        <f t="shared" si="14"/>
        <v>1.7795964912578246</v>
      </c>
      <c r="W314" s="6">
        <f t="shared" si="15"/>
        <v>2.4019222905764899</v>
      </c>
      <c r="X314" s="6">
        <v>2.4019222905764899</v>
      </c>
      <c r="Y314" s="6">
        <f t="shared" si="16"/>
        <v>1.0580036727704005</v>
      </c>
      <c r="Z314" s="6">
        <f t="shared" si="16"/>
        <v>1.1946808126499449</v>
      </c>
      <c r="AA314" s="6">
        <f t="shared" si="16"/>
        <v>2.4390143402178555</v>
      </c>
      <c r="AB314" s="6">
        <f t="shared" si="16"/>
        <v>-1</v>
      </c>
    </row>
    <row r="315" spans="1:28">
      <c r="A315" s="1">
        <v>98</v>
      </c>
      <c r="B315" s="1">
        <v>1</v>
      </c>
      <c r="C315" s="1">
        <v>1</v>
      </c>
      <c r="D315" s="1">
        <v>1</v>
      </c>
      <c r="E315" s="1">
        <v>1</v>
      </c>
      <c r="F315" s="1">
        <v>25</v>
      </c>
      <c r="G315" s="1">
        <v>18</v>
      </c>
      <c r="H315" s="1">
        <v>3</v>
      </c>
      <c r="I315" s="1">
        <v>2</v>
      </c>
      <c r="J315" s="1">
        <v>6</v>
      </c>
      <c r="K315" s="1">
        <v>7</v>
      </c>
      <c r="L315" s="1">
        <v>3</v>
      </c>
      <c r="M315" s="1">
        <v>48</v>
      </c>
      <c r="N315" s="5">
        <v>50.2</v>
      </c>
      <c r="O315" s="6">
        <v>2520.04</v>
      </c>
      <c r="P315" s="5">
        <v>341.48399999999998</v>
      </c>
      <c r="Q315">
        <v>309.39368226742988</v>
      </c>
      <c r="R315" s="6">
        <v>13.542439999999999</v>
      </c>
      <c r="S315" s="6">
        <v>23.092599999999997</v>
      </c>
      <c r="T315" s="6">
        <v>581.03764444444448</v>
      </c>
      <c r="U315" s="6">
        <v>133.33333333333405</v>
      </c>
      <c r="V315" s="6">
        <f t="shared" si="14"/>
        <v>1.7007037171450194</v>
      </c>
      <c r="W315" s="6">
        <f t="shared" si="15"/>
        <v>2.5333703599223933</v>
      </c>
      <c r="X315" s="6">
        <v>2.4905114412818796</v>
      </c>
      <c r="Y315" s="6">
        <f t="shared" si="16"/>
        <v>1.1316969201147589</v>
      </c>
      <c r="Z315" s="6">
        <f t="shared" si="16"/>
        <v>1.3634728329641266</v>
      </c>
      <c r="AA315" s="6">
        <f t="shared" si="16"/>
        <v>2.7642042705054433</v>
      </c>
      <c r="AB315" s="6">
        <f t="shared" si="16"/>
        <v>2.1249387366083021</v>
      </c>
    </row>
    <row r="316" spans="1:28">
      <c r="A316" s="1">
        <v>99</v>
      </c>
      <c r="B316" s="1">
        <v>1</v>
      </c>
      <c r="C316" s="1">
        <v>1</v>
      </c>
      <c r="D316" s="1">
        <v>1</v>
      </c>
      <c r="E316" s="1">
        <v>0</v>
      </c>
      <c r="F316" s="1">
        <v>26</v>
      </c>
      <c r="G316" s="1">
        <v>18</v>
      </c>
      <c r="H316" s="1">
        <v>3</v>
      </c>
      <c r="I316" s="1">
        <v>2</v>
      </c>
      <c r="J316" s="1">
        <v>6</v>
      </c>
      <c r="K316" s="1">
        <v>7</v>
      </c>
      <c r="L316" s="1">
        <v>3</v>
      </c>
      <c r="M316" s="1">
        <v>48</v>
      </c>
      <c r="N316" s="5">
        <v>202.2</v>
      </c>
      <c r="O316" s="6">
        <v>40884.839999999997</v>
      </c>
      <c r="P316" s="5">
        <v>519.13499999999999</v>
      </c>
      <c r="Q316">
        <v>775.85523507471078</v>
      </c>
      <c r="R316" s="6">
        <v>176.91280000000003</v>
      </c>
      <c r="S316" s="6">
        <v>253.23579999999998</v>
      </c>
      <c r="T316" s="6">
        <v>18071.659777777779</v>
      </c>
      <c r="U316" s="6">
        <v>9644.4444444444453</v>
      </c>
      <c r="V316" s="6">
        <f t="shared" si="14"/>
        <v>2.3057811512549824</v>
      </c>
      <c r="W316" s="6">
        <f t="shared" si="15"/>
        <v>2.7152803099315443</v>
      </c>
      <c r="X316" s="6">
        <v>2.8897806948750726</v>
      </c>
      <c r="Y316" s="6">
        <f t="shared" si="16"/>
        <v>2.2477592561333646</v>
      </c>
      <c r="Z316" s="6">
        <f t="shared" si="16"/>
        <v>2.4035251019906827</v>
      </c>
      <c r="AA316" s="6">
        <f t="shared" si="16"/>
        <v>4.2569980418374627</v>
      </c>
      <c r="AB316" s="6">
        <f t="shared" si="16"/>
        <v>3.9842772157371669</v>
      </c>
    </row>
    <row r="317" spans="1:28">
      <c r="A317" s="1">
        <v>100</v>
      </c>
      <c r="B317" s="1">
        <v>1</v>
      </c>
      <c r="C317" s="1">
        <v>1</v>
      </c>
      <c r="D317" s="1">
        <v>1</v>
      </c>
      <c r="E317" s="1">
        <v>1</v>
      </c>
      <c r="F317" s="1">
        <v>22</v>
      </c>
      <c r="G317" s="1">
        <v>18</v>
      </c>
      <c r="H317" s="1">
        <v>3</v>
      </c>
      <c r="I317" s="1">
        <v>2</v>
      </c>
      <c r="J317" s="1">
        <v>6</v>
      </c>
      <c r="K317" s="1">
        <v>7</v>
      </c>
      <c r="L317" s="1">
        <v>3</v>
      </c>
      <c r="M317" s="1">
        <v>48</v>
      </c>
      <c r="N317" s="5">
        <v>54.2</v>
      </c>
      <c r="O317" s="6">
        <v>2937.64</v>
      </c>
      <c r="P317" s="5">
        <v>317.67399999999998</v>
      </c>
      <c r="Q317">
        <v>270.87708716136484</v>
      </c>
      <c r="R317" s="6">
        <v>52.173620000000007</v>
      </c>
      <c r="S317" s="6">
        <v>47.359400000000001</v>
      </c>
      <c r="T317" s="6">
        <v>615.08404444444386</v>
      </c>
      <c r="U317" s="6">
        <v>111.11111111111121</v>
      </c>
      <c r="V317" s="6">
        <f t="shared" si="14"/>
        <v>1.7339992865383869</v>
      </c>
      <c r="W317" s="6">
        <f t="shared" si="15"/>
        <v>2.5019816714887804</v>
      </c>
      <c r="X317" s="6">
        <v>2.4327722706653785</v>
      </c>
      <c r="Y317" s="6">
        <f t="shared" si="16"/>
        <v>1.7174509707358416</v>
      </c>
      <c r="Z317" s="6">
        <f t="shared" si="16"/>
        <v>1.6754061916384324</v>
      </c>
      <c r="AA317" s="6">
        <f t="shared" si="16"/>
        <v>2.7889344613765212</v>
      </c>
      <c r="AB317" s="6">
        <f t="shared" si="16"/>
        <v>2.0457574905606757</v>
      </c>
    </row>
    <row r="318" spans="1:28">
      <c r="A318" s="1">
        <v>101</v>
      </c>
      <c r="B318" s="1">
        <v>1</v>
      </c>
      <c r="C318" s="1">
        <v>1</v>
      </c>
      <c r="D318" s="1">
        <v>1</v>
      </c>
      <c r="E318" s="1">
        <v>1</v>
      </c>
      <c r="F318" s="1">
        <v>13</v>
      </c>
      <c r="G318" s="1">
        <v>6</v>
      </c>
      <c r="H318" s="1">
        <v>3</v>
      </c>
      <c r="I318" s="1">
        <v>2</v>
      </c>
      <c r="J318" s="1">
        <v>5</v>
      </c>
      <c r="K318" s="1">
        <v>5</v>
      </c>
      <c r="L318" s="1">
        <v>3</v>
      </c>
      <c r="M318" s="1">
        <v>48</v>
      </c>
      <c r="N318" s="5">
        <v>78.2</v>
      </c>
      <c r="O318" s="6">
        <v>6115.24</v>
      </c>
      <c r="P318" s="5">
        <v>460.53400000000005</v>
      </c>
      <c r="Q318">
        <v>541.74638768079785</v>
      </c>
      <c r="R318" s="6">
        <v>15.92998</v>
      </c>
      <c r="S318" s="6">
        <v>65.755200000000002</v>
      </c>
      <c r="T318" s="6">
        <v>10551.151777777777</v>
      </c>
      <c r="U318" s="6">
        <v>4577.7777777777774</v>
      </c>
      <c r="V318" s="6">
        <f t="shared" si="14"/>
        <v>1.893206753059848</v>
      </c>
      <c r="W318" s="6">
        <f t="shared" si="15"/>
        <v>2.6632616985226694</v>
      </c>
      <c r="X318" s="6">
        <v>2.7337960241625492</v>
      </c>
      <c r="Y318" s="6">
        <f t="shared" si="16"/>
        <v>1.2022152305472025</v>
      </c>
      <c r="Z318" s="6">
        <f t="shared" si="16"/>
        <v>1.8179301030478452</v>
      </c>
      <c r="AA318" s="6">
        <f t="shared" si="16"/>
        <v>4.0232998703854115</v>
      </c>
      <c r="AB318" s="6">
        <f t="shared" si="16"/>
        <v>3.6606547065938098</v>
      </c>
    </row>
    <row r="319" spans="1:28">
      <c r="A319" s="1">
        <v>102</v>
      </c>
      <c r="B319" s="1">
        <v>0</v>
      </c>
      <c r="C319" s="1">
        <v>1</v>
      </c>
      <c r="D319" s="1">
        <v>0</v>
      </c>
      <c r="E319" s="1">
        <v>1</v>
      </c>
      <c r="F319" s="1">
        <v>4</v>
      </c>
      <c r="G319" s="1">
        <v>6</v>
      </c>
      <c r="H319" s="1">
        <v>1</v>
      </c>
      <c r="I319" s="1">
        <v>2</v>
      </c>
      <c r="J319" s="1">
        <v>2</v>
      </c>
      <c r="K319" s="1">
        <v>2</v>
      </c>
      <c r="L319" s="1">
        <v>3</v>
      </c>
      <c r="M319" s="1">
        <v>48</v>
      </c>
      <c r="N319" s="5">
        <v>108.2</v>
      </c>
      <c r="O319" s="6">
        <v>11707.24</v>
      </c>
      <c r="P319" s="5">
        <v>270.05399999999997</v>
      </c>
      <c r="Q319">
        <v>201.7193605435836</v>
      </c>
      <c r="R319" s="6">
        <v>37.69182</v>
      </c>
      <c r="S319" s="6">
        <v>12.524800000000001</v>
      </c>
      <c r="T319" s="6">
        <v>2532.936533333333</v>
      </c>
      <c r="U319" s="6">
        <v>1155.5555555555547</v>
      </c>
      <c r="V319" s="6">
        <f t="shared" si="14"/>
        <v>2.0342272607705505</v>
      </c>
      <c r="W319" s="6">
        <f t="shared" si="15"/>
        <v>2.431450614370636</v>
      </c>
      <c r="X319" s="6">
        <v>2.3047475827627588</v>
      </c>
      <c r="Y319" s="6">
        <f t="shared" si="16"/>
        <v>1.5762471084465168</v>
      </c>
      <c r="Z319" s="6">
        <f t="shared" si="16"/>
        <v>1.0977707996418884</v>
      </c>
      <c r="AA319" s="6">
        <f t="shared" si="16"/>
        <v>3.4036243080027724</v>
      </c>
      <c r="AB319" s="6">
        <f t="shared" si="16"/>
        <v>3.0627908298594551</v>
      </c>
    </row>
    <row r="320" spans="1:28">
      <c r="A320" s="1">
        <v>103</v>
      </c>
      <c r="B320" s="1">
        <v>0</v>
      </c>
      <c r="C320" s="1">
        <v>1</v>
      </c>
      <c r="D320" s="1">
        <v>1</v>
      </c>
      <c r="E320" s="1">
        <v>1</v>
      </c>
      <c r="F320" s="1">
        <v>10</v>
      </c>
      <c r="G320" s="1">
        <v>6</v>
      </c>
      <c r="H320" s="1">
        <v>2</v>
      </c>
      <c r="I320" s="1">
        <v>2</v>
      </c>
      <c r="J320" s="1">
        <v>4</v>
      </c>
      <c r="K320" s="1">
        <v>4</v>
      </c>
      <c r="L320" s="1">
        <v>3</v>
      </c>
      <c r="M320" s="1">
        <v>48</v>
      </c>
      <c r="N320" s="5">
        <v>78.2</v>
      </c>
      <c r="O320" s="6">
        <v>6115.24</v>
      </c>
      <c r="P320" s="5">
        <v>389.10399999999998</v>
      </c>
      <c r="Q320">
        <v>394.35344357187671</v>
      </c>
      <c r="R320" s="6">
        <v>31.938240000000004</v>
      </c>
      <c r="S320" s="6">
        <v>28.180799999999998</v>
      </c>
      <c r="T320" s="6">
        <v>745.20399999999972</v>
      </c>
      <c r="U320" s="6">
        <v>244.44444444444375</v>
      </c>
      <c r="V320" s="6">
        <f t="shared" si="14"/>
        <v>1.893206753059848</v>
      </c>
      <c r="W320" s="6">
        <f t="shared" si="15"/>
        <v>2.5900656953861083</v>
      </c>
      <c r="X320" s="6">
        <v>2.5958856375234856</v>
      </c>
      <c r="Y320" s="6">
        <f t="shared" si="16"/>
        <v>1.5043109800758436</v>
      </c>
      <c r="Z320" s="6">
        <f t="shared" si="16"/>
        <v>1.4499533177532509</v>
      </c>
      <c r="AA320" s="6">
        <f t="shared" si="16"/>
        <v>2.8722751773745876</v>
      </c>
      <c r="AB320" s="6">
        <f t="shared" si="16"/>
        <v>2.3881801713828801</v>
      </c>
    </row>
    <row r="321" spans="1:28">
      <c r="A321" s="1">
        <v>104</v>
      </c>
      <c r="B321" s="1">
        <v>0</v>
      </c>
      <c r="C321" s="1">
        <v>1</v>
      </c>
      <c r="D321" s="1">
        <v>1</v>
      </c>
      <c r="E321" s="1">
        <v>1</v>
      </c>
      <c r="F321" s="1">
        <v>12</v>
      </c>
      <c r="G321" s="1">
        <v>6</v>
      </c>
      <c r="H321" s="1">
        <v>2</v>
      </c>
      <c r="I321" s="1">
        <v>2</v>
      </c>
      <c r="J321" s="1">
        <v>4</v>
      </c>
      <c r="K321" s="1">
        <v>4</v>
      </c>
      <c r="L321" s="1">
        <v>3</v>
      </c>
      <c r="M321" s="1">
        <v>48</v>
      </c>
      <c r="N321" s="5">
        <v>86.6</v>
      </c>
      <c r="O321" s="6">
        <v>7499.56</v>
      </c>
      <c r="P321" s="5">
        <v>365.29400000000004</v>
      </c>
      <c r="Q321">
        <v>350.54926031071238</v>
      </c>
      <c r="R321" s="6">
        <v>61.254100000000008</v>
      </c>
      <c r="S321" s="6">
        <v>549.91700000000003</v>
      </c>
      <c r="T321" s="6">
        <v>4111.9652888888886</v>
      </c>
      <c r="U321" s="6">
        <v>2733.3333333333344</v>
      </c>
      <c r="V321" s="6">
        <f t="shared" si="14"/>
        <v>1.9375178920173466</v>
      </c>
      <c r="W321" s="6">
        <f t="shared" si="15"/>
        <v>2.5626425389288854</v>
      </c>
      <c r="X321" s="6">
        <v>2.5447490550499197</v>
      </c>
      <c r="Y321" s="6">
        <f t="shared" si="16"/>
        <v>1.7871351632044497</v>
      </c>
      <c r="Z321" s="6">
        <f t="shared" si="16"/>
        <v>2.7402971455630811</v>
      </c>
      <c r="AA321" s="6">
        <f t="shared" si="16"/>
        <v>3.6140494399104579</v>
      </c>
      <c r="AB321" s="6">
        <f t="shared" si="16"/>
        <v>3.4366925976640545</v>
      </c>
    </row>
    <row r="322" spans="1:28">
      <c r="A322" s="1">
        <v>105</v>
      </c>
      <c r="B322" s="1">
        <v>1</v>
      </c>
      <c r="C322" s="1">
        <v>1</v>
      </c>
      <c r="D322" s="1">
        <v>1</v>
      </c>
      <c r="E322" s="1">
        <v>1</v>
      </c>
      <c r="F322" s="1">
        <v>14</v>
      </c>
      <c r="G322" s="1">
        <v>6</v>
      </c>
      <c r="H322" s="1">
        <v>3</v>
      </c>
      <c r="I322" s="1">
        <v>2</v>
      </c>
      <c r="J322" s="1">
        <v>5</v>
      </c>
      <c r="K322" s="1">
        <v>5</v>
      </c>
      <c r="L322" s="1">
        <v>3</v>
      </c>
      <c r="M322" s="1">
        <v>48</v>
      </c>
      <c r="N322" s="5">
        <v>92.2</v>
      </c>
      <c r="O322" s="6">
        <v>8500.84</v>
      </c>
      <c r="P322" s="5">
        <v>389.10399999999998</v>
      </c>
      <c r="Q322">
        <v>394.35344357187671</v>
      </c>
      <c r="R322" s="6">
        <v>38.278919999999999</v>
      </c>
      <c r="S322" s="6">
        <v>223.48939999999999</v>
      </c>
      <c r="T322" s="6">
        <v>1268.0106222222228</v>
      </c>
      <c r="U322" s="6">
        <v>911.11111111111086</v>
      </c>
      <c r="V322" s="6">
        <f t="shared" si="14"/>
        <v>1.9647309210536295</v>
      </c>
      <c r="W322" s="6">
        <f t="shared" si="15"/>
        <v>2.5900656953861083</v>
      </c>
      <c r="X322" s="6">
        <v>2.5958856375234856</v>
      </c>
      <c r="Y322" s="6">
        <f t="shared" si="16"/>
        <v>1.5829596761095839</v>
      </c>
      <c r="Z322" s="6">
        <f t="shared" si="16"/>
        <v>2.3492569295678303</v>
      </c>
      <c r="AA322" s="6">
        <f t="shared" si="16"/>
        <v>3.1031228916791322</v>
      </c>
      <c r="AB322" s="6">
        <f t="shared" ref="AB322:AB385" si="17">LOG(U322)</f>
        <v>2.9595713429443915</v>
      </c>
    </row>
    <row r="323" spans="1:28">
      <c r="A323" s="1">
        <v>106</v>
      </c>
      <c r="B323" s="1">
        <v>1</v>
      </c>
      <c r="C323" s="1">
        <v>1</v>
      </c>
      <c r="D323" s="1">
        <v>1</v>
      </c>
      <c r="E323" s="1">
        <v>0</v>
      </c>
      <c r="F323" s="1">
        <v>19</v>
      </c>
      <c r="G323" s="1">
        <v>6</v>
      </c>
      <c r="H323" s="1">
        <v>3</v>
      </c>
      <c r="I323" s="1">
        <v>2</v>
      </c>
      <c r="J323" s="1">
        <v>5</v>
      </c>
      <c r="K323" s="1">
        <v>6</v>
      </c>
      <c r="L323" s="1">
        <v>3</v>
      </c>
      <c r="M323" s="1">
        <v>48</v>
      </c>
      <c r="N323" s="5">
        <v>58.2</v>
      </c>
      <c r="O323" s="6">
        <v>3387.24</v>
      </c>
      <c r="P323" s="5">
        <v>494.45962399999962</v>
      </c>
      <c r="Q323">
        <v>653.40675387780539</v>
      </c>
      <c r="R323" s="6">
        <v>136.01150000000001</v>
      </c>
      <c r="S323" s="6">
        <v>964.80099999999993</v>
      </c>
      <c r="T323" s="6">
        <v>7581.927511111111</v>
      </c>
      <c r="U323" s="6">
        <v>4933.3333333333321</v>
      </c>
      <c r="V323" s="6">
        <f t="shared" ref="V323:V386" si="18">LOG(N323)</f>
        <v>1.7649229846498886</v>
      </c>
      <c r="W323" s="6">
        <f t="shared" ref="W323:W386" si="19">LOG(P323)</f>
        <v>2.6941308342751373</v>
      </c>
      <c r="X323" s="6">
        <v>2.8151836192069162</v>
      </c>
      <c r="Y323" s="6">
        <f t="shared" ref="Y323:AB386" si="20">LOG(R323)</f>
        <v>2.133575630248115</v>
      </c>
      <c r="Z323" s="6">
        <f t="shared" si="20"/>
        <v>2.9844377449352311</v>
      </c>
      <c r="AA323" s="6">
        <f t="shared" si="20"/>
        <v>3.879779627930704</v>
      </c>
      <c r="AB323" s="6">
        <f t="shared" si="17"/>
        <v>3.6931404606752949</v>
      </c>
    </row>
    <row r="324" spans="1:28">
      <c r="A324" s="1">
        <v>107</v>
      </c>
      <c r="B324" s="1">
        <v>1</v>
      </c>
      <c r="C324" s="1">
        <v>1</v>
      </c>
      <c r="D324" s="1">
        <v>1</v>
      </c>
      <c r="E324" s="1">
        <v>1</v>
      </c>
      <c r="F324" s="1">
        <v>26</v>
      </c>
      <c r="G324" s="1">
        <v>18</v>
      </c>
      <c r="H324" s="1">
        <v>3</v>
      </c>
      <c r="I324" s="1">
        <v>2</v>
      </c>
      <c r="J324" s="1">
        <v>6</v>
      </c>
      <c r="K324" s="1">
        <v>7</v>
      </c>
      <c r="L324" s="1">
        <v>3</v>
      </c>
      <c r="M324" s="1">
        <v>48</v>
      </c>
      <c r="N324" s="5">
        <v>32.200000000000003</v>
      </c>
      <c r="O324" s="6">
        <v>1036.8399999999999</v>
      </c>
      <c r="P324" s="5">
        <v>270.05399999999997</v>
      </c>
      <c r="Q324">
        <v>201.7193605435836</v>
      </c>
      <c r="R324" s="6">
        <v>22.231520000000003</v>
      </c>
      <c r="S324" s="6">
        <v>157.73420000000002</v>
      </c>
      <c r="T324" s="6">
        <v>2560.288044444444</v>
      </c>
      <c r="U324" s="6">
        <v>1955.5555555555543</v>
      </c>
      <c r="V324" s="6">
        <f t="shared" si="18"/>
        <v>1.507855871695831</v>
      </c>
      <c r="W324" s="6">
        <f t="shared" si="19"/>
        <v>2.431450614370636</v>
      </c>
      <c r="X324" s="6">
        <v>2.3047475827627588</v>
      </c>
      <c r="Y324" s="6">
        <f t="shared" si="20"/>
        <v>1.3469691570330014</v>
      </c>
      <c r="Z324" s="6">
        <f t="shared" si="20"/>
        <v>2.1979258674630917</v>
      </c>
      <c r="AA324" s="6">
        <f t="shared" si="20"/>
        <v>3.4082888282319863</v>
      </c>
      <c r="AB324" s="6">
        <f t="shared" si="17"/>
        <v>3.2912701583748247</v>
      </c>
    </row>
    <row r="325" spans="1:28">
      <c r="A325" s="1">
        <v>108</v>
      </c>
      <c r="B325" s="1">
        <v>1</v>
      </c>
      <c r="C325" s="1">
        <v>0</v>
      </c>
      <c r="D325" s="1">
        <v>0</v>
      </c>
      <c r="E325" s="1">
        <v>1</v>
      </c>
      <c r="F325" s="1">
        <v>2</v>
      </c>
      <c r="G325" s="1">
        <v>6</v>
      </c>
      <c r="H325" s="1">
        <v>1</v>
      </c>
      <c r="I325" s="1">
        <v>2</v>
      </c>
      <c r="J325" s="1">
        <v>1</v>
      </c>
      <c r="K325" s="1">
        <v>1</v>
      </c>
      <c r="L325" s="1">
        <v>3</v>
      </c>
      <c r="M325" s="1">
        <v>48</v>
      </c>
      <c r="N325" s="5">
        <v>104.2</v>
      </c>
      <c r="O325" s="6">
        <v>10857.64</v>
      </c>
      <c r="P325" s="5">
        <v>484.34399999999994</v>
      </c>
      <c r="Q325">
        <v>596.23161344105915</v>
      </c>
      <c r="R325" s="6">
        <v>51.782220000000009</v>
      </c>
      <c r="S325" s="6">
        <v>405.09899999999999</v>
      </c>
      <c r="T325" s="6">
        <v>14168.573422222218</v>
      </c>
      <c r="U325" s="6">
        <v>5355.5555555555547</v>
      </c>
      <c r="V325" s="6">
        <f t="shared" si="18"/>
        <v>2.0178677189635055</v>
      </c>
      <c r="W325" s="6">
        <f t="shared" si="19"/>
        <v>2.6851539241140707</v>
      </c>
      <c r="X325" s="6">
        <v>2.7754149995044197</v>
      </c>
      <c r="Y325" s="6">
        <f t="shared" si="20"/>
        <v>1.7141806655094833</v>
      </c>
      <c r="Z325" s="6">
        <f t="shared" si="20"/>
        <v>2.6075611711149187</v>
      </c>
      <c r="AA325" s="6">
        <f t="shared" si="20"/>
        <v>4.1513261250501339</v>
      </c>
      <c r="AB325" s="6">
        <f t="shared" si="17"/>
        <v>3.7288045287995248</v>
      </c>
    </row>
    <row r="326" spans="1:28">
      <c r="A326" s="1">
        <v>1</v>
      </c>
      <c r="B326" s="1">
        <v>1</v>
      </c>
      <c r="C326" s="1">
        <v>1</v>
      </c>
      <c r="D326" s="1">
        <v>1</v>
      </c>
      <c r="E326" s="1">
        <v>0</v>
      </c>
      <c r="F326" s="1">
        <v>14</v>
      </c>
      <c r="G326" s="1">
        <v>6</v>
      </c>
      <c r="H326" s="1">
        <v>3</v>
      </c>
      <c r="I326" s="1">
        <v>1</v>
      </c>
      <c r="J326" s="1">
        <v>5</v>
      </c>
      <c r="K326" s="1">
        <v>5</v>
      </c>
      <c r="L326" s="1">
        <v>4</v>
      </c>
      <c r="M326" s="1">
        <v>72</v>
      </c>
      <c r="N326" s="5">
        <v>172.8</v>
      </c>
      <c r="O326" s="6">
        <v>29859.84</v>
      </c>
      <c r="P326" s="5">
        <v>683.05990400000064</v>
      </c>
      <c r="Q326">
        <v>1034.6566497144709</v>
      </c>
      <c r="R326" s="6">
        <v>25.597560000000001</v>
      </c>
      <c r="S326" s="6">
        <v>118.2028</v>
      </c>
      <c r="T326" s="6">
        <v>1497.4531999999995</v>
      </c>
      <c r="U326" s="6">
        <v>333.33333333333366</v>
      </c>
      <c r="V326" s="6">
        <f t="shared" si="18"/>
        <v>2.2375437381428744</v>
      </c>
      <c r="W326" s="6">
        <f t="shared" si="19"/>
        <v>2.8344587927530069</v>
      </c>
      <c r="X326" s="6">
        <v>3.0147962532967822</v>
      </c>
      <c r="Y326" s="6">
        <f t="shared" si="20"/>
        <v>1.4081985696462496</v>
      </c>
      <c r="Z326" s="6">
        <f t="shared" si="20"/>
        <v>2.0726277642791331</v>
      </c>
      <c r="AA326" s="6">
        <f t="shared" si="20"/>
        <v>3.175353258240408</v>
      </c>
      <c r="AB326" s="6">
        <f t="shared" si="17"/>
        <v>2.5228787452803378</v>
      </c>
    </row>
    <row r="327" spans="1:28">
      <c r="A327" s="1">
        <v>2</v>
      </c>
      <c r="B327" s="1">
        <v>1</v>
      </c>
      <c r="C327" s="1">
        <v>1</v>
      </c>
      <c r="D327" s="1">
        <v>1</v>
      </c>
      <c r="E327" s="1">
        <v>0</v>
      </c>
      <c r="F327" s="1">
        <v>15</v>
      </c>
      <c r="G327" s="1">
        <v>6</v>
      </c>
      <c r="H327" s="1">
        <v>3</v>
      </c>
      <c r="I327" s="1">
        <v>1</v>
      </c>
      <c r="J327" s="1">
        <v>5</v>
      </c>
      <c r="K327" s="1">
        <v>5</v>
      </c>
      <c r="L327" s="1">
        <v>4</v>
      </c>
      <c r="M327" s="1">
        <v>72</v>
      </c>
      <c r="N327" s="5">
        <v>60.8</v>
      </c>
      <c r="O327" s="6">
        <v>3696.64</v>
      </c>
      <c r="P327" s="5">
        <v>465.95600000000002</v>
      </c>
      <c r="Q327">
        <v>487.58907425628536</v>
      </c>
      <c r="R327" s="6">
        <v>5.6753</v>
      </c>
      <c r="S327" s="6">
        <v>305.29199999999997</v>
      </c>
      <c r="T327" s="6">
        <v>1077.4042222222217</v>
      </c>
      <c r="U327" s="6">
        <v>377.77777777777783</v>
      </c>
      <c r="V327" s="6">
        <f t="shared" si="18"/>
        <v>1.7839035792727349</v>
      </c>
      <c r="W327" s="6">
        <f t="shared" si="19"/>
        <v>2.6683449084080255</v>
      </c>
      <c r="X327" s="6">
        <v>2.6880539655202416</v>
      </c>
      <c r="Y327" s="6">
        <f t="shared" si="20"/>
        <v>0.75398882355695729</v>
      </c>
      <c r="Z327" s="6">
        <f t="shared" si="20"/>
        <v>2.4847154240124629</v>
      </c>
      <c r="AA327" s="6">
        <f t="shared" si="20"/>
        <v>3.0323786731629889</v>
      </c>
      <c r="AB327" s="6">
        <f t="shared" si="17"/>
        <v>2.5772364076029302</v>
      </c>
    </row>
    <row r="328" spans="1:28">
      <c r="A328" s="1">
        <v>3</v>
      </c>
      <c r="B328" s="1">
        <v>1</v>
      </c>
      <c r="C328" s="1">
        <v>1</v>
      </c>
      <c r="D328" s="1">
        <v>1</v>
      </c>
      <c r="E328" s="1">
        <v>0</v>
      </c>
      <c r="F328" s="1">
        <v>13</v>
      </c>
      <c r="G328" s="1">
        <v>6</v>
      </c>
      <c r="H328" s="1">
        <v>3</v>
      </c>
      <c r="I328" s="1">
        <v>1</v>
      </c>
      <c r="J328" s="1">
        <v>5</v>
      </c>
      <c r="K328" s="1">
        <v>5</v>
      </c>
      <c r="L328" s="1">
        <v>4</v>
      </c>
      <c r="M328" s="1">
        <v>72</v>
      </c>
      <c r="N328" s="5">
        <v>72.8</v>
      </c>
      <c r="O328" s="6">
        <v>5299.84</v>
      </c>
      <c r="P328" s="5">
        <v>388.82300000000004</v>
      </c>
      <c r="Q328">
        <v>339.02730973074733</v>
      </c>
      <c r="R328" s="6">
        <v>121.92110000000001</v>
      </c>
      <c r="S328" s="6">
        <v>110.7662</v>
      </c>
      <c r="T328" s="6">
        <v>5447.6827111111106</v>
      </c>
      <c r="U328" s="6">
        <v>1755.5555555555557</v>
      </c>
      <c r="V328" s="6">
        <f t="shared" si="18"/>
        <v>1.8621313793130372</v>
      </c>
      <c r="W328" s="6">
        <f t="shared" si="19"/>
        <v>2.5897519467831609</v>
      </c>
      <c r="X328" s="6">
        <v>2.5302346834174001</v>
      </c>
      <c r="Y328" s="6">
        <f t="shared" si="20"/>
        <v>2.0860788723171706</v>
      </c>
      <c r="Z328" s="6">
        <f t="shared" si="20"/>
        <v>2.0444072568462728</v>
      </c>
      <c r="AA328" s="6">
        <f t="shared" si="20"/>
        <v>3.7362118050672875</v>
      </c>
      <c r="AB328" s="6">
        <f t="shared" si="17"/>
        <v>3.2444145775150979</v>
      </c>
    </row>
    <row r="329" spans="1:28">
      <c r="A329" s="1">
        <v>4</v>
      </c>
      <c r="B329" s="1">
        <v>1</v>
      </c>
      <c r="C329" s="1">
        <v>0</v>
      </c>
      <c r="D329" s="1">
        <v>0</v>
      </c>
      <c r="E329" s="1">
        <v>0</v>
      </c>
      <c r="F329" s="1">
        <v>1</v>
      </c>
      <c r="G329" s="1">
        <v>6</v>
      </c>
      <c r="H329" s="1">
        <v>1</v>
      </c>
      <c r="I329" s="1">
        <v>1</v>
      </c>
      <c r="J329" s="1">
        <v>1</v>
      </c>
      <c r="K329" s="1">
        <v>1</v>
      </c>
      <c r="L329" s="1">
        <v>4</v>
      </c>
      <c r="M329" s="1">
        <v>72</v>
      </c>
      <c r="N329" s="5">
        <v>492.8</v>
      </c>
      <c r="O329" s="6">
        <v>242851.84</v>
      </c>
      <c r="P329" s="5">
        <v>496.04710399999976</v>
      </c>
      <c r="Q329">
        <v>603.40375647112137</v>
      </c>
      <c r="R329" s="6">
        <v>149.51480000000001</v>
      </c>
      <c r="S329" s="6">
        <v>1620.396</v>
      </c>
      <c r="T329" s="6">
        <v>41645.726888888894</v>
      </c>
      <c r="U329" s="6">
        <v>8400</v>
      </c>
      <c r="V329" s="6">
        <f t="shared" si="18"/>
        <v>2.6926706991563689</v>
      </c>
      <c r="W329" s="6">
        <f t="shared" si="19"/>
        <v>2.6955229184981793</v>
      </c>
      <c r="X329" s="6">
        <v>2.7806080095340331</v>
      </c>
      <c r="Y329" s="6">
        <f t="shared" si="20"/>
        <v>2.174684184233691</v>
      </c>
      <c r="Z329" s="6">
        <f t="shared" si="20"/>
        <v>3.2096211624428812</v>
      </c>
      <c r="AA329" s="6">
        <f t="shared" si="20"/>
        <v>4.6195704467084582</v>
      </c>
      <c r="AB329" s="6">
        <f t="shared" si="17"/>
        <v>3.9242792860618816</v>
      </c>
    </row>
    <row r="330" spans="1:28">
      <c r="A330" s="1">
        <v>5</v>
      </c>
      <c r="B330" s="1">
        <v>1</v>
      </c>
      <c r="C330" s="1">
        <v>1</v>
      </c>
      <c r="D330" s="1">
        <v>0</v>
      </c>
      <c r="E330" s="1">
        <v>0</v>
      </c>
      <c r="F330" s="1">
        <v>8</v>
      </c>
      <c r="G330" s="1">
        <v>6</v>
      </c>
      <c r="H330" s="1">
        <v>2</v>
      </c>
      <c r="I330" s="1">
        <v>1</v>
      </c>
      <c r="J330" s="1">
        <v>3</v>
      </c>
      <c r="K330" s="1">
        <v>3</v>
      </c>
      <c r="L330" s="1">
        <v>4</v>
      </c>
      <c r="M330" s="1">
        <v>72</v>
      </c>
      <c r="N330" s="5">
        <v>216.8</v>
      </c>
      <c r="O330" s="6">
        <v>47002.239999999998</v>
      </c>
      <c r="P330" s="5">
        <v>1999.0768639999987</v>
      </c>
      <c r="Q330">
        <v>2048.0804746537274</v>
      </c>
      <c r="R330" s="6">
        <v>77.888599999999997</v>
      </c>
      <c r="S330" s="6">
        <v>178.86980000000003</v>
      </c>
      <c r="T330" s="6">
        <v>687.34817777777801</v>
      </c>
      <c r="U330" s="6">
        <v>244.44444444444449</v>
      </c>
      <c r="V330" s="6">
        <f t="shared" si="18"/>
        <v>2.3360592778663491</v>
      </c>
      <c r="W330" s="6">
        <f t="shared" si="19"/>
        <v>3.3008294929521793</v>
      </c>
      <c r="X330" s="6">
        <v>3.3113470172507675</v>
      </c>
      <c r="Y330" s="6">
        <f t="shared" si="20"/>
        <v>1.8914738977316889</v>
      </c>
      <c r="Z330" s="6">
        <f t="shared" si="20"/>
        <v>2.2525370213918325</v>
      </c>
      <c r="AA330" s="6">
        <f t="shared" si="20"/>
        <v>2.8371767856517343</v>
      </c>
      <c r="AB330" s="6">
        <f t="shared" si="17"/>
        <v>2.3881801713828814</v>
      </c>
    </row>
    <row r="331" spans="1:28">
      <c r="A331" s="1">
        <v>6</v>
      </c>
      <c r="B331" s="1">
        <v>1</v>
      </c>
      <c r="C331" s="1">
        <v>0</v>
      </c>
      <c r="D331" s="1">
        <v>0</v>
      </c>
      <c r="E331" s="1">
        <v>0</v>
      </c>
      <c r="F331" s="1">
        <v>2</v>
      </c>
      <c r="G331" s="1">
        <v>6</v>
      </c>
      <c r="H331" s="1">
        <v>1</v>
      </c>
      <c r="I331" s="1">
        <v>1</v>
      </c>
      <c r="J331" s="1">
        <v>1</v>
      </c>
      <c r="K331" s="1">
        <v>1</v>
      </c>
      <c r="L331" s="1">
        <v>4</v>
      </c>
      <c r="M331" s="1">
        <v>72</v>
      </c>
      <c r="N331" s="5">
        <v>60.8</v>
      </c>
      <c r="O331" s="6">
        <v>3696.64</v>
      </c>
      <c r="P331" s="5">
        <v>388.82300000000004</v>
      </c>
      <c r="Q331">
        <v>339.02730973074733</v>
      </c>
      <c r="R331" s="6">
        <v>8.6890800000000024</v>
      </c>
      <c r="S331" s="6">
        <v>401.185</v>
      </c>
      <c r="T331" s="6">
        <v>1140.6358666666667</v>
      </c>
      <c r="U331" s="6">
        <v>355.55555555555571</v>
      </c>
      <c r="V331" s="6">
        <f t="shared" si="18"/>
        <v>1.7839035792727349</v>
      </c>
      <c r="W331" s="6">
        <f t="shared" si="19"/>
        <v>2.5897519467831609</v>
      </c>
      <c r="X331" s="6">
        <v>2.5302346834174001</v>
      </c>
      <c r="Y331" s="6">
        <f t="shared" si="20"/>
        <v>0.93897379577262108</v>
      </c>
      <c r="Z331" s="6">
        <f t="shared" si="20"/>
        <v>2.6033446867137555</v>
      </c>
      <c r="AA331" s="6">
        <f t="shared" si="20"/>
        <v>3.057147023614609</v>
      </c>
      <c r="AB331" s="6">
        <f t="shared" si="17"/>
        <v>2.5509074688805815</v>
      </c>
    </row>
    <row r="332" spans="1:28">
      <c r="A332" s="1">
        <v>7</v>
      </c>
      <c r="B332" s="1">
        <v>1</v>
      </c>
      <c r="C332" s="1">
        <v>1</v>
      </c>
      <c r="D332" s="1">
        <v>1</v>
      </c>
      <c r="E332" s="1">
        <v>0</v>
      </c>
      <c r="F332" s="1">
        <v>24</v>
      </c>
      <c r="G332" s="1">
        <v>18</v>
      </c>
      <c r="H332" s="1">
        <v>3</v>
      </c>
      <c r="I332" s="1">
        <v>1</v>
      </c>
      <c r="J332" s="1">
        <v>6</v>
      </c>
      <c r="K332" s="1">
        <v>7</v>
      </c>
      <c r="L332" s="1">
        <v>4</v>
      </c>
      <c r="M332" s="1">
        <v>72</v>
      </c>
      <c r="N332" s="5">
        <v>224.8</v>
      </c>
      <c r="O332" s="6">
        <v>50535.040000000001</v>
      </c>
      <c r="P332" s="5">
        <v>465.95600000000002</v>
      </c>
      <c r="Q332">
        <v>487.58907425628536</v>
      </c>
      <c r="R332" s="6">
        <v>8.7673600000000018</v>
      </c>
      <c r="S332" s="6">
        <v>331.90720000000005</v>
      </c>
      <c r="T332" s="6">
        <v>8513.9417777777762</v>
      </c>
      <c r="U332" s="6">
        <v>3266.6666666666661</v>
      </c>
      <c r="V332" s="6">
        <f t="shared" si="18"/>
        <v>2.3517963068970236</v>
      </c>
      <c r="W332" s="6">
        <f t="shared" si="19"/>
        <v>2.6683449084080255</v>
      </c>
      <c r="X332" s="6">
        <v>2.6880539655202416</v>
      </c>
      <c r="Y332" s="6">
        <f t="shared" si="20"/>
        <v>0.94286883965614521</v>
      </c>
      <c r="Z332" s="6">
        <f t="shared" si="20"/>
        <v>2.5210166735786963</v>
      </c>
      <c r="AA332" s="6">
        <f t="shared" si="20"/>
        <v>3.9301306759472614</v>
      </c>
      <c r="AB332" s="6">
        <f t="shared" si="17"/>
        <v>3.5141048209728325</v>
      </c>
    </row>
    <row r="333" spans="1:28">
      <c r="A333" s="1">
        <v>8</v>
      </c>
      <c r="B333" s="1">
        <v>1</v>
      </c>
      <c r="C333" s="1">
        <v>1</v>
      </c>
      <c r="D333" s="1">
        <v>1</v>
      </c>
      <c r="E333" s="1">
        <v>0</v>
      </c>
      <c r="F333" s="1">
        <v>26</v>
      </c>
      <c r="G333" s="1">
        <v>18</v>
      </c>
      <c r="H333" s="1">
        <v>3</v>
      </c>
      <c r="I333" s="1">
        <v>1</v>
      </c>
      <c r="J333" s="1">
        <v>6</v>
      </c>
      <c r="K333" s="1">
        <v>7</v>
      </c>
      <c r="L333" s="1">
        <v>4</v>
      </c>
      <c r="M333" s="1">
        <v>72</v>
      </c>
      <c r="N333" s="5">
        <v>290.8</v>
      </c>
      <c r="O333" s="6">
        <v>84564.64</v>
      </c>
      <c r="P333" s="5">
        <v>2199.7261760000001</v>
      </c>
      <c r="Q333">
        <v>2170.5578066326261</v>
      </c>
      <c r="R333" s="6">
        <v>137.38140000000001</v>
      </c>
      <c r="S333" s="6">
        <v>153.8202</v>
      </c>
      <c r="T333" s="6">
        <v>3621.5</v>
      </c>
      <c r="U333" s="6">
        <v>1933.3333333333333</v>
      </c>
      <c r="V333" s="6">
        <f t="shared" si="18"/>
        <v>2.4635944021870002</v>
      </c>
      <c r="W333" s="6">
        <f t="shared" si="19"/>
        <v>3.3423686227978617</v>
      </c>
      <c r="X333" s="6">
        <v>3.3365713565268322</v>
      </c>
      <c r="Y333" s="6">
        <f t="shared" si="20"/>
        <v>2.1379279377878064</v>
      </c>
      <c r="Z333" s="6">
        <f t="shared" si="20"/>
        <v>2.1870133716974092</v>
      </c>
      <c r="AA333" s="6">
        <f t="shared" si="20"/>
        <v>3.5588884895367348</v>
      </c>
      <c r="AB333" s="6">
        <f t="shared" si="17"/>
        <v>3.2863067388432747</v>
      </c>
    </row>
    <row r="334" spans="1:28">
      <c r="A334" s="1">
        <v>9</v>
      </c>
      <c r="B334" s="1">
        <v>1</v>
      </c>
      <c r="C334" s="1">
        <v>1</v>
      </c>
      <c r="D334" s="1">
        <v>1</v>
      </c>
      <c r="E334" s="1">
        <v>0</v>
      </c>
      <c r="F334" s="1">
        <v>21</v>
      </c>
      <c r="G334" s="1">
        <v>18</v>
      </c>
      <c r="H334" s="1">
        <v>3</v>
      </c>
      <c r="I334" s="1">
        <v>1</v>
      </c>
      <c r="J334" s="1">
        <v>6</v>
      </c>
      <c r="K334" s="1">
        <v>7</v>
      </c>
      <c r="L334" s="1">
        <v>4</v>
      </c>
      <c r="M334" s="1">
        <v>72</v>
      </c>
      <c r="N334" s="5">
        <v>216.8</v>
      </c>
      <c r="O334" s="6">
        <v>47002.239999999998</v>
      </c>
      <c r="P334" s="5">
        <v>1058.8173439999991</v>
      </c>
      <c r="Q334">
        <v>1394.6532613167849</v>
      </c>
      <c r="R334" s="6">
        <v>37.848380000000006</v>
      </c>
      <c r="S334" s="6">
        <v>751.48799999999994</v>
      </c>
      <c r="T334" s="6">
        <v>19054.019777777776</v>
      </c>
      <c r="U334" s="6">
        <v>3288.8888888888887</v>
      </c>
      <c r="V334" s="6">
        <f t="shared" si="18"/>
        <v>2.3360592778663491</v>
      </c>
      <c r="W334" s="6">
        <f t="shared" si="19"/>
        <v>3.0248210466657679</v>
      </c>
      <c r="X334" s="6">
        <v>3.1444662467388902</v>
      </c>
      <c r="Y334" s="6">
        <f t="shared" si="20"/>
        <v>1.578047295404984</v>
      </c>
      <c r="Z334" s="6">
        <f t="shared" si="20"/>
        <v>2.8759220500255318</v>
      </c>
      <c r="AA334" s="6">
        <f t="shared" si="20"/>
        <v>4.2799866116727605</v>
      </c>
      <c r="AB334" s="6">
        <f t="shared" si="17"/>
        <v>3.5170492016196135</v>
      </c>
    </row>
    <row r="335" spans="1:28">
      <c r="A335" s="1">
        <v>10</v>
      </c>
      <c r="B335" s="1">
        <v>1</v>
      </c>
      <c r="C335" s="1">
        <v>1</v>
      </c>
      <c r="D335" s="1">
        <v>1</v>
      </c>
      <c r="E335" s="1">
        <v>0</v>
      </c>
      <c r="F335" s="1">
        <v>25</v>
      </c>
      <c r="G335" s="1">
        <v>18</v>
      </c>
      <c r="H335" s="1">
        <v>3</v>
      </c>
      <c r="I335" s="1">
        <v>1</v>
      </c>
      <c r="J335" s="1">
        <v>6</v>
      </c>
      <c r="K335" s="1">
        <v>7</v>
      </c>
      <c r="L335" s="1">
        <v>4</v>
      </c>
      <c r="M335" s="1">
        <v>72</v>
      </c>
      <c r="N335" s="5">
        <v>442.8</v>
      </c>
      <c r="O335" s="6">
        <v>196071.84</v>
      </c>
      <c r="P335" s="5">
        <v>1303.6192919999999</v>
      </c>
      <c r="Q335">
        <v>1303.6192919999999</v>
      </c>
      <c r="R335" s="6">
        <v>164.19230000000005</v>
      </c>
      <c r="S335" s="6">
        <v>198.43980000000002</v>
      </c>
      <c r="T335" s="6">
        <v>33153.027777777781</v>
      </c>
      <c r="U335" s="6">
        <v>12977.777777777776</v>
      </c>
      <c r="V335" s="6">
        <f t="shared" si="18"/>
        <v>2.6462076122066853</v>
      </c>
      <c r="W335" s="6">
        <f t="shared" si="19"/>
        <v>3.1151507788774495</v>
      </c>
      <c r="X335" s="6">
        <v>3.1151507788774495</v>
      </c>
      <c r="Y335" s="6">
        <f t="shared" si="20"/>
        <v>2.2153527864867018</v>
      </c>
      <c r="Z335" s="6">
        <f t="shared" si="20"/>
        <v>2.2976287806553182</v>
      </c>
      <c r="AA335" s="6">
        <f t="shared" si="20"/>
        <v>4.5205231975110536</v>
      </c>
      <c r="AB335" s="6">
        <f t="shared" si="17"/>
        <v>4.1132003333370557</v>
      </c>
    </row>
    <row r="336" spans="1:28">
      <c r="A336" s="1">
        <v>11</v>
      </c>
      <c r="B336" s="1">
        <v>1</v>
      </c>
      <c r="C336" s="1">
        <v>1</v>
      </c>
      <c r="D336" s="1">
        <v>1</v>
      </c>
      <c r="E336" s="1">
        <v>0</v>
      </c>
      <c r="F336" s="1">
        <v>20</v>
      </c>
      <c r="G336" s="1">
        <v>18</v>
      </c>
      <c r="H336" s="1">
        <v>3</v>
      </c>
      <c r="I336" s="1">
        <v>1</v>
      </c>
      <c r="J336" s="1">
        <v>6</v>
      </c>
      <c r="K336" s="1">
        <v>7</v>
      </c>
      <c r="L336" s="1">
        <v>4</v>
      </c>
      <c r="M336" s="1">
        <v>72</v>
      </c>
      <c r="N336" s="5">
        <v>420.8</v>
      </c>
      <c r="O336" s="6">
        <v>177072.64000000001</v>
      </c>
      <c r="P336" s="5">
        <v>979.18586800000003</v>
      </c>
      <c r="Q336">
        <v>979.18586800000003</v>
      </c>
      <c r="R336" s="6">
        <v>122.1168</v>
      </c>
      <c r="S336" s="6">
        <v>311.16300000000001</v>
      </c>
      <c r="T336" s="6">
        <v>19597.44733333333</v>
      </c>
      <c r="U336" s="6">
        <v>3288.8888888888887</v>
      </c>
      <c r="V336" s="6">
        <f t="shared" si="18"/>
        <v>2.6240757311456826</v>
      </c>
      <c r="W336" s="6">
        <f t="shared" si="19"/>
        <v>2.9908651369359762</v>
      </c>
      <c r="X336" s="6">
        <v>2.9908651369359762</v>
      </c>
      <c r="Y336" s="6">
        <f t="shared" si="20"/>
        <v>2.086775415340425</v>
      </c>
      <c r="Z336" s="6">
        <f t="shared" si="20"/>
        <v>2.4929879499784526</v>
      </c>
      <c r="AA336" s="6">
        <f t="shared" si="20"/>
        <v>4.2921995059868179</v>
      </c>
      <c r="AB336" s="6">
        <f t="shared" si="17"/>
        <v>3.5170492016196135</v>
      </c>
    </row>
    <row r="337" spans="1:28">
      <c r="A337" s="1">
        <v>12</v>
      </c>
      <c r="B337" s="1">
        <v>1</v>
      </c>
      <c r="C337" s="1">
        <v>1</v>
      </c>
      <c r="D337" s="1">
        <v>1</v>
      </c>
      <c r="E337" s="1">
        <v>1</v>
      </c>
      <c r="F337" s="1">
        <v>18</v>
      </c>
      <c r="G337" s="1">
        <v>6</v>
      </c>
      <c r="H337" s="1">
        <v>3</v>
      </c>
      <c r="I337" s="1">
        <v>1</v>
      </c>
      <c r="J337" s="1">
        <v>5</v>
      </c>
      <c r="K337" s="1">
        <v>6</v>
      </c>
      <c r="L337" s="1">
        <v>4</v>
      </c>
      <c r="M337" s="1">
        <v>72</v>
      </c>
      <c r="N337" s="5">
        <v>58.8</v>
      </c>
      <c r="O337" s="6">
        <v>3457.44</v>
      </c>
      <c r="P337" s="5">
        <v>337.40099999999995</v>
      </c>
      <c r="Q337">
        <v>256.26597658766315</v>
      </c>
      <c r="R337" s="6">
        <v>18.5915</v>
      </c>
      <c r="S337" s="6">
        <v>573.40100000000007</v>
      </c>
      <c r="T337" s="6">
        <v>1982.2886222222221</v>
      </c>
      <c r="U337" s="6">
        <v>1088.8888888888894</v>
      </c>
      <c r="V337" s="6">
        <f t="shared" si="18"/>
        <v>1.7693773260761385</v>
      </c>
      <c r="W337" s="6">
        <f t="shared" si="19"/>
        <v>2.5281463654310503</v>
      </c>
      <c r="X337" s="6">
        <v>2.408690950464083</v>
      </c>
      <c r="Y337" s="6">
        <f t="shared" si="20"/>
        <v>1.2693144309468489</v>
      </c>
      <c r="Z337" s="6">
        <f t="shared" si="20"/>
        <v>2.7584584460121109</v>
      </c>
      <c r="AA337" s="6">
        <f t="shared" si="20"/>
        <v>3.2971668882485132</v>
      </c>
      <c r="AB337" s="6">
        <f t="shared" si="17"/>
        <v>3.0369835662531703</v>
      </c>
    </row>
    <row r="338" spans="1:28">
      <c r="A338" s="1">
        <v>13</v>
      </c>
      <c r="B338" s="1">
        <v>1</v>
      </c>
      <c r="C338" s="1">
        <v>1</v>
      </c>
      <c r="D338" s="1">
        <v>1</v>
      </c>
      <c r="E338" s="1">
        <v>1</v>
      </c>
      <c r="F338" s="1">
        <v>25</v>
      </c>
      <c r="G338" s="1">
        <v>18</v>
      </c>
      <c r="H338" s="1">
        <v>3</v>
      </c>
      <c r="I338" s="1">
        <v>1</v>
      </c>
      <c r="J338" s="1">
        <v>6</v>
      </c>
      <c r="K338" s="1">
        <v>7</v>
      </c>
      <c r="L338" s="1">
        <v>4</v>
      </c>
      <c r="M338" s="1">
        <v>72</v>
      </c>
      <c r="N338" s="5">
        <v>96.8</v>
      </c>
      <c r="O338" s="6">
        <v>9370.24</v>
      </c>
      <c r="P338" s="5">
        <v>363.11200000000002</v>
      </c>
      <c r="Q338">
        <v>296.04871231973084</v>
      </c>
      <c r="R338" s="6">
        <v>22.19238</v>
      </c>
      <c r="S338" s="6">
        <v>87.673600000000008</v>
      </c>
      <c r="T338" s="6">
        <v>1216.6961333333329</v>
      </c>
      <c r="U338" s="6">
        <v>577.77777777777737</v>
      </c>
      <c r="V338" s="6">
        <f t="shared" si="18"/>
        <v>1.9858753573083936</v>
      </c>
      <c r="W338" s="6">
        <f t="shared" si="19"/>
        <v>2.5600406015641384</v>
      </c>
      <c r="X338" s="6">
        <v>2.4713631764342274</v>
      </c>
      <c r="Y338" s="6">
        <f t="shared" si="20"/>
        <v>1.346203880214889</v>
      </c>
      <c r="Z338" s="6">
        <f t="shared" si="20"/>
        <v>1.9428688396561451</v>
      </c>
      <c r="AA338" s="6">
        <f t="shared" si="20"/>
        <v>3.0851821278648397</v>
      </c>
      <c r="AB338" s="6">
        <f t="shared" si="17"/>
        <v>2.7617608341954738</v>
      </c>
    </row>
    <row r="339" spans="1:28">
      <c r="A339" s="1">
        <v>14</v>
      </c>
      <c r="B339" s="1">
        <v>1</v>
      </c>
      <c r="C339" s="1">
        <v>1</v>
      </c>
      <c r="D339" s="1">
        <v>1</v>
      </c>
      <c r="E339" s="1">
        <v>1</v>
      </c>
      <c r="F339" s="1">
        <v>14</v>
      </c>
      <c r="G339" s="1">
        <v>6</v>
      </c>
      <c r="H339" s="1">
        <v>3</v>
      </c>
      <c r="I339" s="1">
        <v>1</v>
      </c>
      <c r="J339" s="1">
        <v>5</v>
      </c>
      <c r="K339" s="1">
        <v>5</v>
      </c>
      <c r="L339" s="1">
        <v>4</v>
      </c>
      <c r="M339" s="1">
        <v>72</v>
      </c>
      <c r="N339" s="5">
        <v>128.80000000000001</v>
      </c>
      <c r="O339" s="6">
        <v>16589.439999999999</v>
      </c>
      <c r="P339" s="5">
        <v>388.82300000000004</v>
      </c>
      <c r="Q339">
        <v>339.02730973074733</v>
      </c>
      <c r="R339" s="6">
        <v>48.533600000000007</v>
      </c>
      <c r="S339" s="6">
        <v>1246.6090000000002</v>
      </c>
      <c r="T339" s="6">
        <v>5957.800177777779</v>
      </c>
      <c r="U339" s="6">
        <v>3555.5555555555557</v>
      </c>
      <c r="V339" s="6">
        <f t="shared" si="18"/>
        <v>2.1099158630237933</v>
      </c>
      <c r="W339" s="6">
        <f t="shared" si="19"/>
        <v>2.5897519467831609</v>
      </c>
      <c r="X339" s="6">
        <v>2.5302346834174001</v>
      </c>
      <c r="Y339" s="6">
        <f t="shared" si="20"/>
        <v>1.6860425064842175</v>
      </c>
      <c r="Z339" s="6">
        <f t="shared" si="20"/>
        <v>3.0957302579933517</v>
      </c>
      <c r="AA339" s="6">
        <f t="shared" si="20"/>
        <v>3.7750859330610043</v>
      </c>
      <c r="AB339" s="6">
        <f t="shared" si="17"/>
        <v>3.5509074688805811</v>
      </c>
    </row>
    <row r="340" spans="1:28">
      <c r="A340" s="1">
        <v>15</v>
      </c>
      <c r="B340" s="1">
        <v>1</v>
      </c>
      <c r="C340" s="1">
        <v>1</v>
      </c>
      <c r="D340" s="1">
        <v>1</v>
      </c>
      <c r="E340" s="1">
        <v>0</v>
      </c>
      <c r="F340" s="1">
        <v>18</v>
      </c>
      <c r="G340" s="1">
        <v>6</v>
      </c>
      <c r="H340" s="1">
        <v>3</v>
      </c>
      <c r="I340" s="1">
        <v>1</v>
      </c>
      <c r="J340" s="1">
        <v>5</v>
      </c>
      <c r="K340" s="1">
        <v>6</v>
      </c>
      <c r="L340" s="1">
        <v>4</v>
      </c>
      <c r="M340" s="1">
        <v>72</v>
      </c>
      <c r="N340" s="5">
        <v>204.8</v>
      </c>
      <c r="O340" s="6">
        <v>41943.040000000001</v>
      </c>
      <c r="P340" s="5">
        <v>1472.4536000000007</v>
      </c>
      <c r="Q340">
        <v>1704.0684759423807</v>
      </c>
      <c r="R340" s="6">
        <v>179.84830000000002</v>
      </c>
      <c r="S340" s="6">
        <v>1649.751</v>
      </c>
      <c r="T340" s="6">
        <v>20558.282444444441</v>
      </c>
      <c r="U340" s="6">
        <v>10466.666666666664</v>
      </c>
      <c r="V340" s="6">
        <f t="shared" si="18"/>
        <v>2.3113299523037933</v>
      </c>
      <c r="W340" s="6">
        <f t="shared" si="19"/>
        <v>3.168041618174616</v>
      </c>
      <c r="X340" s="6">
        <v>3.2314870423827959</v>
      </c>
      <c r="Y340" s="6">
        <f t="shared" si="20"/>
        <v>2.2549063370441127</v>
      </c>
      <c r="Z340" s="6">
        <f t="shared" si="20"/>
        <v>3.2174184002827433</v>
      </c>
      <c r="AA340" s="6">
        <f t="shared" si="20"/>
        <v>4.31298682841377</v>
      </c>
      <c r="AB340" s="6">
        <f t="shared" si="17"/>
        <v>4.0198083933535527</v>
      </c>
    </row>
    <row r="341" spans="1:28">
      <c r="A341" s="1">
        <v>16</v>
      </c>
      <c r="B341" s="1">
        <v>1</v>
      </c>
      <c r="C341" s="1">
        <v>1</v>
      </c>
      <c r="D341" s="1">
        <v>1</v>
      </c>
      <c r="E341" s="1">
        <v>1</v>
      </c>
      <c r="F341" s="1">
        <v>21</v>
      </c>
      <c r="G341" s="1">
        <v>18</v>
      </c>
      <c r="H341" s="1">
        <v>3</v>
      </c>
      <c r="I341" s="1">
        <v>1</v>
      </c>
      <c r="J341" s="1">
        <v>6</v>
      </c>
      <c r="K341" s="1">
        <v>7</v>
      </c>
      <c r="L341" s="1">
        <v>4</v>
      </c>
      <c r="M341" s="1">
        <v>72</v>
      </c>
      <c r="N341" s="5">
        <v>104.8</v>
      </c>
      <c r="O341" s="6">
        <v>10983.04</v>
      </c>
      <c r="P341" s="5">
        <v>337.40099999999995</v>
      </c>
      <c r="Q341">
        <v>256.26597658766315</v>
      </c>
      <c r="R341" s="6">
        <v>33.112440000000007</v>
      </c>
      <c r="S341" s="6">
        <v>377.70100000000002</v>
      </c>
      <c r="T341" s="6">
        <v>13534.773555555556</v>
      </c>
      <c r="U341" s="6">
        <v>9511.1111111111131</v>
      </c>
      <c r="V341" s="6">
        <f t="shared" si="18"/>
        <v>2.0203612826477078</v>
      </c>
      <c r="W341" s="6">
        <f t="shared" si="19"/>
        <v>2.5281463654310503</v>
      </c>
      <c r="X341" s="6">
        <v>2.408690950464083</v>
      </c>
      <c r="Y341" s="6">
        <f t="shared" si="20"/>
        <v>1.5199911843610059</v>
      </c>
      <c r="Z341" s="6">
        <f t="shared" si="20"/>
        <v>2.5771481346657747</v>
      </c>
      <c r="AA341" s="6">
        <f t="shared" si="20"/>
        <v>4.1314509941741022</v>
      </c>
      <c r="AB341" s="6">
        <f t="shared" si="17"/>
        <v>3.9782312552378283</v>
      </c>
    </row>
    <row r="342" spans="1:28">
      <c r="A342" s="1">
        <v>17</v>
      </c>
      <c r="B342" s="1">
        <v>1</v>
      </c>
      <c r="C342" s="1">
        <v>0</v>
      </c>
      <c r="D342" s="1">
        <v>0</v>
      </c>
      <c r="E342" s="1">
        <v>1</v>
      </c>
      <c r="F342" s="1">
        <v>1</v>
      </c>
      <c r="G342" s="1">
        <v>6</v>
      </c>
      <c r="H342" s="1">
        <v>1</v>
      </c>
      <c r="I342" s="1">
        <v>1</v>
      </c>
      <c r="J342" s="1">
        <v>1</v>
      </c>
      <c r="K342" s="1">
        <v>1</v>
      </c>
      <c r="L342" s="1">
        <v>4</v>
      </c>
      <c r="M342" s="1">
        <v>72</v>
      </c>
      <c r="N342" s="5">
        <v>114.8</v>
      </c>
      <c r="O342" s="6">
        <v>13179.04</v>
      </c>
      <c r="P342" s="5">
        <v>758.16809599999942</v>
      </c>
      <c r="Q342">
        <v>1119.1101083494034</v>
      </c>
      <c r="R342" s="6">
        <v>39.257419999999996</v>
      </c>
      <c r="S342" s="6">
        <v>1475.5780000000002</v>
      </c>
      <c r="T342" s="6">
        <v>2800.9006666666678</v>
      </c>
      <c r="U342" s="6">
        <v>1577.7777777777783</v>
      </c>
      <c r="V342" s="6">
        <f t="shared" si="18"/>
        <v>2.0599418880619549</v>
      </c>
      <c r="W342" s="6">
        <f t="shared" si="19"/>
        <v>2.8797655051989968</v>
      </c>
      <c r="X342" s="6">
        <v>3.0488728185176455</v>
      </c>
      <c r="Y342" s="6">
        <f t="shared" si="20"/>
        <v>1.5939217543424005</v>
      </c>
      <c r="Z342" s="6">
        <f t="shared" si="20"/>
        <v>3.1689621715277752</v>
      </c>
      <c r="AA342" s="6">
        <f t="shared" si="20"/>
        <v>3.4472977069372774</v>
      </c>
      <c r="AB342" s="6">
        <f t="shared" si="17"/>
        <v>3.198045834943732</v>
      </c>
    </row>
    <row r="343" spans="1:28">
      <c r="A343" s="1">
        <v>18</v>
      </c>
      <c r="B343" s="1">
        <v>1</v>
      </c>
      <c r="C343" s="1">
        <v>1</v>
      </c>
      <c r="D343" s="1">
        <v>1</v>
      </c>
      <c r="E343" s="1">
        <v>0</v>
      </c>
      <c r="F343" s="1">
        <v>22</v>
      </c>
      <c r="G343" s="1">
        <v>18</v>
      </c>
      <c r="H343" s="1">
        <v>3</v>
      </c>
      <c r="I343" s="1">
        <v>1</v>
      </c>
      <c r="J343" s="1">
        <v>6</v>
      </c>
      <c r="K343" s="1">
        <v>7</v>
      </c>
      <c r="L343" s="1">
        <v>4</v>
      </c>
      <c r="M343" s="1">
        <v>72</v>
      </c>
      <c r="N343" s="5">
        <v>126.8</v>
      </c>
      <c r="O343" s="6">
        <v>16078.24</v>
      </c>
      <c r="P343" s="5">
        <v>491.66700000000003</v>
      </c>
      <c r="Q343">
        <v>543.79253098815855</v>
      </c>
      <c r="R343" s="6">
        <v>136.5986</v>
      </c>
      <c r="S343" s="6">
        <v>365.959</v>
      </c>
      <c r="T343" s="6">
        <v>16945.946888888891</v>
      </c>
      <c r="U343" s="6">
        <v>4400</v>
      </c>
      <c r="V343" s="6">
        <f t="shared" si="18"/>
        <v>2.1031192535457137</v>
      </c>
      <c r="W343" s="6">
        <f t="shared" si="19"/>
        <v>2.6916710600313563</v>
      </c>
      <c r="X343" s="6">
        <v>2.7354332382406237</v>
      </c>
      <c r="Y343" s="6">
        <f t="shared" si="20"/>
        <v>2.1354462482811623</v>
      </c>
      <c r="Z343" s="6">
        <f t="shared" si="20"/>
        <v>2.5634324321945003</v>
      </c>
      <c r="AA343" s="6">
        <f t="shared" si="20"/>
        <v>4.2290658409296729</v>
      </c>
      <c r="AB343" s="6">
        <f t="shared" si="17"/>
        <v>3.6434526764861874</v>
      </c>
    </row>
    <row r="344" spans="1:28">
      <c r="A344" s="1">
        <v>19</v>
      </c>
      <c r="B344" s="1">
        <v>1</v>
      </c>
      <c r="C344" s="1">
        <v>1</v>
      </c>
      <c r="D344" s="1">
        <v>1</v>
      </c>
      <c r="E344" s="1">
        <v>1</v>
      </c>
      <c r="F344" s="1">
        <v>26</v>
      </c>
      <c r="G344" s="1">
        <v>18</v>
      </c>
      <c r="H344" s="1">
        <v>3</v>
      </c>
      <c r="I344" s="1">
        <v>1</v>
      </c>
      <c r="J344" s="1">
        <v>6</v>
      </c>
      <c r="K344" s="1">
        <v>7</v>
      </c>
      <c r="L344" s="1">
        <v>4</v>
      </c>
      <c r="M344" s="1">
        <v>72</v>
      </c>
      <c r="N344" s="5">
        <v>60.8</v>
      </c>
      <c r="O344" s="6">
        <v>3696.64</v>
      </c>
      <c r="P344" s="5">
        <v>363.11200000000002</v>
      </c>
      <c r="Q344">
        <v>296.04871231973084</v>
      </c>
      <c r="R344" s="6">
        <v>48.337900000000005</v>
      </c>
      <c r="S344" s="6">
        <v>109.20060000000001</v>
      </c>
      <c r="T344" s="6">
        <v>2236.3375111111113</v>
      </c>
      <c r="U344" s="6">
        <v>688.88888888888857</v>
      </c>
      <c r="V344" s="6">
        <f t="shared" si="18"/>
        <v>1.7839035792727349</v>
      </c>
      <c r="W344" s="6">
        <f t="shared" si="19"/>
        <v>2.5600406015641384</v>
      </c>
      <c r="X344" s="6">
        <v>2.4713631764342274</v>
      </c>
      <c r="Y344" s="6">
        <f t="shared" si="20"/>
        <v>1.6842877789176669</v>
      </c>
      <c r="Z344" s="6">
        <f t="shared" si="20"/>
        <v>2.03822502459558</v>
      </c>
      <c r="AA344" s="6">
        <f t="shared" si="20"/>
        <v>3.349537348477182</v>
      </c>
      <c r="AB344" s="6">
        <f t="shared" si="17"/>
        <v>2.8381491800589287</v>
      </c>
    </row>
    <row r="345" spans="1:28">
      <c r="A345" s="1">
        <v>20</v>
      </c>
      <c r="B345" s="1">
        <v>1</v>
      </c>
      <c r="C345" s="1">
        <v>1</v>
      </c>
      <c r="D345" s="1">
        <v>1</v>
      </c>
      <c r="E345" s="1">
        <v>0</v>
      </c>
      <c r="F345" s="1">
        <v>17</v>
      </c>
      <c r="G345" s="1">
        <v>6</v>
      </c>
      <c r="H345" s="1">
        <v>3</v>
      </c>
      <c r="I345" s="1">
        <v>1</v>
      </c>
      <c r="J345" s="1">
        <v>5</v>
      </c>
      <c r="K345" s="1">
        <v>6</v>
      </c>
      <c r="L345" s="1">
        <v>4</v>
      </c>
      <c r="M345" s="1">
        <v>72</v>
      </c>
      <c r="N345" s="5">
        <v>108.8</v>
      </c>
      <c r="O345" s="6">
        <v>11837.44</v>
      </c>
      <c r="P345" s="5">
        <v>311.69</v>
      </c>
      <c r="Q345">
        <v>219.63076940845457</v>
      </c>
      <c r="R345" s="6">
        <v>32.486199999999997</v>
      </c>
      <c r="S345" s="6">
        <v>52.056200000000004</v>
      </c>
      <c r="T345" s="6">
        <v>2529.9340000000002</v>
      </c>
      <c r="U345" s="6">
        <v>1644.4444444444453</v>
      </c>
      <c r="V345" s="6">
        <f t="shared" si="18"/>
        <v>2.0366288953621612</v>
      </c>
      <c r="W345" s="6">
        <f t="shared" si="19"/>
        <v>2.4937228689611968</v>
      </c>
      <c r="X345" s="6">
        <v>2.3416931829921195</v>
      </c>
      <c r="Y345" s="6">
        <f t="shared" si="20"/>
        <v>1.5116989136980563</v>
      </c>
      <c r="Z345" s="6">
        <f t="shared" si="20"/>
        <v>1.7164724622890681</v>
      </c>
      <c r="AA345" s="6">
        <f t="shared" si="20"/>
        <v>3.4031091916067733</v>
      </c>
      <c r="AB345" s="6">
        <f t="shared" si="17"/>
        <v>3.2160192059556327</v>
      </c>
    </row>
    <row r="346" spans="1:28">
      <c r="A346" s="1">
        <v>21</v>
      </c>
      <c r="B346" s="1">
        <v>1</v>
      </c>
      <c r="C346" s="1">
        <v>1</v>
      </c>
      <c r="D346" s="1">
        <v>1</v>
      </c>
      <c r="E346" s="1">
        <v>0</v>
      </c>
      <c r="F346" s="1">
        <v>19</v>
      </c>
      <c r="G346" s="1">
        <v>6</v>
      </c>
      <c r="H346" s="1">
        <v>3</v>
      </c>
      <c r="I346" s="1">
        <v>1</v>
      </c>
      <c r="J346" s="1">
        <v>5</v>
      </c>
      <c r="K346" s="1">
        <v>6</v>
      </c>
      <c r="L346" s="1">
        <v>4</v>
      </c>
      <c r="M346" s="1">
        <v>72</v>
      </c>
      <c r="N346" s="5">
        <v>68.8</v>
      </c>
      <c r="O346" s="6">
        <v>4733.4399999999996</v>
      </c>
      <c r="P346" s="5">
        <v>388.82300000000004</v>
      </c>
      <c r="Q346">
        <v>339.02730973074733</v>
      </c>
      <c r="R346" s="6">
        <v>6.3798199999999996</v>
      </c>
      <c r="S346" s="6">
        <v>1688.8910000000001</v>
      </c>
      <c r="T346" s="6">
        <v>4619.8522222222227</v>
      </c>
      <c r="U346" s="6">
        <v>1866.6666666666679</v>
      </c>
      <c r="V346" s="6">
        <f t="shared" si="18"/>
        <v>1.8375884382355112</v>
      </c>
      <c r="W346" s="6">
        <f t="shared" si="19"/>
        <v>2.5897519467831609</v>
      </c>
      <c r="X346" s="6">
        <v>2.5302346834174001</v>
      </c>
      <c r="Y346" s="6">
        <f t="shared" si="20"/>
        <v>0.80480842572594014</v>
      </c>
      <c r="Z346" s="6">
        <f t="shared" si="20"/>
        <v>3.2276016213732106</v>
      </c>
      <c r="AA346" s="6">
        <f t="shared" si="20"/>
        <v>3.6646280837596121</v>
      </c>
      <c r="AB346" s="6">
        <f t="shared" si="17"/>
        <v>3.2710667722865381</v>
      </c>
    </row>
    <row r="347" spans="1:28">
      <c r="A347" s="1">
        <v>22</v>
      </c>
      <c r="B347" s="1">
        <v>1</v>
      </c>
      <c r="C347" s="1">
        <v>0</v>
      </c>
      <c r="D347" s="1">
        <v>0</v>
      </c>
      <c r="E347" s="1">
        <v>0</v>
      </c>
      <c r="F347" s="1">
        <v>3</v>
      </c>
      <c r="G347" s="1">
        <v>6</v>
      </c>
      <c r="H347" s="1">
        <v>1</v>
      </c>
      <c r="I347" s="1">
        <v>1</v>
      </c>
      <c r="J347" s="1">
        <v>1</v>
      </c>
      <c r="K347" s="1">
        <v>1</v>
      </c>
      <c r="L347" s="1">
        <v>4</v>
      </c>
      <c r="M347" s="1">
        <v>72</v>
      </c>
      <c r="N347" s="5">
        <v>350.8</v>
      </c>
      <c r="O347" s="6">
        <v>123060.64</v>
      </c>
      <c r="P347" s="5">
        <v>758.16809599999942</v>
      </c>
      <c r="Q347">
        <v>1119.1101083494034</v>
      </c>
      <c r="R347" s="6">
        <v>14.990620000000002</v>
      </c>
      <c r="S347" s="6">
        <v>1074.393</v>
      </c>
      <c r="T347" s="6">
        <v>48498.36044444445</v>
      </c>
      <c r="U347" s="6">
        <v>8333.3333333333339</v>
      </c>
      <c r="V347" s="6">
        <f t="shared" si="18"/>
        <v>2.5450595846940027</v>
      </c>
      <c r="W347" s="6">
        <f t="shared" si="19"/>
        <v>2.8797655051989968</v>
      </c>
      <c r="X347" s="6">
        <v>3.0488728185176455</v>
      </c>
      <c r="Y347" s="6">
        <f t="shared" si="20"/>
        <v>1.1758195952906052</v>
      </c>
      <c r="Z347" s="6">
        <f t="shared" si="20"/>
        <v>3.0311631701080932</v>
      </c>
      <c r="AA347" s="6">
        <f t="shared" si="20"/>
        <v>4.6857270569122358</v>
      </c>
      <c r="AB347" s="6">
        <f t="shared" si="17"/>
        <v>3.9208187539523753</v>
      </c>
    </row>
    <row r="348" spans="1:28">
      <c r="A348" s="1">
        <v>23</v>
      </c>
      <c r="B348" s="1">
        <v>1</v>
      </c>
      <c r="C348" s="1">
        <v>1</v>
      </c>
      <c r="D348" s="1">
        <v>1</v>
      </c>
      <c r="E348" s="1">
        <v>1</v>
      </c>
      <c r="F348" s="1">
        <v>24</v>
      </c>
      <c r="G348" s="1">
        <v>18</v>
      </c>
      <c r="H348" s="1">
        <v>3</v>
      </c>
      <c r="I348" s="1">
        <v>1</v>
      </c>
      <c r="J348" s="1">
        <v>6</v>
      </c>
      <c r="K348" s="1">
        <v>7</v>
      </c>
      <c r="L348" s="1">
        <v>4</v>
      </c>
      <c r="M348" s="1">
        <v>72</v>
      </c>
      <c r="N348" s="5">
        <v>80.8</v>
      </c>
      <c r="O348" s="6">
        <v>6528.64</v>
      </c>
      <c r="P348" s="5">
        <v>414.53399999999993</v>
      </c>
      <c r="Q348">
        <v>385.24784374610994</v>
      </c>
      <c r="R348" s="6">
        <v>16.164820000000002</v>
      </c>
      <c r="S348" s="6">
        <v>467.72299999999996</v>
      </c>
      <c r="T348" s="6">
        <v>15725.451333333336</v>
      </c>
      <c r="U348" s="6">
        <v>10888.888888888891</v>
      </c>
      <c r="V348" s="6">
        <f t="shared" si="18"/>
        <v>1.9074113607745862</v>
      </c>
      <c r="W348" s="6">
        <f t="shared" si="19"/>
        <v>2.617560157098151</v>
      </c>
      <c r="X348" s="6">
        <v>2.5857402166265717</v>
      </c>
      <c r="Y348" s="6">
        <f t="shared" si="20"/>
        <v>1.2085708729783835</v>
      </c>
      <c r="Z348" s="6">
        <f t="shared" si="20"/>
        <v>2.6699887266061388</v>
      </c>
      <c r="AA348" s="6">
        <f t="shared" si="20"/>
        <v>4.1966031189035258</v>
      </c>
      <c r="AB348" s="6">
        <f t="shared" si="17"/>
        <v>4.0369835662531699</v>
      </c>
    </row>
    <row r="349" spans="1:28">
      <c r="A349" s="1">
        <v>24</v>
      </c>
      <c r="B349" s="1">
        <v>1</v>
      </c>
      <c r="C349" s="1">
        <v>1</v>
      </c>
      <c r="D349" s="1">
        <v>1</v>
      </c>
      <c r="E349" s="1">
        <v>0</v>
      </c>
      <c r="F349" s="1">
        <v>16</v>
      </c>
      <c r="G349" s="1">
        <v>6</v>
      </c>
      <c r="H349" s="1">
        <v>3</v>
      </c>
      <c r="I349" s="1">
        <v>1</v>
      </c>
      <c r="J349" s="1">
        <v>5</v>
      </c>
      <c r="K349" s="1">
        <v>6</v>
      </c>
      <c r="L349" s="1">
        <v>4</v>
      </c>
      <c r="M349" s="1">
        <v>72</v>
      </c>
      <c r="N349" s="5">
        <v>442.8</v>
      </c>
      <c r="O349" s="6">
        <v>196071.84</v>
      </c>
      <c r="P349" s="5">
        <v>683.05990400000064</v>
      </c>
      <c r="Q349">
        <v>1034.6566497144709</v>
      </c>
      <c r="R349" s="6">
        <v>124.26949999999999</v>
      </c>
      <c r="S349" s="6">
        <v>182.001</v>
      </c>
      <c r="T349" s="6">
        <v>19969.638444444448</v>
      </c>
      <c r="U349" s="6">
        <v>7266.666666666667</v>
      </c>
      <c r="V349" s="6">
        <f t="shared" si="18"/>
        <v>2.6462076122066853</v>
      </c>
      <c r="W349" s="6">
        <f t="shared" si="19"/>
        <v>2.8344587927530069</v>
      </c>
      <c r="X349" s="6">
        <v>3.0147962532967822</v>
      </c>
      <c r="Y349" s="6">
        <f t="shared" si="20"/>
        <v>2.0943645509499769</v>
      </c>
      <c r="Z349" s="6">
        <f t="shared" si="20"/>
        <v>2.2600737742119361</v>
      </c>
      <c r="AA349" s="6">
        <f t="shared" si="20"/>
        <v>4.3003702019260794</v>
      </c>
      <c r="AB349" s="6">
        <f t="shared" si="17"/>
        <v>3.8613352388849425</v>
      </c>
    </row>
    <row r="350" spans="1:28">
      <c r="A350" s="1">
        <v>25</v>
      </c>
      <c r="B350" s="1">
        <v>0</v>
      </c>
      <c r="C350" s="1">
        <v>1</v>
      </c>
      <c r="D350" s="1">
        <v>1</v>
      </c>
      <c r="E350" s="1">
        <v>0</v>
      </c>
      <c r="F350" s="1">
        <v>10</v>
      </c>
      <c r="G350" s="1">
        <v>6</v>
      </c>
      <c r="H350" s="1">
        <v>2</v>
      </c>
      <c r="I350" s="1">
        <v>1</v>
      </c>
      <c r="J350" s="1">
        <v>4</v>
      </c>
      <c r="K350" s="1">
        <v>4</v>
      </c>
      <c r="L350" s="1">
        <v>4</v>
      </c>
      <c r="M350" s="1">
        <v>72</v>
      </c>
      <c r="N350" s="5">
        <v>118.8</v>
      </c>
      <c r="O350" s="6">
        <v>14113.44</v>
      </c>
      <c r="P350" s="5">
        <v>252.30292799999998</v>
      </c>
      <c r="Q350">
        <v>252.30292799999998</v>
      </c>
      <c r="R350" s="6">
        <v>19.335160000000002</v>
      </c>
      <c r="S350" s="6">
        <v>1078.307</v>
      </c>
      <c r="T350" s="6">
        <v>4879.5666666666675</v>
      </c>
      <c r="U350" s="6">
        <v>2533.3333333333335</v>
      </c>
      <c r="V350" s="6">
        <f t="shared" si="18"/>
        <v>2.0748164406451748</v>
      </c>
      <c r="W350" s="6">
        <f t="shared" si="19"/>
        <v>2.4019222905764899</v>
      </c>
      <c r="X350" s="6">
        <v>2.4019222905764899</v>
      </c>
      <c r="Y350" s="6">
        <f t="shared" si="20"/>
        <v>1.2863477702456294</v>
      </c>
      <c r="Z350" s="6">
        <f t="shared" si="20"/>
        <v>3.0327424245097863</v>
      </c>
      <c r="AA350" s="6">
        <f t="shared" si="20"/>
        <v>3.6883812558896767</v>
      </c>
      <c r="AB350" s="6">
        <f t="shared" si="17"/>
        <v>3.4036923375611288</v>
      </c>
    </row>
    <row r="351" spans="1:28">
      <c r="A351" s="1">
        <v>26</v>
      </c>
      <c r="B351" s="1">
        <v>0</v>
      </c>
      <c r="C351" s="1">
        <v>1</v>
      </c>
      <c r="D351" s="1">
        <v>0</v>
      </c>
      <c r="E351" s="1">
        <v>0</v>
      </c>
      <c r="F351" s="1">
        <v>6</v>
      </c>
      <c r="G351" s="1">
        <v>6</v>
      </c>
      <c r="H351" s="1">
        <v>1</v>
      </c>
      <c r="I351" s="1">
        <v>1</v>
      </c>
      <c r="J351" s="1">
        <v>2</v>
      </c>
      <c r="K351" s="1">
        <v>2</v>
      </c>
      <c r="L351" s="1">
        <v>4</v>
      </c>
      <c r="M351" s="1">
        <v>72</v>
      </c>
      <c r="N351" s="5">
        <v>134.80000000000001</v>
      </c>
      <c r="O351" s="6">
        <v>18171.04</v>
      </c>
      <c r="P351" s="5">
        <v>363.11200000000002</v>
      </c>
      <c r="Q351">
        <v>296.04871231973084</v>
      </c>
      <c r="R351" s="6">
        <v>53.386960000000002</v>
      </c>
      <c r="S351" s="6">
        <v>44.619599999999998</v>
      </c>
      <c r="T351" s="6">
        <v>15226.210888888891</v>
      </c>
      <c r="U351" s="6">
        <v>2622.2222222222217</v>
      </c>
      <c r="V351" s="6">
        <f t="shared" si="18"/>
        <v>2.129689892199301</v>
      </c>
      <c r="W351" s="6">
        <f t="shared" si="19"/>
        <v>2.5600406015641384</v>
      </c>
      <c r="X351" s="6">
        <v>2.4713631764342274</v>
      </c>
      <c r="Y351" s="6">
        <f t="shared" si="20"/>
        <v>1.7274351916424424</v>
      </c>
      <c r="Z351" s="6">
        <f t="shared" si="20"/>
        <v>1.6495256726584548</v>
      </c>
      <c r="AA351" s="6">
        <f t="shared" si="20"/>
        <v>4.1825918406448981</v>
      </c>
      <c r="AB351" s="6">
        <f t="shared" si="17"/>
        <v>3.4186694935307815</v>
      </c>
    </row>
    <row r="352" spans="1:28">
      <c r="A352" s="1">
        <v>27</v>
      </c>
      <c r="B352" s="1">
        <v>1</v>
      </c>
      <c r="C352" s="1">
        <v>1</v>
      </c>
      <c r="D352" s="1">
        <v>0</v>
      </c>
      <c r="E352" s="1">
        <v>0</v>
      </c>
      <c r="F352" s="1">
        <v>9</v>
      </c>
      <c r="G352" s="1">
        <v>6</v>
      </c>
      <c r="H352" s="1">
        <v>2</v>
      </c>
      <c r="I352" s="1">
        <v>1</v>
      </c>
      <c r="J352" s="1">
        <v>3</v>
      </c>
      <c r="K352" s="1">
        <v>3</v>
      </c>
      <c r="L352" s="1">
        <v>4</v>
      </c>
      <c r="M352" s="1">
        <v>72</v>
      </c>
      <c r="N352" s="5">
        <v>78.8</v>
      </c>
      <c r="O352" s="6">
        <v>6209.44</v>
      </c>
      <c r="P352" s="5">
        <v>414.53399999999993</v>
      </c>
      <c r="Q352">
        <v>385.24784374610994</v>
      </c>
      <c r="R352" s="6">
        <v>16.321380000000001</v>
      </c>
      <c r="S352" s="6">
        <v>608.62700000000007</v>
      </c>
      <c r="T352" s="6">
        <v>2176.1548888888888</v>
      </c>
      <c r="U352" s="6">
        <v>911.11111111111086</v>
      </c>
      <c r="V352" s="6">
        <f t="shared" si="18"/>
        <v>1.8965262174895554</v>
      </c>
      <c r="W352" s="6">
        <f t="shared" si="19"/>
        <v>2.617560157098151</v>
      </c>
      <c r="X352" s="6">
        <v>2.5857402166265717</v>
      </c>
      <c r="Y352" s="6">
        <f t="shared" si="20"/>
        <v>1.2127568762957399</v>
      </c>
      <c r="Z352" s="6">
        <f t="shared" si="20"/>
        <v>2.7843512146848388</v>
      </c>
      <c r="AA352" s="6">
        <f t="shared" si="20"/>
        <v>3.3376898032484772</v>
      </c>
      <c r="AB352" s="6">
        <f t="shared" si="17"/>
        <v>2.9595713429443915</v>
      </c>
    </row>
    <row r="353" spans="1:28">
      <c r="A353" s="1">
        <v>28</v>
      </c>
      <c r="B353" s="1">
        <v>1</v>
      </c>
      <c r="C353" s="1">
        <v>1</v>
      </c>
      <c r="D353" s="1">
        <v>0</v>
      </c>
      <c r="E353" s="1">
        <v>0</v>
      </c>
      <c r="F353" s="1">
        <v>7</v>
      </c>
      <c r="G353" s="1">
        <v>6</v>
      </c>
      <c r="H353" s="1">
        <v>2</v>
      </c>
      <c r="I353" s="1">
        <v>1</v>
      </c>
      <c r="J353" s="1">
        <v>3</v>
      </c>
      <c r="K353" s="1">
        <v>3</v>
      </c>
      <c r="L353" s="1">
        <v>4</v>
      </c>
      <c r="M353" s="1">
        <v>72</v>
      </c>
      <c r="N353" s="5">
        <v>428.8</v>
      </c>
      <c r="O353" s="6">
        <v>183869.44</v>
      </c>
      <c r="P353" s="5">
        <v>845.83039999999983</v>
      </c>
      <c r="Q353">
        <v>1207.2411233004193</v>
      </c>
      <c r="R353" s="6">
        <v>164.19230000000005</v>
      </c>
      <c r="S353" s="6">
        <v>95.893000000000015</v>
      </c>
      <c r="T353" s="6">
        <v>13247.146444444445</v>
      </c>
      <c r="U353" s="6">
        <v>5755.5555555555557</v>
      </c>
      <c r="V353" s="6">
        <f t="shared" si="18"/>
        <v>2.6322547766847135</v>
      </c>
      <c r="W353" s="6">
        <f t="shared" si="19"/>
        <v>2.9272832900742896</v>
      </c>
      <c r="X353" s="6">
        <v>3.0817940207687449</v>
      </c>
      <c r="Y353" s="6">
        <f t="shared" si="20"/>
        <v>2.2153527864867018</v>
      </c>
      <c r="Z353" s="6">
        <f t="shared" si="20"/>
        <v>1.9817869056865149</v>
      </c>
      <c r="AA353" s="6">
        <f t="shared" si="20"/>
        <v>4.1221223373748304</v>
      </c>
      <c r="AB353" s="6">
        <f t="shared" si="17"/>
        <v>3.760087250305908</v>
      </c>
    </row>
    <row r="354" spans="1:28">
      <c r="A354" s="1">
        <v>29</v>
      </c>
      <c r="B354" s="1">
        <v>1</v>
      </c>
      <c r="C354" s="1">
        <v>1</v>
      </c>
      <c r="D354" s="1">
        <v>1</v>
      </c>
      <c r="E354" s="1">
        <v>0</v>
      </c>
      <c r="F354" s="1">
        <v>23</v>
      </c>
      <c r="G354" s="1">
        <v>18</v>
      </c>
      <c r="H354" s="1">
        <v>3</v>
      </c>
      <c r="I354" s="1">
        <v>1</v>
      </c>
      <c r="J354" s="1">
        <v>6</v>
      </c>
      <c r="K354" s="1">
        <v>7</v>
      </c>
      <c r="L354" s="1">
        <v>4</v>
      </c>
      <c r="M354" s="1">
        <v>72</v>
      </c>
      <c r="N354" s="5">
        <v>326.8</v>
      </c>
      <c r="O354" s="6">
        <v>106798.24</v>
      </c>
      <c r="P354" s="5">
        <v>1303.6192919999999</v>
      </c>
      <c r="Q354">
        <v>1303.6192919999999</v>
      </c>
      <c r="R354" s="6">
        <v>134.64160000000001</v>
      </c>
      <c r="S354" s="6">
        <v>1119.404</v>
      </c>
      <c r="T354" s="6">
        <v>3275.6526666666664</v>
      </c>
      <c r="U354" s="6">
        <v>1800</v>
      </c>
      <c r="V354" s="6">
        <f t="shared" si="18"/>
        <v>2.514282047860378</v>
      </c>
      <c r="W354" s="6">
        <f t="shared" si="19"/>
        <v>3.1151507788774495</v>
      </c>
      <c r="X354" s="6">
        <v>3.1151507788774495</v>
      </c>
      <c r="Y354" s="6">
        <f t="shared" si="20"/>
        <v>2.1291792638935125</v>
      </c>
      <c r="Z354" s="6">
        <f t="shared" si="20"/>
        <v>3.0489868544510252</v>
      </c>
      <c r="AA354" s="6">
        <f t="shared" si="20"/>
        <v>3.5152978451802075</v>
      </c>
      <c r="AB354" s="6">
        <f t="shared" si="17"/>
        <v>3.255272505103306</v>
      </c>
    </row>
    <row r="355" spans="1:28">
      <c r="A355" s="1">
        <v>30</v>
      </c>
      <c r="B355" s="1">
        <v>0</v>
      </c>
      <c r="C355" s="1">
        <v>1</v>
      </c>
      <c r="D355" s="1">
        <v>0</v>
      </c>
      <c r="E355" s="1">
        <v>0</v>
      </c>
      <c r="F355" s="1">
        <v>4</v>
      </c>
      <c r="G355" s="1">
        <v>6</v>
      </c>
      <c r="H355" s="1">
        <v>1</v>
      </c>
      <c r="I355" s="1">
        <v>1</v>
      </c>
      <c r="J355" s="1">
        <v>2</v>
      </c>
      <c r="K355" s="1">
        <v>2</v>
      </c>
      <c r="L355" s="1">
        <v>4</v>
      </c>
      <c r="M355" s="1">
        <v>72</v>
      </c>
      <c r="N355" s="5">
        <v>320.8</v>
      </c>
      <c r="O355" s="6">
        <v>102912.64</v>
      </c>
      <c r="P355" s="5">
        <v>1322.0207359999995</v>
      </c>
      <c r="Q355">
        <v>1597.1207558599106</v>
      </c>
      <c r="R355" s="6">
        <v>162.23530000000002</v>
      </c>
      <c r="S355" s="6">
        <v>95.893000000000015</v>
      </c>
      <c r="T355" s="6">
        <v>6503.308</v>
      </c>
      <c r="U355" s="6">
        <v>777.77777777777692</v>
      </c>
      <c r="V355" s="6">
        <f t="shared" si="18"/>
        <v>2.5062343596121259</v>
      </c>
      <c r="W355" s="6">
        <f t="shared" si="19"/>
        <v>3.1212382671464067</v>
      </c>
      <c r="X355" s="6">
        <v>3.2033377537220624</v>
      </c>
      <c r="Y355" s="6">
        <f t="shared" si="20"/>
        <v>2.2101453562082747</v>
      </c>
      <c r="Z355" s="6">
        <f t="shared" si="20"/>
        <v>1.9817869056865149</v>
      </c>
      <c r="AA355" s="6">
        <f t="shared" si="20"/>
        <v>3.8131343229042298</v>
      </c>
      <c r="AB355" s="6">
        <f t="shared" si="17"/>
        <v>2.8908555305749313</v>
      </c>
    </row>
    <row r="356" spans="1:28">
      <c r="A356" s="1">
        <v>31</v>
      </c>
      <c r="B356" s="1">
        <v>1</v>
      </c>
      <c r="C356" s="1">
        <v>0</v>
      </c>
      <c r="D356" s="1">
        <v>0</v>
      </c>
      <c r="E356" s="1">
        <v>1</v>
      </c>
      <c r="F356" s="1">
        <v>3</v>
      </c>
      <c r="G356" s="1">
        <v>6</v>
      </c>
      <c r="H356" s="1">
        <v>1</v>
      </c>
      <c r="I356" s="1">
        <v>1</v>
      </c>
      <c r="J356" s="1">
        <v>1</v>
      </c>
      <c r="K356" s="1">
        <v>1</v>
      </c>
      <c r="L356" s="1">
        <v>4</v>
      </c>
      <c r="M356" s="1">
        <v>72</v>
      </c>
      <c r="N356" s="5">
        <v>68.8</v>
      </c>
      <c r="O356" s="6">
        <v>4733.4399999999996</v>
      </c>
      <c r="P356" s="5">
        <v>337.40099999999995</v>
      </c>
      <c r="Q356">
        <v>256.26597658766315</v>
      </c>
      <c r="R356" s="6">
        <v>6.0667000000000009</v>
      </c>
      <c r="S356" s="6">
        <v>212.92160000000001</v>
      </c>
      <c r="T356" s="6">
        <v>3790.5491111111114</v>
      </c>
      <c r="U356" s="6">
        <v>1466.6666666666654</v>
      </c>
      <c r="V356" s="6">
        <f t="shared" si="18"/>
        <v>1.8375884382355112</v>
      </c>
      <c r="W356" s="6">
        <f t="shared" si="19"/>
        <v>2.5281463654310503</v>
      </c>
      <c r="X356" s="6">
        <v>2.408690950464083</v>
      </c>
      <c r="Y356" s="6">
        <f t="shared" si="20"/>
        <v>0.78295251949227396</v>
      </c>
      <c r="Z356" s="6">
        <f t="shared" si="20"/>
        <v>2.3282197210201625</v>
      </c>
      <c r="AA356" s="6">
        <f t="shared" si="20"/>
        <v>3.5787021278180671</v>
      </c>
      <c r="AB356" s="6">
        <f t="shared" si="17"/>
        <v>3.1663314217665248</v>
      </c>
    </row>
    <row r="357" spans="1:28">
      <c r="A357" s="1">
        <v>32</v>
      </c>
      <c r="B357" s="1">
        <v>1</v>
      </c>
      <c r="C357" s="1">
        <v>1</v>
      </c>
      <c r="D357" s="1">
        <v>1</v>
      </c>
      <c r="E357" s="1">
        <v>1</v>
      </c>
      <c r="F357" s="1">
        <v>13</v>
      </c>
      <c r="G357" s="1">
        <v>6</v>
      </c>
      <c r="H357" s="1">
        <v>3</v>
      </c>
      <c r="I357" s="1">
        <v>1</v>
      </c>
      <c r="J357" s="1">
        <v>5</v>
      </c>
      <c r="K357" s="1">
        <v>5</v>
      </c>
      <c r="L357" s="1">
        <v>4</v>
      </c>
      <c r="M357" s="1">
        <v>72</v>
      </c>
      <c r="N357" s="5">
        <v>50.8</v>
      </c>
      <c r="O357" s="6">
        <v>2580.64</v>
      </c>
      <c r="P357" s="5">
        <v>311.69</v>
      </c>
      <c r="Q357">
        <v>219.63076940845457</v>
      </c>
      <c r="R357" s="6">
        <v>7.5148799999999998</v>
      </c>
      <c r="S357" s="6">
        <v>84.150999999999996</v>
      </c>
      <c r="T357" s="6">
        <v>2675.5347999999999</v>
      </c>
      <c r="U357" s="6">
        <v>1400</v>
      </c>
      <c r="V357" s="6">
        <f t="shared" si="18"/>
        <v>1.7058637122839193</v>
      </c>
      <c r="W357" s="6">
        <f t="shared" si="19"/>
        <v>2.4937228689611968</v>
      </c>
      <c r="X357" s="6">
        <v>2.3416931829921195</v>
      </c>
      <c r="Y357" s="6">
        <f t="shared" si="20"/>
        <v>0.87592205002553192</v>
      </c>
      <c r="Z357" s="6">
        <f t="shared" si="20"/>
        <v>1.9250592812375877</v>
      </c>
      <c r="AA357" s="6">
        <f t="shared" si="20"/>
        <v>3.4274106041047725</v>
      </c>
      <c r="AB357" s="6">
        <f t="shared" si="17"/>
        <v>3.1461280356782382</v>
      </c>
    </row>
    <row r="358" spans="1:28">
      <c r="A358" s="1">
        <v>33</v>
      </c>
      <c r="B358" s="1">
        <v>0</v>
      </c>
      <c r="C358" s="1">
        <v>1</v>
      </c>
      <c r="D358" s="1">
        <v>1</v>
      </c>
      <c r="E358" s="1">
        <v>0</v>
      </c>
      <c r="F358" s="1">
        <v>12</v>
      </c>
      <c r="G358" s="1">
        <v>6</v>
      </c>
      <c r="H358" s="1">
        <v>2</v>
      </c>
      <c r="I358" s="1">
        <v>1</v>
      </c>
      <c r="J358" s="1">
        <v>4</v>
      </c>
      <c r="K358" s="1">
        <v>4</v>
      </c>
      <c r="L358" s="1">
        <v>4</v>
      </c>
      <c r="M358" s="1">
        <v>72</v>
      </c>
      <c r="N358" s="5">
        <v>166.8</v>
      </c>
      <c r="O358" s="6">
        <v>27822.240000000002</v>
      </c>
      <c r="P358" s="5">
        <v>508.16825599999993</v>
      </c>
      <c r="Q358">
        <v>732.99874603969852</v>
      </c>
      <c r="R358" s="6">
        <v>80.628400000000013</v>
      </c>
      <c r="S358" s="6">
        <v>100.19840000000001</v>
      </c>
      <c r="T358" s="6">
        <v>7196.264444444445</v>
      </c>
      <c r="U358" s="6">
        <v>2155.5555555555557</v>
      </c>
      <c r="V358" s="6">
        <f t="shared" si="18"/>
        <v>2.2221960463017201</v>
      </c>
      <c r="W358" s="6">
        <f t="shared" si="19"/>
        <v>2.7060075322715709</v>
      </c>
      <c r="X358" s="6">
        <v>2.8651032316827307</v>
      </c>
      <c r="Y358" s="6">
        <f t="shared" si="20"/>
        <v>1.9064880416911358</v>
      </c>
      <c r="Z358" s="6">
        <f t="shared" si="20"/>
        <v>2.0008607866338322</v>
      </c>
      <c r="AA358" s="6">
        <f t="shared" si="20"/>
        <v>3.8571071141861322</v>
      </c>
      <c r="AB358" s="6">
        <f t="shared" si="17"/>
        <v>3.3335592204909013</v>
      </c>
    </row>
    <row r="359" spans="1:28">
      <c r="A359" s="1">
        <v>34</v>
      </c>
      <c r="B359" s="1">
        <v>0</v>
      </c>
      <c r="C359" s="1">
        <v>1</v>
      </c>
      <c r="D359" s="1">
        <v>1</v>
      </c>
      <c r="E359" s="1">
        <v>1</v>
      </c>
      <c r="F359" s="1">
        <v>10</v>
      </c>
      <c r="G359" s="1">
        <v>6</v>
      </c>
      <c r="H359" s="1">
        <v>2</v>
      </c>
      <c r="I359" s="1">
        <v>1</v>
      </c>
      <c r="J359" s="1">
        <v>4</v>
      </c>
      <c r="K359" s="1">
        <v>4</v>
      </c>
      <c r="L359" s="1">
        <v>4</v>
      </c>
      <c r="M359" s="1">
        <v>72</v>
      </c>
      <c r="N359" s="5">
        <v>146.80000000000001</v>
      </c>
      <c r="O359" s="6">
        <v>21550.240000000002</v>
      </c>
      <c r="P359" s="5">
        <v>363.11200000000002</v>
      </c>
      <c r="Q359">
        <v>296.04871231973084</v>
      </c>
      <c r="R359" s="6">
        <v>24.893040000000003</v>
      </c>
      <c r="S359" s="6">
        <v>454.024</v>
      </c>
      <c r="T359" s="6">
        <v>1300.0589333333326</v>
      </c>
      <c r="U359" s="6">
        <v>822.22222222222263</v>
      </c>
      <c r="V359" s="6">
        <f t="shared" si="18"/>
        <v>2.1667260555800518</v>
      </c>
      <c r="W359" s="6">
        <f t="shared" si="19"/>
        <v>2.5600406015641384</v>
      </c>
      <c r="X359" s="6">
        <v>2.4713631764342274</v>
      </c>
      <c r="Y359" s="6">
        <f t="shared" si="20"/>
        <v>1.3960779369703964</v>
      </c>
      <c r="Z359" s="6">
        <f t="shared" si="20"/>
        <v>2.6570788105489007</v>
      </c>
      <c r="AA359" s="6">
        <f t="shared" si="20"/>
        <v>3.1139630398771012</v>
      </c>
      <c r="AB359" s="6">
        <f t="shared" si="17"/>
        <v>2.9149892102916515</v>
      </c>
    </row>
    <row r="360" spans="1:28">
      <c r="A360" s="1">
        <v>35</v>
      </c>
      <c r="B360" s="1">
        <v>1</v>
      </c>
      <c r="C360" s="1">
        <v>1</v>
      </c>
      <c r="D360" s="1">
        <v>0</v>
      </c>
      <c r="E360" s="1">
        <v>1</v>
      </c>
      <c r="F360" s="1">
        <v>8</v>
      </c>
      <c r="G360" s="1">
        <v>6</v>
      </c>
      <c r="H360" s="1">
        <v>2</v>
      </c>
      <c r="I360" s="1">
        <v>1</v>
      </c>
      <c r="J360" s="1">
        <v>3</v>
      </c>
      <c r="K360" s="1">
        <v>3</v>
      </c>
      <c r="L360" s="1">
        <v>4</v>
      </c>
      <c r="M360" s="1">
        <v>72</v>
      </c>
      <c r="N360" s="5">
        <v>86.8</v>
      </c>
      <c r="O360" s="6">
        <v>7534.24</v>
      </c>
      <c r="P360" s="5">
        <v>533.05999999999995</v>
      </c>
      <c r="Q360">
        <v>803.05400915691268</v>
      </c>
      <c r="R360" s="6">
        <v>14.755780000000001</v>
      </c>
      <c r="S360" s="6">
        <v>96.67580000000001</v>
      </c>
      <c r="T360" s="6">
        <v>1772.0765333333334</v>
      </c>
      <c r="U360" s="6">
        <v>244.44444444444531</v>
      </c>
      <c r="V360" s="6">
        <f t="shared" si="18"/>
        <v>1.9385197251764918</v>
      </c>
      <c r="W360" s="6">
        <f t="shared" si="19"/>
        <v>2.7267760949597122</v>
      </c>
      <c r="X360" s="6">
        <v>2.9047447546062557</v>
      </c>
      <c r="Y360" s="6">
        <f t="shared" si="20"/>
        <v>1.1689621715277752</v>
      </c>
      <c r="Z360" s="6">
        <f t="shared" si="20"/>
        <v>1.9853177745816482</v>
      </c>
      <c r="AA360" s="6">
        <f t="shared" si="20"/>
        <v>3.2484824744847725</v>
      </c>
      <c r="AB360" s="6">
        <f t="shared" si="17"/>
        <v>2.3881801713828827</v>
      </c>
    </row>
    <row r="361" spans="1:28">
      <c r="A361" s="1">
        <v>36</v>
      </c>
      <c r="B361" s="1">
        <v>1</v>
      </c>
      <c r="C361" s="1">
        <v>1</v>
      </c>
      <c r="D361" s="1">
        <v>1</v>
      </c>
      <c r="E361" s="1">
        <v>1</v>
      </c>
      <c r="F361" s="1">
        <v>20</v>
      </c>
      <c r="G361" s="1">
        <v>18</v>
      </c>
      <c r="H361" s="1">
        <v>3</v>
      </c>
      <c r="I361" s="1">
        <v>1</v>
      </c>
      <c r="J361" s="1">
        <v>6</v>
      </c>
      <c r="K361" s="1">
        <v>7</v>
      </c>
      <c r="L361" s="1">
        <v>4</v>
      </c>
      <c r="M361" s="1">
        <v>72</v>
      </c>
      <c r="N361" s="5">
        <v>88.8</v>
      </c>
      <c r="O361" s="6">
        <v>7885.44</v>
      </c>
      <c r="P361" s="5">
        <v>388.82300000000004</v>
      </c>
      <c r="Q361">
        <v>339.02730973074733</v>
      </c>
      <c r="R361" s="6">
        <v>59.8842</v>
      </c>
      <c r="S361" s="6">
        <v>471.63700000000006</v>
      </c>
      <c r="T361" s="6">
        <v>4772.9772000000003</v>
      </c>
      <c r="U361" s="6">
        <v>1400</v>
      </c>
      <c r="V361" s="6">
        <f t="shared" si="18"/>
        <v>1.9484129657786009</v>
      </c>
      <c r="W361" s="6">
        <f t="shared" si="19"/>
        <v>2.5897519467831609</v>
      </c>
      <c r="X361" s="6">
        <v>2.5302346834174001</v>
      </c>
      <c r="Y361" s="6">
        <f t="shared" si="20"/>
        <v>1.7773122521395812</v>
      </c>
      <c r="Z361" s="6">
        <f t="shared" si="20"/>
        <v>2.6736078682328697</v>
      </c>
      <c r="AA361" s="6">
        <f t="shared" si="20"/>
        <v>3.6787893597930537</v>
      </c>
      <c r="AB361" s="6">
        <f t="shared" si="17"/>
        <v>3.1461280356782382</v>
      </c>
    </row>
    <row r="362" spans="1:28">
      <c r="A362" s="1">
        <v>37</v>
      </c>
      <c r="B362" s="1">
        <v>1</v>
      </c>
      <c r="C362" s="1">
        <v>1</v>
      </c>
      <c r="D362" s="1">
        <v>1</v>
      </c>
      <c r="E362" s="1">
        <v>1</v>
      </c>
      <c r="F362" s="1">
        <v>23</v>
      </c>
      <c r="G362" s="1">
        <v>18</v>
      </c>
      <c r="H362" s="1">
        <v>3</v>
      </c>
      <c r="I362" s="1">
        <v>1</v>
      </c>
      <c r="J362" s="1">
        <v>6</v>
      </c>
      <c r="K362" s="1">
        <v>7</v>
      </c>
      <c r="L362" s="1">
        <v>4</v>
      </c>
      <c r="M362" s="1">
        <v>72</v>
      </c>
      <c r="N362" s="5">
        <v>104.8</v>
      </c>
      <c r="O362" s="6">
        <v>10983.04</v>
      </c>
      <c r="P362" s="5">
        <v>414.53399999999993</v>
      </c>
      <c r="Q362">
        <v>385.24784374610994</v>
      </c>
      <c r="R362" s="6">
        <v>20.744200000000003</v>
      </c>
      <c r="S362" s="6">
        <v>405.09899999999999</v>
      </c>
      <c r="T362" s="6">
        <v>1575.9905333333338</v>
      </c>
      <c r="U362" s="6">
        <v>844.44444444444548</v>
      </c>
      <c r="V362" s="6">
        <f t="shared" si="18"/>
        <v>2.0203612826477078</v>
      </c>
      <c r="W362" s="6">
        <f t="shared" si="19"/>
        <v>2.617560157098151</v>
      </c>
      <c r="X362" s="6">
        <v>2.5857402166265717</v>
      </c>
      <c r="Y362" s="6">
        <f t="shared" si="20"/>
        <v>1.3168966909227715</v>
      </c>
      <c r="Z362" s="6">
        <f t="shared" si="20"/>
        <v>2.6075611711149187</v>
      </c>
      <c r="AA362" s="6">
        <f t="shared" si="20"/>
        <v>3.197553604439423</v>
      </c>
      <c r="AB362" s="6">
        <f t="shared" si="17"/>
        <v>2.9265710828414671</v>
      </c>
    </row>
    <row r="363" spans="1:28">
      <c r="A363" s="1">
        <v>38</v>
      </c>
      <c r="B363" s="1">
        <v>0</v>
      </c>
      <c r="C363" s="1">
        <v>1</v>
      </c>
      <c r="D363" s="1">
        <v>0</v>
      </c>
      <c r="E363" s="1">
        <v>1</v>
      </c>
      <c r="F363" s="1">
        <v>4</v>
      </c>
      <c r="G363" s="1">
        <v>6</v>
      </c>
      <c r="H363" s="1">
        <v>1</v>
      </c>
      <c r="I363" s="1">
        <v>1</v>
      </c>
      <c r="J363" s="1">
        <v>2</v>
      </c>
      <c r="K363" s="1">
        <v>2</v>
      </c>
      <c r="L363" s="1">
        <v>4</v>
      </c>
      <c r="M363" s="1">
        <v>72</v>
      </c>
      <c r="N363" s="5">
        <v>164.8</v>
      </c>
      <c r="O363" s="6">
        <v>27159.040000000001</v>
      </c>
      <c r="P363" s="5">
        <v>388.82300000000004</v>
      </c>
      <c r="Q363">
        <v>339.02730973074733</v>
      </c>
      <c r="R363" s="6">
        <v>50.882000000000005</v>
      </c>
      <c r="S363" s="6">
        <v>113.11460000000001</v>
      </c>
      <c r="T363" s="6">
        <v>6524.9225777777774</v>
      </c>
      <c r="U363" s="6">
        <v>1577.7777777777783</v>
      </c>
      <c r="V363" s="6">
        <f t="shared" si="18"/>
        <v>2.216957207361097</v>
      </c>
      <c r="W363" s="6">
        <f t="shared" si="19"/>
        <v>2.5897519467831609</v>
      </c>
      <c r="X363" s="6">
        <v>2.5302346834174001</v>
      </c>
      <c r="Y363" s="6">
        <f t="shared" si="20"/>
        <v>1.7065641736288191</v>
      </c>
      <c r="Z363" s="6">
        <f t="shared" si="20"/>
        <v>2.0535186640785303</v>
      </c>
      <c r="AA363" s="6">
        <f t="shared" si="20"/>
        <v>3.8145753628695718</v>
      </c>
      <c r="AB363" s="6">
        <f t="shared" si="17"/>
        <v>3.198045834943732</v>
      </c>
    </row>
    <row r="364" spans="1:28">
      <c r="A364" s="1">
        <v>39</v>
      </c>
      <c r="B364" s="1">
        <v>1</v>
      </c>
      <c r="C364" s="1">
        <v>1</v>
      </c>
      <c r="D364" s="1">
        <v>1</v>
      </c>
      <c r="E364" s="1">
        <v>1</v>
      </c>
      <c r="F364" s="1">
        <v>22</v>
      </c>
      <c r="G364" s="1">
        <v>18</v>
      </c>
      <c r="H364" s="1">
        <v>3</v>
      </c>
      <c r="I364" s="1">
        <v>1</v>
      </c>
      <c r="J364" s="1">
        <v>6</v>
      </c>
      <c r="K364" s="1">
        <v>7</v>
      </c>
      <c r="L364" s="1">
        <v>4</v>
      </c>
      <c r="M364" s="1">
        <v>72</v>
      </c>
      <c r="N364" s="5">
        <v>84.8</v>
      </c>
      <c r="O364" s="6">
        <v>7191.04</v>
      </c>
      <c r="P364" s="5">
        <v>414.53399999999993</v>
      </c>
      <c r="Q364">
        <v>385.24784374610994</v>
      </c>
      <c r="R364" s="6">
        <v>18.982899999999997</v>
      </c>
      <c r="S364" s="6">
        <v>154.60300000000001</v>
      </c>
      <c r="T364" s="6">
        <v>9243.8152000000009</v>
      </c>
      <c r="U364" s="6">
        <v>5733.3333333333321</v>
      </c>
      <c r="V364" s="6">
        <f t="shared" si="18"/>
        <v>1.9283958522567137</v>
      </c>
      <c r="W364" s="6">
        <f t="shared" si="19"/>
        <v>2.617560157098151</v>
      </c>
      <c r="X364" s="6">
        <v>2.5857402166265717</v>
      </c>
      <c r="Y364" s="6">
        <f t="shared" si="20"/>
        <v>1.2783625599242459</v>
      </c>
      <c r="Z364" s="6">
        <f t="shared" si="20"/>
        <v>2.1892179169484427</v>
      </c>
      <c r="AA364" s="6">
        <f t="shared" si="20"/>
        <v>3.9658512545891473</v>
      </c>
      <c r="AB364" s="6">
        <f t="shared" si="17"/>
        <v>3.7584071921878865</v>
      </c>
    </row>
    <row r="365" spans="1:28">
      <c r="A365" s="1">
        <v>40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1</v>
      </c>
      <c r="J365" s="1">
        <v>0</v>
      </c>
      <c r="K365" s="1">
        <v>0</v>
      </c>
      <c r="L365" s="1">
        <v>4</v>
      </c>
      <c r="M365" s="1">
        <v>72</v>
      </c>
      <c r="N365" s="5">
        <v>68.8</v>
      </c>
      <c r="O365" s="6">
        <v>4733.4399999999996</v>
      </c>
      <c r="P365" s="5">
        <v>414.53399999999993</v>
      </c>
      <c r="Q365">
        <v>385.24784374610994</v>
      </c>
      <c r="R365" s="6">
        <v>13.699000000000002</v>
      </c>
      <c r="S365" s="6">
        <v>1156.587</v>
      </c>
      <c r="T365" s="6">
        <v>10843.0216</v>
      </c>
      <c r="U365" s="6">
        <v>6222.2222222222217</v>
      </c>
      <c r="V365" s="6">
        <f t="shared" si="18"/>
        <v>1.8375884382355112</v>
      </c>
      <c r="W365" s="6">
        <f t="shared" si="19"/>
        <v>2.617560157098151</v>
      </c>
      <c r="X365" s="6">
        <v>2.5857402166265717</v>
      </c>
      <c r="Y365" s="6">
        <f t="shared" si="20"/>
        <v>1.136688865672258</v>
      </c>
      <c r="Z365" s="6">
        <f t="shared" si="20"/>
        <v>3.0631783065392564</v>
      </c>
      <c r="AA365" s="6">
        <f t="shared" si="20"/>
        <v>4.0351503229170085</v>
      </c>
      <c r="AB365" s="6">
        <f t="shared" si="17"/>
        <v>3.7939455175668755</v>
      </c>
    </row>
    <row r="366" spans="1:28">
      <c r="A366" s="1">
        <v>41</v>
      </c>
      <c r="B366" s="1">
        <v>1</v>
      </c>
      <c r="C366" s="1">
        <v>1</v>
      </c>
      <c r="D366" s="1">
        <v>0</v>
      </c>
      <c r="E366" s="1">
        <v>1</v>
      </c>
      <c r="F366" s="1">
        <v>9</v>
      </c>
      <c r="G366" s="1">
        <v>6</v>
      </c>
      <c r="H366" s="1">
        <v>2</v>
      </c>
      <c r="I366" s="1">
        <v>1</v>
      </c>
      <c r="J366" s="1">
        <v>3</v>
      </c>
      <c r="K366" s="1">
        <v>3</v>
      </c>
      <c r="L366" s="1">
        <v>4</v>
      </c>
      <c r="M366" s="1">
        <v>72</v>
      </c>
      <c r="N366" s="5">
        <v>56.8</v>
      </c>
      <c r="O366" s="6">
        <v>3226.24</v>
      </c>
      <c r="P366" s="5">
        <v>414.53399999999993</v>
      </c>
      <c r="Q366">
        <v>385.24784374610994</v>
      </c>
      <c r="R366" s="6">
        <v>188.45910000000001</v>
      </c>
      <c r="S366" s="6">
        <v>663.423</v>
      </c>
      <c r="T366" s="6">
        <v>4270.5698666666658</v>
      </c>
      <c r="U366" s="6">
        <v>2755.5555555555561</v>
      </c>
      <c r="V366" s="6">
        <f t="shared" si="18"/>
        <v>1.7543483357110188</v>
      </c>
      <c r="W366" s="6">
        <f t="shared" si="19"/>
        <v>2.617560157098151</v>
      </c>
      <c r="X366" s="6">
        <v>2.5857402166265717</v>
      </c>
      <c r="Y366" s="6">
        <f t="shared" si="20"/>
        <v>2.2752171127825358</v>
      </c>
      <c r="Z366" s="6">
        <f t="shared" si="20"/>
        <v>2.8217905238610834</v>
      </c>
      <c r="AA366" s="6">
        <f t="shared" si="20"/>
        <v>3.6304858313330888</v>
      </c>
      <c r="AB366" s="6">
        <f t="shared" si="17"/>
        <v>3.4402091713868916</v>
      </c>
    </row>
    <row r="367" spans="1:28">
      <c r="A367" s="1">
        <v>42</v>
      </c>
      <c r="B367" s="1">
        <v>0</v>
      </c>
      <c r="C367" s="1">
        <v>0</v>
      </c>
      <c r="D367" s="1">
        <v>0</v>
      </c>
      <c r="E367" s="1">
        <v>1</v>
      </c>
      <c r="F367" s="1">
        <v>0</v>
      </c>
      <c r="G367" s="1">
        <v>0</v>
      </c>
      <c r="H367" s="1">
        <v>0</v>
      </c>
      <c r="I367" s="1">
        <v>1</v>
      </c>
      <c r="J367" s="1">
        <v>0</v>
      </c>
      <c r="K367" s="1">
        <v>0</v>
      </c>
      <c r="L367" s="1">
        <v>4</v>
      </c>
      <c r="M367" s="1">
        <v>72</v>
      </c>
      <c r="N367" s="5">
        <v>384.8</v>
      </c>
      <c r="O367" s="6">
        <v>148071.04000000001</v>
      </c>
      <c r="P367" s="5">
        <v>1058.8173439999991</v>
      </c>
      <c r="Q367">
        <v>1394.6532613167849</v>
      </c>
      <c r="R367" s="6">
        <v>175.15150000000003</v>
      </c>
      <c r="S367" s="6">
        <v>847.38099999999997</v>
      </c>
      <c r="T367" s="6">
        <v>31422.475333333336</v>
      </c>
      <c r="U367" s="6">
        <v>14088.888888888889</v>
      </c>
      <c r="V367" s="6">
        <f t="shared" si="18"/>
        <v>2.5852350633657752</v>
      </c>
      <c r="W367" s="6">
        <f t="shared" si="19"/>
        <v>3.0248210466657679</v>
      </c>
      <c r="X367" s="6">
        <v>3.1444662467388902</v>
      </c>
      <c r="Y367" s="6">
        <f t="shared" si="20"/>
        <v>2.2434138609739134</v>
      </c>
      <c r="Z367" s="6">
        <f t="shared" si="20"/>
        <v>2.9280787220113664</v>
      </c>
      <c r="AA367" s="6">
        <f t="shared" si="20"/>
        <v>4.497240393984141</v>
      </c>
      <c r="AB367" s="6">
        <f t="shared" si="17"/>
        <v>4.1488767441063894</v>
      </c>
    </row>
    <row r="368" spans="1:28">
      <c r="A368" s="1">
        <v>43</v>
      </c>
      <c r="B368" s="1">
        <v>1</v>
      </c>
      <c r="C368" s="1">
        <v>1</v>
      </c>
      <c r="D368" s="1">
        <v>0</v>
      </c>
      <c r="E368" s="1">
        <v>1</v>
      </c>
      <c r="F368" s="1">
        <v>7</v>
      </c>
      <c r="G368" s="1">
        <v>6</v>
      </c>
      <c r="H368" s="1">
        <v>2</v>
      </c>
      <c r="I368" s="1">
        <v>1</v>
      </c>
      <c r="J368" s="1">
        <v>3</v>
      </c>
      <c r="K368" s="1">
        <v>3</v>
      </c>
      <c r="L368" s="1">
        <v>4</v>
      </c>
      <c r="M368" s="1">
        <v>72</v>
      </c>
      <c r="N368" s="5">
        <v>96.8</v>
      </c>
      <c r="O368" s="6">
        <v>9370.24</v>
      </c>
      <c r="P368" s="5">
        <v>758.16809599999942</v>
      </c>
      <c r="Q368">
        <v>1119.1101083494034</v>
      </c>
      <c r="R368" s="6">
        <v>164.19230000000005</v>
      </c>
      <c r="S368" s="6">
        <v>227.012</v>
      </c>
      <c r="T368" s="6">
        <v>17091.076222222218</v>
      </c>
      <c r="U368" s="6">
        <v>12755.555555555557</v>
      </c>
      <c r="V368" s="6">
        <f t="shared" si="18"/>
        <v>1.9858753573083936</v>
      </c>
      <c r="W368" s="6">
        <f t="shared" si="19"/>
        <v>2.8797655051989968</v>
      </c>
      <c r="X368" s="6">
        <v>3.0488728185176455</v>
      </c>
      <c r="Y368" s="6">
        <f t="shared" si="20"/>
        <v>2.2153527864867018</v>
      </c>
      <c r="Z368" s="6">
        <f t="shared" si="20"/>
        <v>2.3560488148849195</v>
      </c>
      <c r="AA368" s="6">
        <f t="shared" si="20"/>
        <v>4.2327694110329741</v>
      </c>
      <c r="AB368" s="6">
        <f t="shared" si="17"/>
        <v>4.1056993786226297</v>
      </c>
    </row>
    <row r="369" spans="1:28">
      <c r="A369" s="1">
        <v>44</v>
      </c>
      <c r="B369" s="1">
        <v>0</v>
      </c>
      <c r="C369" s="1">
        <v>1</v>
      </c>
      <c r="D369" s="1">
        <v>0</v>
      </c>
      <c r="E369" s="1">
        <v>0</v>
      </c>
      <c r="F369" s="1">
        <v>5</v>
      </c>
      <c r="G369" s="1">
        <v>6</v>
      </c>
      <c r="H369" s="1">
        <v>1</v>
      </c>
      <c r="I369" s="1">
        <v>1</v>
      </c>
      <c r="J369" s="1">
        <v>2</v>
      </c>
      <c r="K369" s="1">
        <v>2</v>
      </c>
      <c r="L369" s="1">
        <v>4</v>
      </c>
      <c r="M369" s="1">
        <v>72</v>
      </c>
      <c r="N369" s="5">
        <v>206.8</v>
      </c>
      <c r="O369" s="6">
        <v>42766.239999999998</v>
      </c>
      <c r="P369" s="5">
        <v>388.05658800000003</v>
      </c>
      <c r="Q369">
        <v>388.05658800000003</v>
      </c>
      <c r="R369" s="6">
        <v>107.4393</v>
      </c>
      <c r="S369" s="6">
        <v>117.42</v>
      </c>
      <c r="T369" s="6">
        <v>10825.310222222221</v>
      </c>
      <c r="U369" s="6">
        <v>1733.333333333333</v>
      </c>
      <c r="V369" s="6">
        <f t="shared" si="18"/>
        <v>2.3155505344219049</v>
      </c>
      <c r="W369" s="6">
        <f t="shared" si="19"/>
        <v>2.5888950608111632</v>
      </c>
      <c r="X369" s="6">
        <v>2.5888950608111632</v>
      </c>
      <c r="Y369" s="6">
        <f t="shared" si="20"/>
        <v>2.0311631701080932</v>
      </c>
      <c r="Z369" s="6">
        <f t="shared" si="20"/>
        <v>2.0697420760416447</v>
      </c>
      <c r="AA369" s="6">
        <f t="shared" si="20"/>
        <v>4.0344403508331448</v>
      </c>
      <c r="AB369" s="6">
        <f t="shared" si="17"/>
        <v>3.2388820889151368</v>
      </c>
    </row>
    <row r="370" spans="1:28">
      <c r="A370" s="1">
        <v>45</v>
      </c>
      <c r="B370" s="1">
        <v>0</v>
      </c>
      <c r="C370" s="1">
        <v>1</v>
      </c>
      <c r="D370" s="1">
        <v>0</v>
      </c>
      <c r="E370" s="1">
        <v>1</v>
      </c>
      <c r="F370" s="1">
        <v>5</v>
      </c>
      <c r="G370" s="1">
        <v>6</v>
      </c>
      <c r="H370" s="1">
        <v>1</v>
      </c>
      <c r="I370" s="1">
        <v>1</v>
      </c>
      <c r="J370" s="1">
        <v>2</v>
      </c>
      <c r="K370" s="1">
        <v>2</v>
      </c>
      <c r="L370" s="1">
        <v>4</v>
      </c>
      <c r="M370" s="1">
        <v>72</v>
      </c>
      <c r="N370" s="5">
        <v>78.8</v>
      </c>
      <c r="O370" s="6">
        <v>6209.44</v>
      </c>
      <c r="P370" s="5">
        <v>337.40099999999995</v>
      </c>
      <c r="Q370">
        <v>256.26597658766315</v>
      </c>
      <c r="R370" s="6">
        <v>8.8064999999999998</v>
      </c>
      <c r="S370" s="6">
        <v>391.4</v>
      </c>
      <c r="T370" s="6">
        <v>5980.3727111111111</v>
      </c>
      <c r="U370" s="6">
        <v>1066.6666666666679</v>
      </c>
      <c r="V370" s="6">
        <f t="shared" si="18"/>
        <v>1.8965262174895554</v>
      </c>
      <c r="W370" s="6">
        <f t="shared" si="19"/>
        <v>2.5281463654310503</v>
      </c>
      <c r="X370" s="6">
        <v>2.408690950464083</v>
      </c>
      <c r="Y370" s="6">
        <f t="shared" si="20"/>
        <v>0.94480333943334482</v>
      </c>
      <c r="Z370" s="6">
        <f t="shared" si="20"/>
        <v>2.5926208213219821</v>
      </c>
      <c r="AA370" s="6">
        <f t="shared" si="20"/>
        <v>3.776728251101261</v>
      </c>
      <c r="AB370" s="6">
        <f t="shared" si="17"/>
        <v>3.0280287236002441</v>
      </c>
    </row>
    <row r="371" spans="1:28">
      <c r="A371" s="1">
        <v>46</v>
      </c>
      <c r="B371" s="1">
        <v>0</v>
      </c>
      <c r="C371" s="1">
        <v>1</v>
      </c>
      <c r="D371" s="1">
        <v>0</v>
      </c>
      <c r="E371" s="1">
        <v>1</v>
      </c>
      <c r="F371" s="1">
        <v>6</v>
      </c>
      <c r="G371" s="1">
        <v>6</v>
      </c>
      <c r="H371" s="1">
        <v>1</v>
      </c>
      <c r="I371" s="1">
        <v>1</v>
      </c>
      <c r="J371" s="1">
        <v>2</v>
      </c>
      <c r="K371" s="1">
        <v>2</v>
      </c>
      <c r="L371" s="1">
        <v>4</v>
      </c>
      <c r="M371" s="1">
        <v>72</v>
      </c>
      <c r="N371" s="5">
        <v>36.799999999999997</v>
      </c>
      <c r="O371" s="6">
        <v>1354.24</v>
      </c>
      <c r="P371" s="5">
        <v>337.40099999999995</v>
      </c>
      <c r="Q371">
        <v>256.26597658766315</v>
      </c>
      <c r="R371" s="6">
        <v>1.9570000000000001</v>
      </c>
      <c r="S371" s="6">
        <v>146.3836</v>
      </c>
      <c r="T371" s="6">
        <v>1985.3841333333335</v>
      </c>
      <c r="U371" s="6">
        <v>511.11111111111109</v>
      </c>
      <c r="V371" s="6">
        <f t="shared" si="18"/>
        <v>1.5658478186735176</v>
      </c>
      <c r="W371" s="6">
        <f t="shared" si="19"/>
        <v>2.5281463654310503</v>
      </c>
      <c r="X371" s="6">
        <v>2.408690950464083</v>
      </c>
      <c r="Y371" s="6">
        <f t="shared" si="20"/>
        <v>0.29159082565800121</v>
      </c>
      <c r="Z371" s="6">
        <f t="shared" si="20"/>
        <v>2.1654924235224624</v>
      </c>
      <c r="AA371" s="6">
        <f t="shared" si="20"/>
        <v>3.2978445467903414</v>
      </c>
      <c r="AB371" s="6">
        <f t="shared" si="17"/>
        <v>2.7085153222422491</v>
      </c>
    </row>
    <row r="372" spans="1:28">
      <c r="A372" s="1">
        <v>47</v>
      </c>
      <c r="B372" s="1">
        <v>1</v>
      </c>
      <c r="C372" s="1">
        <v>1</v>
      </c>
      <c r="D372" s="1">
        <v>1</v>
      </c>
      <c r="E372" s="1">
        <v>1</v>
      </c>
      <c r="F372" s="1">
        <v>16</v>
      </c>
      <c r="G372" s="1">
        <v>6</v>
      </c>
      <c r="H372" s="1">
        <v>3</v>
      </c>
      <c r="I372" s="1">
        <v>1</v>
      </c>
      <c r="J372" s="1">
        <v>5</v>
      </c>
      <c r="K372" s="1">
        <v>6</v>
      </c>
      <c r="L372" s="1">
        <v>4</v>
      </c>
      <c r="M372" s="1">
        <v>72</v>
      </c>
      <c r="N372" s="5">
        <v>86.8</v>
      </c>
      <c r="O372" s="6">
        <v>7534.24</v>
      </c>
      <c r="P372" s="5">
        <v>388.82300000000004</v>
      </c>
      <c r="Q372">
        <v>339.02730973074733</v>
      </c>
      <c r="R372" s="6">
        <v>173.19450000000001</v>
      </c>
      <c r="S372" s="6">
        <v>585.14300000000003</v>
      </c>
      <c r="T372" s="6">
        <v>10994.102000000001</v>
      </c>
      <c r="U372" s="6">
        <v>7044.4444444444443</v>
      </c>
      <c r="V372" s="6">
        <f t="shared" si="18"/>
        <v>1.9385197251764918</v>
      </c>
      <c r="W372" s="6">
        <f t="shared" si="19"/>
        <v>2.5897519467831609</v>
      </c>
      <c r="X372" s="6">
        <v>2.5302346834174001</v>
      </c>
      <c r="Y372" s="6">
        <f t="shared" si="20"/>
        <v>2.2385340963558265</v>
      </c>
      <c r="Z372" s="6">
        <f t="shared" si="20"/>
        <v>2.7672620139824309</v>
      </c>
      <c r="AA372" s="6">
        <f t="shared" si="20"/>
        <v>4.0411597619031028</v>
      </c>
      <c r="AB372" s="6">
        <f t="shared" si="17"/>
        <v>3.8478467484424077</v>
      </c>
    </row>
    <row r="373" spans="1:28">
      <c r="A373" s="1">
        <v>48</v>
      </c>
      <c r="B373" s="1">
        <v>0</v>
      </c>
      <c r="C373" s="1">
        <v>1</v>
      </c>
      <c r="D373" s="1">
        <v>1</v>
      </c>
      <c r="E373" s="1">
        <v>1</v>
      </c>
      <c r="F373" s="1">
        <v>12</v>
      </c>
      <c r="G373" s="1">
        <v>6</v>
      </c>
      <c r="H373" s="1">
        <v>2</v>
      </c>
      <c r="I373" s="1">
        <v>1</v>
      </c>
      <c r="J373" s="1">
        <v>4</v>
      </c>
      <c r="K373" s="1">
        <v>4</v>
      </c>
      <c r="L373" s="1">
        <v>4</v>
      </c>
      <c r="M373" s="1">
        <v>72</v>
      </c>
      <c r="N373" s="5">
        <v>76.8</v>
      </c>
      <c r="O373" s="6">
        <v>5898.24</v>
      </c>
      <c r="P373" s="5">
        <v>440.245</v>
      </c>
      <c r="Q373">
        <v>434.75436086238545</v>
      </c>
      <c r="R373" s="6">
        <v>52.056200000000004</v>
      </c>
      <c r="S373" s="6">
        <v>1037.21</v>
      </c>
      <c r="T373" s="6">
        <v>2174.5536000000002</v>
      </c>
      <c r="U373" s="6">
        <v>1177.7777777777783</v>
      </c>
      <c r="V373" s="6">
        <f t="shared" si="18"/>
        <v>1.885361220031512</v>
      </c>
      <c r="W373" s="6">
        <f t="shared" si="19"/>
        <v>2.6436944322492169</v>
      </c>
      <c r="X373" s="6">
        <v>2.6382439469461056</v>
      </c>
      <c r="Y373" s="6">
        <f t="shared" si="20"/>
        <v>1.7164724622890681</v>
      </c>
      <c r="Z373" s="6">
        <f t="shared" si="20"/>
        <v>3.01586669525879</v>
      </c>
      <c r="AA373" s="6">
        <f t="shared" si="20"/>
        <v>3.3373701169437964</v>
      </c>
      <c r="AB373" s="6">
        <f t="shared" si="17"/>
        <v>3.0710633558254457</v>
      </c>
    </row>
    <row r="374" spans="1:28">
      <c r="A374" s="1">
        <v>49</v>
      </c>
      <c r="B374" s="1">
        <v>1</v>
      </c>
      <c r="C374" s="1">
        <v>0</v>
      </c>
      <c r="D374" s="1">
        <v>0</v>
      </c>
      <c r="E374" s="1">
        <v>1</v>
      </c>
      <c r="F374" s="1">
        <v>2</v>
      </c>
      <c r="G374" s="1">
        <v>6</v>
      </c>
      <c r="H374" s="1">
        <v>1</v>
      </c>
      <c r="I374" s="1">
        <v>1</v>
      </c>
      <c r="J374" s="1">
        <v>1</v>
      </c>
      <c r="K374" s="1">
        <v>1</v>
      </c>
      <c r="L374" s="1">
        <v>4</v>
      </c>
      <c r="M374" s="1">
        <v>72</v>
      </c>
      <c r="N374" s="5">
        <v>82.8</v>
      </c>
      <c r="O374" s="6">
        <v>6855.84</v>
      </c>
      <c r="P374" s="5">
        <v>414.53399999999993</v>
      </c>
      <c r="Q374">
        <v>385.24784374610994</v>
      </c>
      <c r="R374" s="6">
        <v>46.772300000000001</v>
      </c>
      <c r="S374" s="6">
        <v>409.01299999999998</v>
      </c>
      <c r="T374" s="6">
        <v>55133.922666666665</v>
      </c>
      <c r="U374" s="6">
        <v>38333.333333333336</v>
      </c>
      <c r="V374" s="6">
        <f t="shared" si="18"/>
        <v>1.9180303367848801</v>
      </c>
      <c r="W374" s="6">
        <f t="shared" si="19"/>
        <v>2.617560157098151</v>
      </c>
      <c r="X374" s="6">
        <v>2.5857402166265717</v>
      </c>
      <c r="Y374" s="6">
        <f t="shared" si="20"/>
        <v>1.6699887266061388</v>
      </c>
      <c r="Z374" s="6">
        <f t="shared" si="20"/>
        <v>2.6117371117690551</v>
      </c>
      <c r="AA374" s="6">
        <f t="shared" si="20"/>
        <v>4.7414188927492251</v>
      </c>
      <c r="AB374" s="6">
        <f t="shared" si="17"/>
        <v>4.5835765856339492</v>
      </c>
    </row>
    <row r="375" spans="1:28">
      <c r="A375" s="1">
        <v>50</v>
      </c>
      <c r="B375" s="1">
        <v>1</v>
      </c>
      <c r="C375" s="1">
        <v>1</v>
      </c>
      <c r="D375" s="1">
        <v>1</v>
      </c>
      <c r="E375" s="1">
        <v>1</v>
      </c>
      <c r="F375" s="1">
        <v>17</v>
      </c>
      <c r="G375" s="1">
        <v>6</v>
      </c>
      <c r="H375" s="1">
        <v>3</v>
      </c>
      <c r="I375" s="1">
        <v>1</v>
      </c>
      <c r="J375" s="1">
        <v>5</v>
      </c>
      <c r="K375" s="1">
        <v>6</v>
      </c>
      <c r="L375" s="1">
        <v>4</v>
      </c>
      <c r="M375" s="1">
        <v>72</v>
      </c>
      <c r="N375" s="5">
        <v>106.8</v>
      </c>
      <c r="O375" s="6">
        <v>11406.24</v>
      </c>
      <c r="P375" s="5">
        <v>440.245</v>
      </c>
      <c r="Q375">
        <v>434.75436086238545</v>
      </c>
      <c r="R375" s="6">
        <v>18.865480000000002</v>
      </c>
      <c r="S375" s="6">
        <v>40.3142</v>
      </c>
      <c r="T375" s="6">
        <v>2115.3646222222233</v>
      </c>
      <c r="U375" s="6">
        <v>1644.4444444444443</v>
      </c>
      <c r="V375" s="6">
        <f t="shared" si="18"/>
        <v>2.0285712526925375</v>
      </c>
      <c r="W375" s="6">
        <f t="shared" si="19"/>
        <v>2.6436944322492169</v>
      </c>
      <c r="X375" s="6">
        <v>2.6382439469461056</v>
      </c>
      <c r="Y375" s="6">
        <f t="shared" si="20"/>
        <v>1.275667859560832</v>
      </c>
      <c r="Z375" s="6">
        <f t="shared" si="20"/>
        <v>1.6054580460271546</v>
      </c>
      <c r="AA375" s="6">
        <f t="shared" si="20"/>
        <v>3.3253852368508889</v>
      </c>
      <c r="AB375" s="6">
        <f t="shared" si="17"/>
        <v>3.2160192059556323</v>
      </c>
    </row>
    <row r="376" spans="1:28">
      <c r="A376" s="1">
        <v>51</v>
      </c>
      <c r="B376" s="1">
        <v>0</v>
      </c>
      <c r="C376" s="1">
        <v>1</v>
      </c>
      <c r="D376" s="1">
        <v>1</v>
      </c>
      <c r="E376" s="1">
        <v>0</v>
      </c>
      <c r="F376" s="1">
        <v>11</v>
      </c>
      <c r="G376" s="1">
        <v>6</v>
      </c>
      <c r="H376" s="1">
        <v>2</v>
      </c>
      <c r="I376" s="1">
        <v>1</v>
      </c>
      <c r="J376" s="1">
        <v>4</v>
      </c>
      <c r="K376" s="1">
        <v>4</v>
      </c>
      <c r="L376" s="1">
        <v>4</v>
      </c>
      <c r="M376" s="1">
        <v>72</v>
      </c>
      <c r="N376" s="5">
        <v>202.8</v>
      </c>
      <c r="O376" s="6">
        <v>41127.839999999997</v>
      </c>
      <c r="P376" s="5">
        <v>388.82300000000004</v>
      </c>
      <c r="Q376">
        <v>339.02730973074733</v>
      </c>
      <c r="R376" s="6">
        <v>26.419499999999999</v>
      </c>
      <c r="S376" s="6">
        <v>528.78139999999996</v>
      </c>
      <c r="T376" s="6">
        <v>13004.710888888889</v>
      </c>
      <c r="U376" s="6">
        <v>3222.2222222222226</v>
      </c>
      <c r="V376" s="6">
        <f t="shared" si="18"/>
        <v>2.3070679506612985</v>
      </c>
      <c r="W376" s="6">
        <f t="shared" si="19"/>
        <v>2.5897519467831609</v>
      </c>
      <c r="X376" s="6">
        <v>2.5302346834174001</v>
      </c>
      <c r="Y376" s="6">
        <f t="shared" si="20"/>
        <v>1.4219245941530072</v>
      </c>
      <c r="Z376" s="6">
        <f t="shared" si="20"/>
        <v>2.7232761703440129</v>
      </c>
      <c r="AA376" s="6">
        <f t="shared" si="20"/>
        <v>4.1141007017255964</v>
      </c>
      <c r="AB376" s="6">
        <f t="shared" si="17"/>
        <v>3.5081554884596313</v>
      </c>
    </row>
    <row r="377" spans="1:28">
      <c r="A377" s="1">
        <v>52</v>
      </c>
      <c r="B377" s="1">
        <v>0</v>
      </c>
      <c r="C377" s="1">
        <v>1</v>
      </c>
      <c r="D377" s="1">
        <v>1</v>
      </c>
      <c r="E377" s="1">
        <v>1</v>
      </c>
      <c r="F377" s="1">
        <v>11</v>
      </c>
      <c r="G377" s="1">
        <v>6</v>
      </c>
      <c r="H377" s="1">
        <v>2</v>
      </c>
      <c r="I377" s="1">
        <v>1</v>
      </c>
      <c r="J377" s="1">
        <v>4</v>
      </c>
      <c r="K377" s="1">
        <v>4</v>
      </c>
      <c r="L377" s="1">
        <v>4</v>
      </c>
      <c r="M377" s="1">
        <v>72</v>
      </c>
      <c r="N377" s="5">
        <v>220.8</v>
      </c>
      <c r="O377" s="6">
        <v>48752.639999999999</v>
      </c>
      <c r="P377" s="5">
        <v>414.53399999999993</v>
      </c>
      <c r="Q377">
        <v>385.24784374610994</v>
      </c>
      <c r="R377" s="6">
        <v>108.02640000000002</v>
      </c>
      <c r="S377" s="6">
        <v>655.20359999999994</v>
      </c>
      <c r="T377" s="6">
        <v>19115.48577777778</v>
      </c>
      <c r="U377" s="6">
        <v>5866.666666666667</v>
      </c>
      <c r="V377" s="6">
        <f t="shared" si="18"/>
        <v>2.3439990690571615</v>
      </c>
      <c r="W377" s="6">
        <f t="shared" si="19"/>
        <v>2.617560157098151</v>
      </c>
      <c r="X377" s="6">
        <v>2.5857402166265717</v>
      </c>
      <c r="Y377" s="6">
        <f t="shared" si="20"/>
        <v>2.0335299033872003</v>
      </c>
      <c r="Z377" s="6">
        <f t="shared" si="20"/>
        <v>2.8163762749792234</v>
      </c>
      <c r="AA377" s="6">
        <f t="shared" si="20"/>
        <v>4.2813853391286605</v>
      </c>
      <c r="AB377" s="6">
        <f t="shared" si="17"/>
        <v>3.7683914130944873</v>
      </c>
    </row>
    <row r="378" spans="1:28">
      <c r="A378" s="1">
        <v>53</v>
      </c>
      <c r="B378" s="1">
        <v>1</v>
      </c>
      <c r="C378" s="1">
        <v>1</v>
      </c>
      <c r="D378" s="1">
        <v>1</v>
      </c>
      <c r="E378" s="1">
        <v>1</v>
      </c>
      <c r="F378" s="1">
        <v>15</v>
      </c>
      <c r="G378" s="1">
        <v>6</v>
      </c>
      <c r="H378" s="1">
        <v>3</v>
      </c>
      <c r="I378" s="1">
        <v>1</v>
      </c>
      <c r="J378" s="1">
        <v>5</v>
      </c>
      <c r="K378" s="1">
        <v>5</v>
      </c>
      <c r="L378" s="1">
        <v>4</v>
      </c>
      <c r="M378" s="1">
        <v>72</v>
      </c>
      <c r="N378" s="5">
        <v>88.8</v>
      </c>
      <c r="O378" s="6">
        <v>7885.44</v>
      </c>
      <c r="P378" s="5">
        <v>414.53399999999993</v>
      </c>
      <c r="Q378">
        <v>385.24784374610994</v>
      </c>
      <c r="R378" s="6">
        <v>19.57</v>
      </c>
      <c r="S378" s="6">
        <v>312.72860000000003</v>
      </c>
      <c r="T378" s="6">
        <v>1929.1047111111113</v>
      </c>
      <c r="U378" s="6">
        <v>644.44444444444446</v>
      </c>
      <c r="V378" s="6">
        <f t="shared" si="18"/>
        <v>1.9484129657786009</v>
      </c>
      <c r="W378" s="6">
        <f t="shared" si="19"/>
        <v>2.617560157098151</v>
      </c>
      <c r="X378" s="6">
        <v>2.5857402166265717</v>
      </c>
      <c r="Y378" s="6">
        <f t="shared" si="20"/>
        <v>1.2915908256580011</v>
      </c>
      <c r="Z378" s="6">
        <f t="shared" si="20"/>
        <v>2.4951676006359738</v>
      </c>
      <c r="AA378" s="6">
        <f t="shared" si="20"/>
        <v>3.2853558016322366</v>
      </c>
      <c r="AB378" s="6">
        <f t="shared" si="17"/>
        <v>2.8091854841236126</v>
      </c>
    </row>
    <row r="379" spans="1:28">
      <c r="A379" s="1">
        <v>54</v>
      </c>
      <c r="B379" s="1">
        <v>1</v>
      </c>
      <c r="C379" s="1">
        <v>1</v>
      </c>
      <c r="D379" s="1">
        <v>1</v>
      </c>
      <c r="E379" s="1">
        <v>1</v>
      </c>
      <c r="F379" s="1">
        <v>19</v>
      </c>
      <c r="G379" s="1">
        <v>6</v>
      </c>
      <c r="H379" s="1">
        <v>3</v>
      </c>
      <c r="I379" s="1">
        <v>1</v>
      </c>
      <c r="J379" s="1">
        <v>5</v>
      </c>
      <c r="K379" s="1">
        <v>6</v>
      </c>
      <c r="L379" s="1">
        <v>4</v>
      </c>
      <c r="M379" s="1">
        <v>72</v>
      </c>
      <c r="N379" s="5">
        <v>96.8</v>
      </c>
      <c r="O379" s="6">
        <v>9370.24</v>
      </c>
      <c r="P379" s="5">
        <v>388.82300000000004</v>
      </c>
      <c r="Q379">
        <v>339.02730973074733</v>
      </c>
      <c r="R379" s="6">
        <v>16.438800000000001</v>
      </c>
      <c r="S379" s="6">
        <v>93.935999999999993</v>
      </c>
      <c r="T379" s="6">
        <v>1143.3345777777783</v>
      </c>
      <c r="U379" s="6">
        <v>577.77777777777817</v>
      </c>
      <c r="V379" s="6">
        <f t="shared" si="18"/>
        <v>1.9858753573083936</v>
      </c>
      <c r="W379" s="6">
        <f t="shared" si="19"/>
        <v>2.5897519467831609</v>
      </c>
      <c r="X379" s="6">
        <v>2.5302346834174001</v>
      </c>
      <c r="Y379" s="6">
        <f t="shared" si="20"/>
        <v>1.2158701117198829</v>
      </c>
      <c r="Z379" s="6">
        <f t="shared" si="20"/>
        <v>1.9728320630335883</v>
      </c>
      <c r="AA379" s="6">
        <f t="shared" si="20"/>
        <v>3.0581733380243281</v>
      </c>
      <c r="AB379" s="6">
        <f t="shared" si="17"/>
        <v>2.7617608341954747</v>
      </c>
    </row>
    <row r="380" spans="1:28">
      <c r="A380" s="1">
        <v>55</v>
      </c>
      <c r="B380" s="1">
        <v>0</v>
      </c>
      <c r="C380" s="1">
        <v>1</v>
      </c>
      <c r="D380" s="1">
        <v>1</v>
      </c>
      <c r="E380" s="1">
        <v>0</v>
      </c>
      <c r="F380" s="1">
        <v>11</v>
      </c>
      <c r="G380" s="1">
        <v>6</v>
      </c>
      <c r="H380" s="1">
        <v>2</v>
      </c>
      <c r="I380" s="1">
        <v>2</v>
      </c>
      <c r="J380" s="1">
        <v>4</v>
      </c>
      <c r="K380" s="1">
        <v>4</v>
      </c>
      <c r="L380" s="1">
        <v>4</v>
      </c>
      <c r="M380" s="1">
        <v>72</v>
      </c>
      <c r="N380" s="5">
        <v>64.8</v>
      </c>
      <c r="O380" s="6">
        <v>4199.04</v>
      </c>
      <c r="P380" s="5">
        <v>363.11200000000002</v>
      </c>
      <c r="Q380">
        <v>296.04871231973084</v>
      </c>
      <c r="R380" s="6">
        <v>8.6499399999999991</v>
      </c>
      <c r="S380" s="6">
        <v>409.79580000000004</v>
      </c>
      <c r="T380" s="6">
        <v>2752.4600444444445</v>
      </c>
      <c r="U380" s="6">
        <v>866.66666666666606</v>
      </c>
      <c r="V380" s="6">
        <f t="shared" si="18"/>
        <v>1.8115750058705933</v>
      </c>
      <c r="W380" s="6">
        <f t="shared" si="19"/>
        <v>2.5600406015641384</v>
      </c>
      <c r="X380" s="6">
        <v>2.4713631764342274</v>
      </c>
      <c r="Y380" s="6">
        <f t="shared" si="20"/>
        <v>0.93701309500709307</v>
      </c>
      <c r="Z380" s="6">
        <f t="shared" si="20"/>
        <v>2.6125675030008249</v>
      </c>
      <c r="AA380" s="6">
        <f t="shared" si="20"/>
        <v>3.4397210233374333</v>
      </c>
      <c r="AB380" s="6">
        <f t="shared" si="17"/>
        <v>2.9378520932511551</v>
      </c>
    </row>
    <row r="381" spans="1:28">
      <c r="A381" s="1">
        <v>56</v>
      </c>
      <c r="B381" s="1">
        <v>0</v>
      </c>
      <c r="C381" s="1">
        <v>1</v>
      </c>
      <c r="D381" s="1">
        <v>1</v>
      </c>
      <c r="E381" s="1">
        <v>0</v>
      </c>
      <c r="F381" s="1">
        <v>10</v>
      </c>
      <c r="G381" s="1">
        <v>6</v>
      </c>
      <c r="H381" s="1">
        <v>2</v>
      </c>
      <c r="I381" s="1">
        <v>2</v>
      </c>
      <c r="J381" s="1">
        <v>4</v>
      </c>
      <c r="K381" s="1">
        <v>4</v>
      </c>
      <c r="L381" s="1">
        <v>4</v>
      </c>
      <c r="M381" s="1">
        <v>72</v>
      </c>
      <c r="N381" s="5">
        <v>72.8</v>
      </c>
      <c r="O381" s="6">
        <v>5299.84</v>
      </c>
      <c r="P381" s="5">
        <v>311.69</v>
      </c>
      <c r="Q381">
        <v>219.63076940845457</v>
      </c>
      <c r="R381" s="6">
        <v>1.44818</v>
      </c>
      <c r="S381" s="6">
        <v>367.916</v>
      </c>
      <c r="T381" s="6">
        <v>2128.2862222222225</v>
      </c>
      <c r="U381" s="6">
        <v>755.55555555555566</v>
      </c>
      <c r="V381" s="6">
        <f t="shared" si="18"/>
        <v>1.8621313793130372</v>
      </c>
      <c r="W381" s="6">
        <f t="shared" si="19"/>
        <v>2.4937228689611968</v>
      </c>
      <c r="X381" s="6">
        <v>2.3416931829921195</v>
      </c>
      <c r="Y381" s="6">
        <f t="shared" si="20"/>
        <v>0.16082254538897736</v>
      </c>
      <c r="Z381" s="6">
        <f t="shared" si="20"/>
        <v>2.5657486749216809</v>
      </c>
      <c r="AA381" s="6">
        <f t="shared" si="20"/>
        <v>3.3280300335726269</v>
      </c>
      <c r="AB381" s="6">
        <f t="shared" si="17"/>
        <v>2.8782664032669114</v>
      </c>
    </row>
    <row r="382" spans="1:28">
      <c r="A382" s="1">
        <v>57</v>
      </c>
      <c r="B382" s="1">
        <v>1</v>
      </c>
      <c r="C382" s="1">
        <v>1</v>
      </c>
      <c r="D382" s="1">
        <v>1</v>
      </c>
      <c r="E382" s="1">
        <v>0</v>
      </c>
      <c r="F382" s="1">
        <v>20</v>
      </c>
      <c r="G382" s="1">
        <v>18</v>
      </c>
      <c r="H382" s="1">
        <v>3</v>
      </c>
      <c r="I382" s="1">
        <v>2</v>
      </c>
      <c r="J382" s="1">
        <v>6</v>
      </c>
      <c r="K382" s="1">
        <v>7</v>
      </c>
      <c r="L382" s="1">
        <v>4</v>
      </c>
      <c r="M382" s="1">
        <v>72</v>
      </c>
      <c r="N382" s="5">
        <v>128.80000000000001</v>
      </c>
      <c r="O382" s="6">
        <v>16589.439999999999</v>
      </c>
      <c r="P382" s="5">
        <v>414.53399999999993</v>
      </c>
      <c r="Q382">
        <v>385.24784374610994</v>
      </c>
      <c r="R382" s="6">
        <v>30.568340000000003</v>
      </c>
      <c r="S382" s="6">
        <v>159.69120000000001</v>
      </c>
      <c r="T382" s="6">
        <v>2665.7336000000005</v>
      </c>
      <c r="U382" s="6">
        <v>777.77777777777851</v>
      </c>
      <c r="V382" s="6">
        <f t="shared" si="18"/>
        <v>2.1099158630237933</v>
      </c>
      <c r="W382" s="6">
        <f t="shared" si="19"/>
        <v>2.617560157098151</v>
      </c>
      <c r="X382" s="6">
        <v>2.5857402166265717</v>
      </c>
      <c r="Y382" s="6">
        <f t="shared" si="20"/>
        <v>1.4852718551992827</v>
      </c>
      <c r="Z382" s="6">
        <f t="shared" si="20"/>
        <v>2.2032809844118622</v>
      </c>
      <c r="AA382" s="6">
        <f t="shared" si="20"/>
        <v>3.4258167460415212</v>
      </c>
      <c r="AB382" s="6">
        <f t="shared" si="17"/>
        <v>2.8908555305749322</v>
      </c>
    </row>
    <row r="383" spans="1:28">
      <c r="A383" s="1">
        <v>58</v>
      </c>
      <c r="B383" s="1">
        <v>1</v>
      </c>
      <c r="C383" s="1">
        <v>1</v>
      </c>
      <c r="D383" s="1">
        <v>1</v>
      </c>
      <c r="E383" s="1">
        <v>0</v>
      </c>
      <c r="F383" s="1">
        <v>25</v>
      </c>
      <c r="G383" s="1">
        <v>18</v>
      </c>
      <c r="H383" s="1">
        <v>3</v>
      </c>
      <c r="I383" s="1">
        <v>2</v>
      </c>
      <c r="J383" s="1">
        <v>6</v>
      </c>
      <c r="K383" s="1">
        <v>7</v>
      </c>
      <c r="L383" s="1">
        <v>4</v>
      </c>
      <c r="M383" s="1">
        <v>72</v>
      </c>
      <c r="N383" s="5">
        <v>316.8</v>
      </c>
      <c r="O383" s="6">
        <v>100362.24000000001</v>
      </c>
      <c r="P383" s="5">
        <v>533.05999999999995</v>
      </c>
      <c r="Q383">
        <v>803.05400915691268</v>
      </c>
      <c r="R383" s="6">
        <v>120.1598</v>
      </c>
      <c r="S383" s="6">
        <v>105.28659999999999</v>
      </c>
      <c r="T383" s="6">
        <v>5166.0963555555554</v>
      </c>
      <c r="U383" s="6">
        <v>1000</v>
      </c>
      <c r="V383" s="6">
        <f t="shared" si="18"/>
        <v>2.5007851729174559</v>
      </c>
      <c r="W383" s="6">
        <f t="shared" si="19"/>
        <v>2.7267760949597122</v>
      </c>
      <c r="X383" s="6">
        <v>2.9047447546062557</v>
      </c>
      <c r="Y383" s="6">
        <f t="shared" si="20"/>
        <v>2.0797591967991687</v>
      </c>
      <c r="Z383" s="6">
        <f t="shared" si="20"/>
        <v>2.0223731013243902</v>
      </c>
      <c r="AA383" s="6">
        <f t="shared" si="20"/>
        <v>3.7131625021655648</v>
      </c>
      <c r="AB383" s="6">
        <f t="shared" si="17"/>
        <v>3</v>
      </c>
    </row>
    <row r="384" spans="1:28">
      <c r="A384" s="1">
        <v>59</v>
      </c>
      <c r="B384" s="1">
        <v>1</v>
      </c>
      <c r="C384" s="1">
        <v>1</v>
      </c>
      <c r="D384" s="1">
        <v>1</v>
      </c>
      <c r="E384" s="1">
        <v>0</v>
      </c>
      <c r="F384" s="1">
        <v>17</v>
      </c>
      <c r="G384" s="1">
        <v>6</v>
      </c>
      <c r="H384" s="1">
        <v>3</v>
      </c>
      <c r="I384" s="1">
        <v>2</v>
      </c>
      <c r="J384" s="1">
        <v>5</v>
      </c>
      <c r="K384" s="1">
        <v>6</v>
      </c>
      <c r="L384" s="1">
        <v>4</v>
      </c>
      <c r="M384" s="1">
        <v>72</v>
      </c>
      <c r="N384" s="5">
        <v>118.8</v>
      </c>
      <c r="O384" s="6">
        <v>14113.44</v>
      </c>
      <c r="P384" s="5">
        <v>363.11200000000002</v>
      </c>
      <c r="Q384">
        <v>296.04871231973084</v>
      </c>
      <c r="R384" s="6">
        <v>37.339559999999999</v>
      </c>
      <c r="S384" s="6">
        <v>36.008800000000001</v>
      </c>
      <c r="T384" s="6">
        <v>4682.101022222223</v>
      </c>
      <c r="U384" s="6">
        <v>4022.2222222222231</v>
      </c>
      <c r="V384" s="6">
        <f t="shared" si="18"/>
        <v>2.0748164406451748</v>
      </c>
      <c r="W384" s="6">
        <f t="shared" si="19"/>
        <v>2.5600406015641384</v>
      </c>
      <c r="X384" s="6">
        <v>2.4713631764342274</v>
      </c>
      <c r="Y384" s="6">
        <f t="shared" si="20"/>
        <v>1.5721691960260775</v>
      </c>
      <c r="Z384" s="6">
        <f t="shared" si="20"/>
        <v>1.5564086486675377</v>
      </c>
      <c r="AA384" s="6">
        <f t="shared" si="20"/>
        <v>3.670440779911726</v>
      </c>
      <c r="AB384" s="6">
        <f t="shared" si="17"/>
        <v>3.604466061093841</v>
      </c>
    </row>
    <row r="385" spans="1:28">
      <c r="A385" s="1">
        <v>60</v>
      </c>
      <c r="B385" s="1">
        <v>1</v>
      </c>
      <c r="C385" s="1">
        <v>1</v>
      </c>
      <c r="D385" s="1">
        <v>1</v>
      </c>
      <c r="E385" s="1">
        <v>0</v>
      </c>
      <c r="F385" s="1">
        <v>23</v>
      </c>
      <c r="G385" s="1">
        <v>18</v>
      </c>
      <c r="H385" s="1">
        <v>3</v>
      </c>
      <c r="I385" s="1">
        <v>2</v>
      </c>
      <c r="J385" s="1">
        <v>6</v>
      </c>
      <c r="K385" s="1">
        <v>7</v>
      </c>
      <c r="L385" s="1">
        <v>4</v>
      </c>
      <c r="M385" s="1">
        <v>72</v>
      </c>
      <c r="N385" s="5">
        <v>348.8</v>
      </c>
      <c r="O385" s="6">
        <v>121661.44</v>
      </c>
      <c r="P385" s="5">
        <v>440.245</v>
      </c>
      <c r="Q385">
        <v>434.75436086238545</v>
      </c>
      <c r="R385" s="6">
        <v>168.6934</v>
      </c>
      <c r="S385" s="6">
        <v>620.36900000000003</v>
      </c>
      <c r="T385" s="6">
        <v>7586.6351111111135</v>
      </c>
      <c r="U385" s="6">
        <v>3355.5555555555552</v>
      </c>
      <c r="V385" s="6">
        <f t="shared" si="18"/>
        <v>2.5425764762605296</v>
      </c>
      <c r="W385" s="6">
        <f t="shared" si="19"/>
        <v>2.6436944322492169</v>
      </c>
      <c r="X385" s="6">
        <v>2.6382439469461056</v>
      </c>
      <c r="Y385" s="6">
        <f t="shared" si="20"/>
        <v>2.2270980914827141</v>
      </c>
      <c r="Z385" s="6">
        <f t="shared" si="20"/>
        <v>2.7926500878757525</v>
      </c>
      <c r="AA385" s="6">
        <f t="shared" si="20"/>
        <v>3.8800491966195199</v>
      </c>
      <c r="AB385" s="6">
        <f t="shared" si="17"/>
        <v>3.5257644335178258</v>
      </c>
    </row>
    <row r="386" spans="1:28">
      <c r="A386" s="1">
        <v>61</v>
      </c>
      <c r="B386" s="1">
        <v>0</v>
      </c>
      <c r="C386" s="1">
        <v>1</v>
      </c>
      <c r="D386" s="1">
        <v>0</v>
      </c>
      <c r="E386" s="1">
        <v>0</v>
      </c>
      <c r="F386" s="1">
        <v>6</v>
      </c>
      <c r="G386" s="1">
        <v>6</v>
      </c>
      <c r="H386" s="1">
        <v>1</v>
      </c>
      <c r="I386" s="1">
        <v>2</v>
      </c>
      <c r="J386" s="1">
        <v>2</v>
      </c>
      <c r="K386" s="1">
        <v>2</v>
      </c>
      <c r="L386" s="1">
        <v>4</v>
      </c>
      <c r="M386" s="1">
        <v>72</v>
      </c>
      <c r="N386" s="5">
        <v>358.8</v>
      </c>
      <c r="O386" s="6">
        <v>128737.44</v>
      </c>
      <c r="P386" s="5">
        <v>465.95600000000002</v>
      </c>
      <c r="Q386">
        <v>487.58907425628536</v>
      </c>
      <c r="R386" s="6">
        <v>79.062799999999996</v>
      </c>
      <c r="S386" s="6">
        <v>69.277799999999999</v>
      </c>
      <c r="T386" s="6">
        <v>10269.801155555555</v>
      </c>
      <c r="U386" s="6">
        <v>3777.7777777777778</v>
      </c>
      <c r="V386" s="6">
        <f t="shared" si="18"/>
        <v>2.5548524343720547</v>
      </c>
      <c r="W386" s="6">
        <f t="shared" si="19"/>
        <v>2.6683449084080255</v>
      </c>
      <c r="X386" s="6">
        <v>2.6880539655202416</v>
      </c>
      <c r="Y386" s="6">
        <f t="shared" si="20"/>
        <v>1.897972190768606</v>
      </c>
      <c r="Z386" s="6">
        <f t="shared" si="20"/>
        <v>1.840594087683789</v>
      </c>
      <c r="AA386" s="6">
        <f t="shared" si="20"/>
        <v>4.0115620348454772</v>
      </c>
      <c r="AB386" s="6">
        <f t="shared" si="20"/>
        <v>3.5772364076029302</v>
      </c>
    </row>
    <row r="387" spans="1:28">
      <c r="A387" s="1">
        <v>62</v>
      </c>
      <c r="B387" s="1">
        <v>0</v>
      </c>
      <c r="C387" s="1">
        <v>1</v>
      </c>
      <c r="D387" s="1">
        <v>0</v>
      </c>
      <c r="E387" s="1">
        <v>0</v>
      </c>
      <c r="F387" s="1">
        <v>5</v>
      </c>
      <c r="G387" s="1">
        <v>6</v>
      </c>
      <c r="H387" s="1">
        <v>1</v>
      </c>
      <c r="I387" s="1">
        <v>2</v>
      </c>
      <c r="J387" s="1">
        <v>2</v>
      </c>
      <c r="K387" s="1">
        <v>2</v>
      </c>
      <c r="L387" s="1">
        <v>4</v>
      </c>
      <c r="M387" s="1">
        <v>72</v>
      </c>
      <c r="N387" s="5">
        <v>292.8</v>
      </c>
      <c r="O387" s="6">
        <v>85731.839999999997</v>
      </c>
      <c r="P387" s="5">
        <v>533.05999999999995</v>
      </c>
      <c r="Q387">
        <v>803.05400915691268</v>
      </c>
      <c r="R387" s="6">
        <v>11.507160000000001</v>
      </c>
      <c r="S387" s="6">
        <v>95.893000000000015</v>
      </c>
      <c r="T387" s="6">
        <v>10208.986000000001</v>
      </c>
      <c r="U387" s="6">
        <v>1777.7777777777778</v>
      </c>
      <c r="V387" s="6">
        <f t="shared" ref="V387:V433" si="21">LOG(N387)</f>
        <v>2.4665710723863543</v>
      </c>
      <c r="W387" s="6">
        <f t="shared" ref="W387:W433" si="22">LOG(P387)</f>
        <v>2.7267760949597122</v>
      </c>
      <c r="X387" s="6">
        <v>2.9047447546062557</v>
      </c>
      <c r="Y387" s="6">
        <f t="shared" ref="Y387:AB433" si="23">LOG(R387)</f>
        <v>1.0609681517341396</v>
      </c>
      <c r="Z387" s="6">
        <f t="shared" si="23"/>
        <v>1.9817869056865149</v>
      </c>
      <c r="AA387" s="6">
        <f t="shared" si="23"/>
        <v>4.008982608250097</v>
      </c>
      <c r="AB387" s="6">
        <f t="shared" si="23"/>
        <v>3.2498774732165998</v>
      </c>
    </row>
    <row r="388" spans="1:28">
      <c r="A388" s="1">
        <v>63</v>
      </c>
      <c r="B388" s="1">
        <v>0</v>
      </c>
      <c r="C388" s="1">
        <v>1</v>
      </c>
      <c r="D388" s="1">
        <v>0</v>
      </c>
      <c r="E388" s="1">
        <v>1</v>
      </c>
      <c r="F388" s="1">
        <v>5</v>
      </c>
      <c r="G388" s="1">
        <v>6</v>
      </c>
      <c r="H388" s="1">
        <v>1</v>
      </c>
      <c r="I388" s="1">
        <v>2</v>
      </c>
      <c r="J388" s="1">
        <v>2</v>
      </c>
      <c r="K388" s="1">
        <v>2</v>
      </c>
      <c r="L388" s="1">
        <v>4</v>
      </c>
      <c r="M388" s="1">
        <v>72</v>
      </c>
      <c r="N388" s="5">
        <v>102.8</v>
      </c>
      <c r="O388" s="6">
        <v>10567.84</v>
      </c>
      <c r="P388" s="5">
        <v>363.11200000000002</v>
      </c>
      <c r="Q388">
        <v>296.04871231973084</v>
      </c>
      <c r="R388" s="6">
        <v>30.764040000000001</v>
      </c>
      <c r="S388" s="6">
        <v>708.43400000000008</v>
      </c>
      <c r="T388" s="6">
        <v>5834.2107555555558</v>
      </c>
      <c r="U388" s="6">
        <v>999.99999999999943</v>
      </c>
      <c r="V388" s="6">
        <f t="shared" si="21"/>
        <v>2.0119931146592571</v>
      </c>
      <c r="W388" s="6">
        <f t="shared" si="22"/>
        <v>2.5600406015641384</v>
      </c>
      <c r="X388" s="6">
        <v>2.4713631764342274</v>
      </c>
      <c r="Y388" s="6">
        <f t="shared" si="23"/>
        <v>1.4880433673613902</v>
      </c>
      <c r="Z388" s="6">
        <f t="shared" si="23"/>
        <v>2.8502993961911671</v>
      </c>
      <c r="AA388" s="6">
        <f t="shared" si="23"/>
        <v>3.765982113562123</v>
      </c>
      <c r="AB388" s="6">
        <f t="shared" si="23"/>
        <v>2.9999999999999996</v>
      </c>
    </row>
    <row r="389" spans="1:28">
      <c r="A389" s="1">
        <v>64</v>
      </c>
      <c r="B389" s="1">
        <v>1</v>
      </c>
      <c r="C389" s="1">
        <v>1</v>
      </c>
      <c r="D389" s="1">
        <v>0</v>
      </c>
      <c r="E389" s="1">
        <v>0</v>
      </c>
      <c r="F389" s="1">
        <v>9</v>
      </c>
      <c r="G389" s="1">
        <v>6</v>
      </c>
      <c r="H389" s="1">
        <v>2</v>
      </c>
      <c r="I389" s="1">
        <v>2</v>
      </c>
      <c r="J389" s="1">
        <v>3</v>
      </c>
      <c r="K389" s="1">
        <v>3</v>
      </c>
      <c r="L389" s="1">
        <v>4</v>
      </c>
      <c r="M389" s="1">
        <v>72</v>
      </c>
      <c r="N389" s="5">
        <v>46.8</v>
      </c>
      <c r="O389" s="6">
        <v>2190.2399999999998</v>
      </c>
      <c r="P389" s="5">
        <v>363.11200000000002</v>
      </c>
      <c r="Q389">
        <v>296.04871231973084</v>
      </c>
      <c r="R389" s="6">
        <v>8.6499399999999991</v>
      </c>
      <c r="S389" s="6">
        <v>430.54</v>
      </c>
      <c r="T389" s="6">
        <v>5717.4448888888892</v>
      </c>
      <c r="U389" s="6">
        <v>1533.3333333333326</v>
      </c>
      <c r="V389" s="6">
        <f t="shared" si="21"/>
        <v>1.670245853074124</v>
      </c>
      <c r="W389" s="6">
        <f t="shared" si="22"/>
        <v>2.5600406015641384</v>
      </c>
      <c r="X389" s="6">
        <v>2.4713631764342274</v>
      </c>
      <c r="Y389" s="6">
        <f t="shared" si="23"/>
        <v>0.93701309500709307</v>
      </c>
      <c r="Z389" s="6">
        <f t="shared" si="23"/>
        <v>2.6340135064802075</v>
      </c>
      <c r="AA389" s="6">
        <f t="shared" si="23"/>
        <v>3.7572019870843305</v>
      </c>
      <c r="AB389" s="6">
        <f t="shared" si="23"/>
        <v>3.1856365769619113</v>
      </c>
    </row>
    <row r="390" spans="1:28">
      <c r="A390" s="1">
        <v>65</v>
      </c>
      <c r="B390" s="1">
        <v>1</v>
      </c>
      <c r="C390" s="1">
        <v>1</v>
      </c>
      <c r="D390" s="1">
        <v>1</v>
      </c>
      <c r="E390" s="1">
        <v>0</v>
      </c>
      <c r="F390" s="1">
        <v>15</v>
      </c>
      <c r="G390" s="1">
        <v>6</v>
      </c>
      <c r="H390" s="1">
        <v>3</v>
      </c>
      <c r="I390" s="1">
        <v>2</v>
      </c>
      <c r="J390" s="1">
        <v>5</v>
      </c>
      <c r="K390" s="1">
        <v>5</v>
      </c>
      <c r="L390" s="1">
        <v>4</v>
      </c>
      <c r="M390" s="1">
        <v>72</v>
      </c>
      <c r="N390" s="5">
        <v>118.8</v>
      </c>
      <c r="O390" s="6">
        <v>14113.44</v>
      </c>
      <c r="P390" s="5">
        <v>491.66700000000003</v>
      </c>
      <c r="Q390">
        <v>543.79253098815855</v>
      </c>
      <c r="R390" s="6">
        <v>44.619600000000005</v>
      </c>
      <c r="S390" s="6">
        <v>275.93700000000001</v>
      </c>
      <c r="T390" s="6">
        <v>21826.00333333333</v>
      </c>
      <c r="U390" s="6">
        <v>4377.7777777777783</v>
      </c>
      <c r="V390" s="6">
        <f t="shared" si="21"/>
        <v>2.0748164406451748</v>
      </c>
      <c r="W390" s="6">
        <f t="shared" si="22"/>
        <v>2.6916710600313563</v>
      </c>
      <c r="X390" s="6">
        <v>2.7354332382406237</v>
      </c>
      <c r="Y390" s="6">
        <f t="shared" si="23"/>
        <v>1.6495256726584551</v>
      </c>
      <c r="Z390" s="6">
        <f t="shared" si="23"/>
        <v>2.440809938313381</v>
      </c>
      <c r="AA390" s="6">
        <f t="shared" si="23"/>
        <v>4.3389742171938535</v>
      </c>
      <c r="AB390" s="6">
        <f t="shared" si="23"/>
        <v>3.6412537123862494</v>
      </c>
    </row>
    <row r="391" spans="1:28">
      <c r="A391" s="1">
        <v>66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2</v>
      </c>
      <c r="J391" s="1">
        <v>0</v>
      </c>
      <c r="K391" s="1">
        <v>0</v>
      </c>
      <c r="L391" s="1">
        <v>4</v>
      </c>
      <c r="M391" s="1">
        <v>72</v>
      </c>
      <c r="N391" s="5">
        <v>96.8</v>
      </c>
      <c r="O391" s="6">
        <v>9370.24</v>
      </c>
      <c r="P391" s="5">
        <v>388.82300000000004</v>
      </c>
      <c r="Q391">
        <v>339.02730973074733</v>
      </c>
      <c r="R391" s="6">
        <v>42.701740000000001</v>
      </c>
      <c r="S391" s="6">
        <v>1070.479</v>
      </c>
      <c r="T391" s="6">
        <v>15521.408666666668</v>
      </c>
      <c r="U391" s="6">
        <v>4000</v>
      </c>
      <c r="V391" s="6">
        <f t="shared" si="21"/>
        <v>1.9858753573083936</v>
      </c>
      <c r="W391" s="6">
        <f t="shared" si="22"/>
        <v>2.5897519467831609</v>
      </c>
      <c r="X391" s="6">
        <v>2.5302346834174001</v>
      </c>
      <c r="Y391" s="6">
        <f t="shared" si="23"/>
        <v>1.6304455719103244</v>
      </c>
      <c r="Z391" s="6">
        <f t="shared" si="23"/>
        <v>3.0295781519914318</v>
      </c>
      <c r="AA391" s="6">
        <f t="shared" si="23"/>
        <v>4.1909311337003938</v>
      </c>
      <c r="AB391" s="6">
        <f t="shared" si="23"/>
        <v>3.6020599913279625</v>
      </c>
    </row>
    <row r="392" spans="1:28">
      <c r="A392" s="1">
        <v>67</v>
      </c>
      <c r="B392" s="1">
        <v>1</v>
      </c>
      <c r="C392" s="1">
        <v>1</v>
      </c>
      <c r="D392" s="1">
        <v>1</v>
      </c>
      <c r="E392" s="1">
        <v>0</v>
      </c>
      <c r="F392" s="1">
        <v>18</v>
      </c>
      <c r="G392" s="1">
        <v>6</v>
      </c>
      <c r="H392" s="1">
        <v>3</v>
      </c>
      <c r="I392" s="1">
        <v>2</v>
      </c>
      <c r="J392" s="1">
        <v>5</v>
      </c>
      <c r="K392" s="1">
        <v>6</v>
      </c>
      <c r="L392" s="1">
        <v>4</v>
      </c>
      <c r="M392" s="1">
        <v>72</v>
      </c>
      <c r="N392" s="5">
        <v>206.8</v>
      </c>
      <c r="O392" s="6">
        <v>42766.239999999998</v>
      </c>
      <c r="P392" s="5">
        <v>465.95600000000002</v>
      </c>
      <c r="Q392">
        <v>487.58907425628536</v>
      </c>
      <c r="R392" s="6">
        <v>165.17080000000001</v>
      </c>
      <c r="S392" s="6">
        <v>248.53899999999999</v>
      </c>
      <c r="T392" s="6">
        <v>12446.374444444446</v>
      </c>
      <c r="U392" s="6">
        <v>5222.2222222222226</v>
      </c>
      <c r="V392" s="6">
        <f t="shared" si="21"/>
        <v>2.3155505344219049</v>
      </c>
      <c r="W392" s="6">
        <f t="shared" si="22"/>
        <v>2.6683449084080255</v>
      </c>
      <c r="X392" s="6">
        <v>2.6880539655202416</v>
      </c>
      <c r="Y392" s="6">
        <f t="shared" si="23"/>
        <v>2.2179332722836564</v>
      </c>
      <c r="Z392" s="6">
        <f t="shared" si="23"/>
        <v>2.3953945466139581</v>
      </c>
      <c r="AA392" s="6">
        <f t="shared" si="23"/>
        <v>4.09504286242941</v>
      </c>
      <c r="AB392" s="6">
        <f t="shared" si="23"/>
        <v>3.7178553484963928</v>
      </c>
    </row>
    <row r="393" spans="1:28">
      <c r="A393" s="1">
        <v>68</v>
      </c>
      <c r="B393" s="1">
        <v>1</v>
      </c>
      <c r="C393" s="1">
        <v>1</v>
      </c>
      <c r="D393" s="1">
        <v>0</v>
      </c>
      <c r="E393" s="1">
        <v>0</v>
      </c>
      <c r="F393" s="1">
        <v>8</v>
      </c>
      <c r="G393" s="1">
        <v>6</v>
      </c>
      <c r="H393" s="1">
        <v>2</v>
      </c>
      <c r="I393" s="1">
        <v>2</v>
      </c>
      <c r="J393" s="1">
        <v>3</v>
      </c>
      <c r="K393" s="1">
        <v>3</v>
      </c>
      <c r="L393" s="1">
        <v>4</v>
      </c>
      <c r="M393" s="1">
        <v>72</v>
      </c>
      <c r="N393" s="5">
        <v>42.8</v>
      </c>
      <c r="O393" s="6">
        <v>1831.84</v>
      </c>
      <c r="P393" s="5">
        <v>363.11200000000002</v>
      </c>
      <c r="Q393">
        <v>296.04871231973084</v>
      </c>
      <c r="R393" s="6">
        <v>35.421700000000008</v>
      </c>
      <c r="S393" s="6">
        <v>121.72539999999999</v>
      </c>
      <c r="T393" s="6">
        <v>2788.8191555555559</v>
      </c>
      <c r="U393" s="6">
        <v>1200</v>
      </c>
      <c r="V393" s="6">
        <f t="shared" si="21"/>
        <v>1.631443769013172</v>
      </c>
      <c r="W393" s="6">
        <f t="shared" si="22"/>
        <v>2.5600406015641384</v>
      </c>
      <c r="X393" s="6">
        <v>2.4713631764342274</v>
      </c>
      <c r="Y393" s="6">
        <f t="shared" si="23"/>
        <v>1.5492694005271859</v>
      </c>
      <c r="Z393" s="6">
        <f t="shared" si="23"/>
        <v>2.0853812103488196</v>
      </c>
      <c r="AA393" s="6">
        <f t="shared" si="23"/>
        <v>3.4454203528136462</v>
      </c>
      <c r="AB393" s="6">
        <f t="shared" si="23"/>
        <v>3.0791812460476247</v>
      </c>
    </row>
    <row r="394" spans="1:28">
      <c r="A394" s="1">
        <v>69</v>
      </c>
      <c r="B394" s="1">
        <v>0</v>
      </c>
      <c r="C394" s="1">
        <v>1</v>
      </c>
      <c r="D394" s="1">
        <v>0</v>
      </c>
      <c r="E394" s="1">
        <v>0</v>
      </c>
      <c r="F394" s="1">
        <v>4</v>
      </c>
      <c r="G394" s="1">
        <v>6</v>
      </c>
      <c r="H394" s="1">
        <v>1</v>
      </c>
      <c r="I394" s="1">
        <v>2</v>
      </c>
      <c r="J394" s="1">
        <v>2</v>
      </c>
      <c r="K394" s="1">
        <v>2</v>
      </c>
      <c r="L394" s="1">
        <v>4</v>
      </c>
      <c r="M394" s="1">
        <v>72</v>
      </c>
      <c r="N394" s="5">
        <v>112.8</v>
      </c>
      <c r="O394" s="6">
        <v>12723.84</v>
      </c>
      <c r="P394" s="5">
        <v>285.97899999999998</v>
      </c>
      <c r="Q394">
        <v>186.09222604693718</v>
      </c>
      <c r="R394" s="6">
        <v>37.378700000000002</v>
      </c>
      <c r="S394" s="6">
        <v>40.3142</v>
      </c>
      <c r="T394" s="6">
        <v>17843.772000000004</v>
      </c>
      <c r="U394" s="6">
        <v>5644.4444444444443</v>
      </c>
      <c r="V394" s="6">
        <f t="shared" si="21"/>
        <v>2.0523090996473234</v>
      </c>
      <c r="W394" s="6">
        <f t="shared" si="22"/>
        <v>2.4563341432025805</v>
      </c>
      <c r="X394" s="6">
        <v>2.2697282309736666</v>
      </c>
      <c r="Y394" s="6">
        <f t="shared" si="23"/>
        <v>1.5726241929057287</v>
      </c>
      <c r="Z394" s="6">
        <f t="shared" si="23"/>
        <v>1.6054580460271546</v>
      </c>
      <c r="AA394" s="6">
        <f t="shared" si="23"/>
        <v>4.2514866653780032</v>
      </c>
      <c r="AB394" s="6">
        <f t="shared" si="23"/>
        <v>3.7516212028445945</v>
      </c>
    </row>
    <row r="395" spans="1:28">
      <c r="A395" s="1">
        <v>70</v>
      </c>
      <c r="B395" s="1">
        <v>1</v>
      </c>
      <c r="C395" s="1">
        <v>1</v>
      </c>
      <c r="D395" s="1">
        <v>1</v>
      </c>
      <c r="E395" s="1">
        <v>0</v>
      </c>
      <c r="F395" s="1">
        <v>21</v>
      </c>
      <c r="G395" s="1">
        <v>18</v>
      </c>
      <c r="H395" s="1">
        <v>3</v>
      </c>
      <c r="I395" s="1">
        <v>2</v>
      </c>
      <c r="J395" s="1">
        <v>6</v>
      </c>
      <c r="K395" s="1">
        <v>7</v>
      </c>
      <c r="L395" s="1">
        <v>4</v>
      </c>
      <c r="M395" s="1">
        <v>72</v>
      </c>
      <c r="N395" s="5">
        <v>206.8</v>
      </c>
      <c r="O395" s="6">
        <v>42766.239999999998</v>
      </c>
      <c r="P395" s="5">
        <v>388.82300000000004</v>
      </c>
      <c r="Q395">
        <v>339.02730973074733</v>
      </c>
      <c r="R395" s="6">
        <v>107.04790000000001</v>
      </c>
      <c r="S395" s="6">
        <v>420.755</v>
      </c>
      <c r="T395" s="6">
        <v>6166.4466666666658</v>
      </c>
      <c r="U395" s="6">
        <v>1155.5555555555563</v>
      </c>
      <c r="V395" s="6">
        <f t="shared" si="21"/>
        <v>2.3155505344219049</v>
      </c>
      <c r="W395" s="6">
        <f t="shared" si="22"/>
        <v>2.5897519467831609</v>
      </c>
      <c r="X395" s="6">
        <v>2.5302346834174001</v>
      </c>
      <c r="Y395" s="6">
        <f t="shared" si="23"/>
        <v>2.0295781519914322</v>
      </c>
      <c r="Z395" s="6">
        <f t="shared" si="23"/>
        <v>2.6240292855736067</v>
      </c>
      <c r="AA395" s="6">
        <f t="shared" si="23"/>
        <v>3.7900349796578858</v>
      </c>
      <c r="AB395" s="6">
        <f t="shared" si="23"/>
        <v>3.0627908298594559</v>
      </c>
    </row>
    <row r="396" spans="1:28">
      <c r="A396" s="1">
        <v>71</v>
      </c>
      <c r="B396" s="1">
        <v>1</v>
      </c>
      <c r="C396" s="1">
        <v>0</v>
      </c>
      <c r="D396" s="1">
        <v>0</v>
      </c>
      <c r="E396" s="1">
        <v>0</v>
      </c>
      <c r="F396" s="1">
        <v>2</v>
      </c>
      <c r="G396" s="1">
        <v>6</v>
      </c>
      <c r="H396" s="1">
        <v>1</v>
      </c>
      <c r="I396" s="1">
        <v>2</v>
      </c>
      <c r="J396" s="1">
        <v>1</v>
      </c>
      <c r="K396" s="1">
        <v>1</v>
      </c>
      <c r="L396" s="1">
        <v>4</v>
      </c>
      <c r="M396" s="1">
        <v>72</v>
      </c>
      <c r="N396" s="5">
        <v>88.8</v>
      </c>
      <c r="O396" s="6">
        <v>7885.44</v>
      </c>
      <c r="P396" s="5">
        <v>496.04710399999976</v>
      </c>
      <c r="Q396">
        <v>603.40375647112137</v>
      </c>
      <c r="R396" s="6">
        <v>29.550700000000003</v>
      </c>
      <c r="S396" s="6">
        <v>469.68</v>
      </c>
      <c r="T396" s="6">
        <v>11924.189555555555</v>
      </c>
      <c r="U396" s="6">
        <v>2555.5555555555547</v>
      </c>
      <c r="V396" s="6">
        <f t="shared" si="21"/>
        <v>1.9484129657786009</v>
      </c>
      <c r="W396" s="6">
        <f t="shared" si="22"/>
        <v>2.6955229184981793</v>
      </c>
      <c r="X396" s="6">
        <v>2.7806080095340331</v>
      </c>
      <c r="Y396" s="6">
        <f t="shared" si="23"/>
        <v>1.4705677729511706</v>
      </c>
      <c r="Z396" s="6">
        <f t="shared" si="23"/>
        <v>2.6718020673696072</v>
      </c>
      <c r="AA396" s="6">
        <f t="shared" si="23"/>
        <v>4.0764288712751737</v>
      </c>
      <c r="AB396" s="6">
        <f t="shared" si="23"/>
        <v>3.4074853265782679</v>
      </c>
    </row>
    <row r="397" spans="1:28">
      <c r="A397" s="1">
        <v>72</v>
      </c>
      <c r="B397" s="1">
        <v>1</v>
      </c>
      <c r="C397" s="1">
        <v>1</v>
      </c>
      <c r="D397" s="1">
        <v>1</v>
      </c>
      <c r="E397" s="1">
        <v>0</v>
      </c>
      <c r="F397" s="1">
        <v>24</v>
      </c>
      <c r="G397" s="1">
        <v>18</v>
      </c>
      <c r="H397" s="1">
        <v>3</v>
      </c>
      <c r="I397" s="1">
        <v>2</v>
      </c>
      <c r="J397" s="1">
        <v>6</v>
      </c>
      <c r="K397" s="1">
        <v>7</v>
      </c>
      <c r="L397" s="1">
        <v>4</v>
      </c>
      <c r="M397" s="1">
        <v>72</v>
      </c>
      <c r="N397" s="5">
        <v>152.80000000000001</v>
      </c>
      <c r="O397" s="6">
        <v>23347.84</v>
      </c>
      <c r="P397" s="5">
        <v>495.83062399999972</v>
      </c>
      <c r="Q397">
        <v>666.46038022037271</v>
      </c>
      <c r="R397" s="6">
        <v>15.2646</v>
      </c>
      <c r="S397" s="6">
        <v>150.29759999999999</v>
      </c>
      <c r="T397" s="6">
        <v>7487.2908888888869</v>
      </c>
      <c r="U397" s="6">
        <v>3377.7777777777792</v>
      </c>
      <c r="V397" s="6">
        <f t="shared" si="21"/>
        <v>2.184123354239671</v>
      </c>
      <c r="W397" s="6">
        <f t="shared" si="22"/>
        <v>2.695333346601803</v>
      </c>
      <c r="X397" s="6">
        <v>2.8237743365509171</v>
      </c>
      <c r="Y397" s="6">
        <f t="shared" si="23"/>
        <v>1.1836854283484814</v>
      </c>
      <c r="Z397" s="6">
        <f t="shared" si="23"/>
        <v>2.1769520456895131</v>
      </c>
      <c r="AA397" s="6">
        <f t="shared" si="23"/>
        <v>3.8743247062394595</v>
      </c>
      <c r="AB397" s="6">
        <f t="shared" si="23"/>
        <v>3.5286310741694291</v>
      </c>
    </row>
    <row r="398" spans="1:28">
      <c r="A398" s="1">
        <v>73</v>
      </c>
      <c r="B398" s="1">
        <v>1</v>
      </c>
      <c r="C398" s="1">
        <v>1</v>
      </c>
      <c r="D398" s="1">
        <v>1</v>
      </c>
      <c r="E398" s="1">
        <v>0</v>
      </c>
      <c r="F398" s="1">
        <v>14</v>
      </c>
      <c r="G398" s="1">
        <v>6</v>
      </c>
      <c r="H398" s="1">
        <v>3</v>
      </c>
      <c r="I398" s="1">
        <v>2</v>
      </c>
      <c r="J398" s="1">
        <v>5</v>
      </c>
      <c r="K398" s="1">
        <v>5</v>
      </c>
      <c r="L398" s="1">
        <v>4</v>
      </c>
      <c r="M398" s="1">
        <v>72</v>
      </c>
      <c r="N398" s="5">
        <v>236.8</v>
      </c>
      <c r="O398" s="6">
        <v>56074.239999999998</v>
      </c>
      <c r="P398" s="5">
        <v>414.53399999999993</v>
      </c>
      <c r="Q398">
        <v>385.24784374610994</v>
      </c>
      <c r="R398" s="6">
        <v>120.1598</v>
      </c>
      <c r="S398" s="6">
        <v>665.38</v>
      </c>
      <c r="T398" s="6">
        <v>5398.891777777777</v>
      </c>
      <c r="U398" s="6">
        <v>1066.6666666666665</v>
      </c>
      <c r="V398" s="6">
        <f t="shared" si="21"/>
        <v>2.3743816980508821</v>
      </c>
      <c r="W398" s="6">
        <f t="shared" si="22"/>
        <v>2.617560157098151</v>
      </c>
      <c r="X398" s="6">
        <v>2.5857402166265717</v>
      </c>
      <c r="Y398" s="6">
        <f t="shared" si="23"/>
        <v>2.0797591967991687</v>
      </c>
      <c r="Z398" s="6">
        <f t="shared" si="23"/>
        <v>2.8230697427002562</v>
      </c>
      <c r="AA398" s="6">
        <f t="shared" si="23"/>
        <v>3.7323046220100471</v>
      </c>
      <c r="AB398" s="6">
        <f t="shared" si="23"/>
        <v>3.0280287236002437</v>
      </c>
    </row>
    <row r="399" spans="1:28">
      <c r="A399" s="1">
        <v>74</v>
      </c>
      <c r="B399" s="1">
        <v>1</v>
      </c>
      <c r="C399" s="1">
        <v>1</v>
      </c>
      <c r="D399" s="1">
        <v>1</v>
      </c>
      <c r="E399" s="1">
        <v>0</v>
      </c>
      <c r="F399" s="1">
        <v>13</v>
      </c>
      <c r="G399" s="1">
        <v>6</v>
      </c>
      <c r="H399" s="1">
        <v>3</v>
      </c>
      <c r="I399" s="1">
        <v>2</v>
      </c>
      <c r="J399" s="1">
        <v>5</v>
      </c>
      <c r="K399" s="1">
        <v>5</v>
      </c>
      <c r="L399" s="1">
        <v>4</v>
      </c>
      <c r="M399" s="1">
        <v>72</v>
      </c>
      <c r="N399" s="5">
        <v>278.8</v>
      </c>
      <c r="O399" s="6">
        <v>77729.440000000002</v>
      </c>
      <c r="P399" s="5">
        <v>1303.6192919999999</v>
      </c>
      <c r="Q399">
        <v>1303.6192919999999</v>
      </c>
      <c r="R399" s="6">
        <v>149.12340000000003</v>
      </c>
      <c r="S399" s="6">
        <v>147.16639999999998</v>
      </c>
      <c r="T399" s="6">
        <v>12893.085111111113</v>
      </c>
      <c r="U399" s="6">
        <v>4977.7777777777774</v>
      </c>
      <c r="V399" s="6">
        <f t="shared" si="21"/>
        <v>2.4452927694259716</v>
      </c>
      <c r="W399" s="6">
        <f t="shared" si="22"/>
        <v>3.1151507788774495</v>
      </c>
      <c r="X399" s="6">
        <v>3.1151507788774495</v>
      </c>
      <c r="Y399" s="6">
        <f t="shared" si="23"/>
        <v>2.173545796997602</v>
      </c>
      <c r="Z399" s="6">
        <f t="shared" si="23"/>
        <v>2.1678086662496434</v>
      </c>
      <c r="AA399" s="6">
        <f t="shared" si="23"/>
        <v>4.1103568495812368</v>
      </c>
      <c r="AB399" s="6">
        <f t="shared" si="23"/>
        <v>3.6970355045588192</v>
      </c>
    </row>
    <row r="400" spans="1:28">
      <c r="A400" s="1">
        <v>75</v>
      </c>
      <c r="B400" s="1">
        <v>0</v>
      </c>
      <c r="C400" s="1">
        <v>1</v>
      </c>
      <c r="D400" s="1">
        <v>0</v>
      </c>
      <c r="E400" s="1">
        <v>1</v>
      </c>
      <c r="F400" s="1">
        <v>6</v>
      </c>
      <c r="G400" s="1">
        <v>6</v>
      </c>
      <c r="H400" s="1">
        <v>1</v>
      </c>
      <c r="I400" s="1">
        <v>2</v>
      </c>
      <c r="J400" s="1">
        <v>2</v>
      </c>
      <c r="K400" s="1">
        <v>2</v>
      </c>
      <c r="L400" s="1">
        <v>4</v>
      </c>
      <c r="M400" s="1">
        <v>72</v>
      </c>
      <c r="N400" s="5">
        <v>28.8</v>
      </c>
      <c r="O400" s="6">
        <v>829.44</v>
      </c>
      <c r="P400" s="5">
        <v>337.40099999999995</v>
      </c>
      <c r="Q400">
        <v>256.26597658766315</v>
      </c>
      <c r="R400" s="6">
        <v>20.470220000000005</v>
      </c>
      <c r="S400" s="6">
        <v>72.80040000000001</v>
      </c>
      <c r="T400" s="6">
        <v>1174.6000888888896</v>
      </c>
      <c r="U400" s="6">
        <v>577.77777777777817</v>
      </c>
      <c r="V400" s="6">
        <f t="shared" si="21"/>
        <v>1.4593924877592308</v>
      </c>
      <c r="W400" s="6">
        <f t="shared" si="22"/>
        <v>2.5281463654310503</v>
      </c>
      <c r="X400" s="6">
        <v>2.408690950464083</v>
      </c>
      <c r="Y400" s="6">
        <f t="shared" si="23"/>
        <v>1.3111225101892567</v>
      </c>
      <c r="Z400" s="6">
        <f t="shared" si="23"/>
        <v>1.8621337655398988</v>
      </c>
      <c r="AA400" s="6">
        <f t="shared" si="23"/>
        <v>3.0698900293725546</v>
      </c>
      <c r="AB400" s="6">
        <f t="shared" si="23"/>
        <v>2.7617608341954747</v>
      </c>
    </row>
    <row r="401" spans="1:28">
      <c r="A401" s="1">
        <v>76</v>
      </c>
      <c r="B401" s="1">
        <v>1</v>
      </c>
      <c r="C401" s="1">
        <v>0</v>
      </c>
      <c r="D401" s="1">
        <v>0</v>
      </c>
      <c r="E401" s="1">
        <v>0</v>
      </c>
      <c r="F401" s="1">
        <v>1</v>
      </c>
      <c r="G401" s="1">
        <v>6</v>
      </c>
      <c r="H401" s="1">
        <v>1</v>
      </c>
      <c r="I401" s="1">
        <v>2</v>
      </c>
      <c r="J401" s="1">
        <v>1</v>
      </c>
      <c r="K401" s="1">
        <v>1</v>
      </c>
      <c r="L401" s="1">
        <v>4</v>
      </c>
      <c r="M401" s="1">
        <v>72</v>
      </c>
      <c r="N401" s="5">
        <v>156.80000000000001</v>
      </c>
      <c r="O401" s="6">
        <v>24586.240000000002</v>
      </c>
      <c r="P401" s="5">
        <v>465.95600000000002</v>
      </c>
      <c r="Q401">
        <v>487.58907425628536</v>
      </c>
      <c r="R401" s="6">
        <v>96.088700000000017</v>
      </c>
      <c r="S401" s="6">
        <v>487.29300000000001</v>
      </c>
      <c r="T401" s="6">
        <v>35243.796888888894</v>
      </c>
      <c r="U401" s="6">
        <v>9266.6666666666661</v>
      </c>
      <c r="V401" s="6">
        <f t="shared" si="21"/>
        <v>2.1953460583484197</v>
      </c>
      <c r="W401" s="6">
        <f t="shared" si="22"/>
        <v>2.6683449084080255</v>
      </c>
      <c r="X401" s="6">
        <v>2.6880539655202416</v>
      </c>
      <c r="Y401" s="6">
        <f t="shared" si="23"/>
        <v>1.9826723177809698</v>
      </c>
      <c r="Z401" s="6">
        <f t="shared" si="23"/>
        <v>2.6877901727537377</v>
      </c>
      <c r="AA401" s="6">
        <f t="shared" si="23"/>
        <v>4.5470826897248644</v>
      </c>
      <c r="AB401" s="6">
        <f t="shared" si="23"/>
        <v>3.9669235411984136</v>
      </c>
    </row>
    <row r="402" spans="1:28">
      <c r="A402" s="1">
        <v>77</v>
      </c>
      <c r="B402" s="1">
        <v>0</v>
      </c>
      <c r="C402" s="1">
        <v>0</v>
      </c>
      <c r="D402" s="1">
        <v>0</v>
      </c>
      <c r="E402" s="1">
        <v>1</v>
      </c>
      <c r="F402" s="1">
        <v>0</v>
      </c>
      <c r="G402" s="1">
        <v>0</v>
      </c>
      <c r="H402" s="1">
        <v>0</v>
      </c>
      <c r="I402" s="1">
        <v>2</v>
      </c>
      <c r="J402" s="1">
        <v>0</v>
      </c>
      <c r="K402" s="1">
        <v>0</v>
      </c>
      <c r="L402" s="1">
        <v>4</v>
      </c>
      <c r="M402" s="1">
        <v>72</v>
      </c>
      <c r="N402" s="5">
        <v>70.8</v>
      </c>
      <c r="O402" s="6">
        <v>5012.6400000000003</v>
      </c>
      <c r="P402" s="5">
        <v>311.69</v>
      </c>
      <c r="Q402">
        <v>219.63076940845457</v>
      </c>
      <c r="R402" s="6">
        <v>14.794919999999999</v>
      </c>
      <c r="S402" s="6">
        <v>913.9190000000001</v>
      </c>
      <c r="T402" s="6">
        <v>3445.4197777777772</v>
      </c>
      <c r="U402" s="6">
        <v>4200</v>
      </c>
      <c r="V402" s="6">
        <f t="shared" si="21"/>
        <v>1.8500332576897689</v>
      </c>
      <c r="W402" s="6">
        <f t="shared" si="22"/>
        <v>2.4937228689611968</v>
      </c>
      <c r="X402" s="6">
        <v>2.3416931829921195</v>
      </c>
      <c r="Y402" s="6">
        <f t="shared" si="23"/>
        <v>1.1701126211592077</v>
      </c>
      <c r="Z402" s="6">
        <f t="shared" si="23"/>
        <v>2.9609077062241136</v>
      </c>
      <c r="AA402" s="6">
        <f t="shared" si="23"/>
        <v>3.537242142373175</v>
      </c>
      <c r="AB402" s="6">
        <f t="shared" si="23"/>
        <v>3.6232492903979003</v>
      </c>
    </row>
    <row r="403" spans="1:28">
      <c r="A403" s="1">
        <v>78</v>
      </c>
      <c r="B403" s="1">
        <v>1</v>
      </c>
      <c r="C403" s="1">
        <v>0</v>
      </c>
      <c r="D403" s="1">
        <v>0</v>
      </c>
      <c r="E403" s="1">
        <v>1</v>
      </c>
      <c r="F403" s="1">
        <v>1</v>
      </c>
      <c r="G403" s="1">
        <v>6</v>
      </c>
      <c r="H403" s="1">
        <v>1</v>
      </c>
      <c r="I403" s="1">
        <v>2</v>
      </c>
      <c r="J403" s="1">
        <v>1</v>
      </c>
      <c r="K403" s="1">
        <v>1</v>
      </c>
      <c r="L403" s="1">
        <v>4</v>
      </c>
      <c r="M403" s="1">
        <v>72</v>
      </c>
      <c r="N403" s="5">
        <v>70.8</v>
      </c>
      <c r="O403" s="6">
        <v>5012.6400000000003</v>
      </c>
      <c r="P403" s="5">
        <v>337.40099999999995</v>
      </c>
      <c r="Q403">
        <v>256.26597658766315</v>
      </c>
      <c r="R403" s="6">
        <v>7.7888599999999997</v>
      </c>
      <c r="S403" s="6">
        <v>1416.8680000000002</v>
      </c>
      <c r="T403" s="6">
        <v>1970.6677777777772</v>
      </c>
      <c r="U403" s="6">
        <v>2177.7777777777769</v>
      </c>
      <c r="V403" s="6">
        <f t="shared" si="21"/>
        <v>1.8500332576897689</v>
      </c>
      <c r="W403" s="6">
        <f t="shared" si="22"/>
        <v>2.5281463654310503</v>
      </c>
      <c r="X403" s="6">
        <v>2.408690950464083</v>
      </c>
      <c r="Y403" s="6">
        <f t="shared" si="23"/>
        <v>0.89147389773168895</v>
      </c>
      <c r="Z403" s="6">
        <f t="shared" si="23"/>
        <v>3.1513293918551479</v>
      </c>
      <c r="AA403" s="6">
        <f t="shared" si="23"/>
        <v>3.294613415533119</v>
      </c>
      <c r="AB403" s="6">
        <f t="shared" si="23"/>
        <v>3.3380135619171512</v>
      </c>
    </row>
    <row r="404" spans="1:28">
      <c r="A404" s="1">
        <v>79</v>
      </c>
      <c r="B404" s="1">
        <v>1</v>
      </c>
      <c r="C404" s="1">
        <v>1</v>
      </c>
      <c r="D404" s="1">
        <v>1</v>
      </c>
      <c r="E404" s="1">
        <v>0</v>
      </c>
      <c r="F404" s="1">
        <v>16</v>
      </c>
      <c r="G404" s="1">
        <v>6</v>
      </c>
      <c r="H404" s="1">
        <v>3</v>
      </c>
      <c r="I404" s="1">
        <v>2</v>
      </c>
      <c r="J404" s="1">
        <v>5</v>
      </c>
      <c r="K404" s="1">
        <v>6</v>
      </c>
      <c r="L404" s="1">
        <v>4</v>
      </c>
      <c r="M404" s="1">
        <v>72</v>
      </c>
      <c r="N404" s="5">
        <v>112.8</v>
      </c>
      <c r="O404" s="6">
        <v>12723.84</v>
      </c>
      <c r="P404" s="5">
        <v>440.245</v>
      </c>
      <c r="Q404">
        <v>434.75436086238545</v>
      </c>
      <c r="R404" s="6">
        <v>84.346699999999998</v>
      </c>
      <c r="S404" s="6">
        <v>242.66800000000001</v>
      </c>
      <c r="T404" s="6">
        <v>20098.671777777778</v>
      </c>
      <c r="U404" s="6">
        <v>8511.1111111111113</v>
      </c>
      <c r="V404" s="6">
        <f t="shared" si="21"/>
        <v>2.0523090996473234</v>
      </c>
      <c r="W404" s="6">
        <f t="shared" si="22"/>
        <v>2.6436944322492169</v>
      </c>
      <c r="X404" s="6">
        <v>2.6382439469461056</v>
      </c>
      <c r="Y404" s="6">
        <f t="shared" si="23"/>
        <v>1.9260680958187328</v>
      </c>
      <c r="Z404" s="6">
        <f t="shared" si="23"/>
        <v>2.3850125108202365</v>
      </c>
      <c r="AA404" s="6">
        <f t="shared" si="23"/>
        <v>4.30316735798558</v>
      </c>
      <c r="AB404" s="6">
        <f t="shared" si="23"/>
        <v>3.9299862601932789</v>
      </c>
    </row>
    <row r="405" spans="1:28">
      <c r="A405" s="1">
        <v>80</v>
      </c>
      <c r="B405" s="1">
        <v>1</v>
      </c>
      <c r="C405" s="1">
        <v>1</v>
      </c>
      <c r="D405" s="1">
        <v>1</v>
      </c>
      <c r="E405" s="1">
        <v>1</v>
      </c>
      <c r="F405" s="1">
        <v>23</v>
      </c>
      <c r="G405" s="1">
        <v>18</v>
      </c>
      <c r="H405" s="1">
        <v>3</v>
      </c>
      <c r="I405" s="1">
        <v>2</v>
      </c>
      <c r="J405" s="1">
        <v>6</v>
      </c>
      <c r="K405" s="1">
        <v>7</v>
      </c>
      <c r="L405" s="1">
        <v>4</v>
      </c>
      <c r="M405" s="1">
        <v>72</v>
      </c>
      <c r="N405" s="5">
        <v>116.8</v>
      </c>
      <c r="O405" s="6">
        <v>13642.24</v>
      </c>
      <c r="P405" s="5">
        <v>440.245</v>
      </c>
      <c r="Q405">
        <v>434.75436086238545</v>
      </c>
      <c r="R405" s="6">
        <v>110.5705</v>
      </c>
      <c r="S405" s="6">
        <v>350.303</v>
      </c>
      <c r="T405" s="6">
        <v>1081.8037777777786</v>
      </c>
      <c r="U405" s="6">
        <v>1044.444444444445</v>
      </c>
      <c r="V405" s="6">
        <f t="shared" si="21"/>
        <v>2.0674428427763805</v>
      </c>
      <c r="W405" s="6">
        <f t="shared" si="22"/>
        <v>2.6436944322492169</v>
      </c>
      <c r="X405" s="6">
        <v>2.6382439469461056</v>
      </c>
      <c r="Y405" s="6">
        <f t="shared" si="23"/>
        <v>2.0436392734774396</v>
      </c>
      <c r="Z405" s="6">
        <f t="shared" si="23"/>
        <v>2.5444438566378942</v>
      </c>
      <c r="AA405" s="6">
        <f t="shared" si="23"/>
        <v>3.034148493712792</v>
      </c>
      <c r="AB405" s="6">
        <f t="shared" si="23"/>
        <v>3.018885344160374</v>
      </c>
    </row>
    <row r="406" spans="1:28">
      <c r="A406" s="1">
        <v>81</v>
      </c>
      <c r="B406" s="1">
        <v>1</v>
      </c>
      <c r="C406" s="1">
        <v>1</v>
      </c>
      <c r="D406" s="1">
        <v>0</v>
      </c>
      <c r="E406" s="1">
        <v>0</v>
      </c>
      <c r="F406" s="1">
        <v>7</v>
      </c>
      <c r="G406" s="1">
        <v>6</v>
      </c>
      <c r="H406" s="1">
        <v>2</v>
      </c>
      <c r="I406" s="1">
        <v>2</v>
      </c>
      <c r="J406" s="1">
        <v>3</v>
      </c>
      <c r="K406" s="1">
        <v>3</v>
      </c>
      <c r="L406" s="1">
        <v>4</v>
      </c>
      <c r="M406" s="1">
        <v>72</v>
      </c>
      <c r="N406" s="5">
        <v>218.8</v>
      </c>
      <c r="O406" s="6">
        <v>47873.440000000002</v>
      </c>
      <c r="P406" s="5">
        <v>1472.4536000000007</v>
      </c>
      <c r="Q406">
        <v>1704.0684759423807</v>
      </c>
      <c r="R406" s="6">
        <v>118.39850000000001</v>
      </c>
      <c r="S406" s="6">
        <v>57.144399999999997</v>
      </c>
      <c r="T406" s="6">
        <v>32515.228444444438</v>
      </c>
      <c r="U406" s="6">
        <v>13355.555555555557</v>
      </c>
      <c r="V406" s="6">
        <f t="shared" si="21"/>
        <v>2.3400473176613934</v>
      </c>
      <c r="W406" s="6">
        <f t="shared" si="22"/>
        <v>3.168041618174616</v>
      </c>
      <c r="X406" s="6">
        <v>3.2314870423827959</v>
      </c>
      <c r="Y406" s="6">
        <f t="shared" si="23"/>
        <v>2.0733462003104699</v>
      </c>
      <c r="Z406" s="6">
        <f t="shared" si="23"/>
        <v>1.7569736771064195</v>
      </c>
      <c r="AA406" s="6">
        <f t="shared" si="23"/>
        <v>4.5120868096068154</v>
      </c>
      <c r="AB406" s="6">
        <f t="shared" si="23"/>
        <v>4.1256619582273961</v>
      </c>
    </row>
    <row r="407" spans="1:28">
      <c r="A407" s="1">
        <v>82</v>
      </c>
      <c r="B407" s="1">
        <v>1</v>
      </c>
      <c r="C407" s="1">
        <v>1</v>
      </c>
      <c r="D407" s="1">
        <v>1</v>
      </c>
      <c r="E407" s="1">
        <v>1</v>
      </c>
      <c r="F407" s="1">
        <v>21</v>
      </c>
      <c r="G407" s="1">
        <v>18</v>
      </c>
      <c r="H407" s="1">
        <v>3</v>
      </c>
      <c r="I407" s="1">
        <v>2</v>
      </c>
      <c r="J407" s="1">
        <v>6</v>
      </c>
      <c r="K407" s="1">
        <v>7</v>
      </c>
      <c r="L407" s="1">
        <v>4</v>
      </c>
      <c r="M407" s="1">
        <v>72</v>
      </c>
      <c r="N407" s="5">
        <v>202.8</v>
      </c>
      <c r="O407" s="6">
        <v>41127.839999999997</v>
      </c>
      <c r="P407" s="5">
        <v>946.04681600000004</v>
      </c>
      <c r="Q407">
        <v>1299.0792401981755</v>
      </c>
      <c r="R407" s="6">
        <v>186.11070000000001</v>
      </c>
      <c r="S407" s="6">
        <v>58.71</v>
      </c>
      <c r="T407" s="6">
        <v>16584.007777777773</v>
      </c>
      <c r="U407" s="6">
        <v>7266.666666666667</v>
      </c>
      <c r="V407" s="6">
        <f t="shared" si="21"/>
        <v>2.3070679506612985</v>
      </c>
      <c r="W407" s="6">
        <f t="shared" si="22"/>
        <v>2.9759126283969137</v>
      </c>
      <c r="X407" s="6">
        <v>3.1136356426290135</v>
      </c>
      <c r="Y407" s="6">
        <f t="shared" si="23"/>
        <v>2.2697713425954151</v>
      </c>
      <c r="Z407" s="6">
        <f t="shared" si="23"/>
        <v>1.7687120803776637</v>
      </c>
      <c r="AA407" s="6">
        <f t="shared" si="23"/>
        <v>4.219689492766773</v>
      </c>
      <c r="AB407" s="6">
        <f t="shared" si="23"/>
        <v>3.8613352388849425</v>
      </c>
    </row>
    <row r="408" spans="1:28">
      <c r="A408" s="1">
        <v>83</v>
      </c>
      <c r="B408" s="1">
        <v>1</v>
      </c>
      <c r="C408" s="1">
        <v>1</v>
      </c>
      <c r="D408" s="1">
        <v>1</v>
      </c>
      <c r="E408" s="1">
        <v>1</v>
      </c>
      <c r="F408" s="1">
        <v>18</v>
      </c>
      <c r="G408" s="1">
        <v>6</v>
      </c>
      <c r="H408" s="1">
        <v>3</v>
      </c>
      <c r="I408" s="1">
        <v>2</v>
      </c>
      <c r="J408" s="1">
        <v>5</v>
      </c>
      <c r="K408" s="1">
        <v>6</v>
      </c>
      <c r="L408" s="1">
        <v>4</v>
      </c>
      <c r="M408" s="1">
        <v>72</v>
      </c>
      <c r="N408" s="5">
        <v>42.8</v>
      </c>
      <c r="O408" s="6">
        <v>1831.84</v>
      </c>
      <c r="P408" s="5">
        <v>311.69</v>
      </c>
      <c r="Q408">
        <v>219.63076940845457</v>
      </c>
      <c r="R408" s="6">
        <v>22.544640000000001</v>
      </c>
      <c r="S408" s="6">
        <v>154.99440000000001</v>
      </c>
      <c r="T408" s="6">
        <v>1544.3531111111108</v>
      </c>
      <c r="U408" s="6">
        <v>1355.5555555555557</v>
      </c>
      <c r="V408" s="6">
        <f t="shared" si="21"/>
        <v>1.631443769013172</v>
      </c>
      <c r="W408" s="6">
        <f t="shared" si="22"/>
        <v>2.4937228689611968</v>
      </c>
      <c r="X408" s="6">
        <v>2.3416931829921195</v>
      </c>
      <c r="Y408" s="6">
        <f t="shared" si="23"/>
        <v>1.3530433047451944</v>
      </c>
      <c r="Z408" s="6">
        <f t="shared" si="23"/>
        <v>2.1903160072474948</v>
      </c>
      <c r="AA408" s="6">
        <f t="shared" si="23"/>
        <v>3.1887466073169177</v>
      </c>
      <c r="AB408" s="6">
        <f t="shared" si="23"/>
        <v>3.1321173212354232</v>
      </c>
    </row>
    <row r="409" spans="1:28">
      <c r="A409" s="1">
        <v>84</v>
      </c>
      <c r="B409" s="1">
        <v>1</v>
      </c>
      <c r="C409" s="1">
        <v>1</v>
      </c>
      <c r="D409" s="1">
        <v>1</v>
      </c>
      <c r="E409" s="1">
        <v>1</v>
      </c>
      <c r="F409" s="1">
        <v>24</v>
      </c>
      <c r="G409" s="1">
        <v>18</v>
      </c>
      <c r="H409" s="1">
        <v>3</v>
      </c>
      <c r="I409" s="1">
        <v>2</v>
      </c>
      <c r="J409" s="1">
        <v>6</v>
      </c>
      <c r="K409" s="1">
        <v>7</v>
      </c>
      <c r="L409" s="1">
        <v>4</v>
      </c>
      <c r="M409" s="1">
        <v>72</v>
      </c>
      <c r="N409" s="5">
        <v>56.8</v>
      </c>
      <c r="O409" s="6">
        <v>3226.24</v>
      </c>
      <c r="P409" s="5">
        <v>311.69</v>
      </c>
      <c r="Q409">
        <v>219.63076940845457</v>
      </c>
      <c r="R409" s="6">
        <v>24.18852</v>
      </c>
      <c r="S409" s="6">
        <v>30.529200000000003</v>
      </c>
      <c r="T409" s="6">
        <v>1151.2912444444446</v>
      </c>
      <c r="U409" s="6">
        <v>555.55555555555611</v>
      </c>
      <c r="V409" s="6">
        <f t="shared" si="21"/>
        <v>1.7543483357110188</v>
      </c>
      <c r="W409" s="6">
        <f t="shared" si="22"/>
        <v>2.4937228689611968</v>
      </c>
      <c r="X409" s="6">
        <v>2.3416931829921195</v>
      </c>
      <c r="Y409" s="6">
        <f t="shared" si="23"/>
        <v>1.3836092964107982</v>
      </c>
      <c r="Z409" s="6">
        <f t="shared" si="23"/>
        <v>1.4847154240124627</v>
      </c>
      <c r="AA409" s="6">
        <f t="shared" si="23"/>
        <v>3.0611852018705115</v>
      </c>
      <c r="AB409" s="6">
        <f t="shared" si="23"/>
        <v>2.7447274948966944</v>
      </c>
    </row>
    <row r="410" spans="1:28">
      <c r="A410" s="1">
        <v>85</v>
      </c>
      <c r="B410" s="1">
        <v>1</v>
      </c>
      <c r="C410" s="1">
        <v>1</v>
      </c>
      <c r="D410" s="1">
        <v>1</v>
      </c>
      <c r="E410" s="1">
        <v>1</v>
      </c>
      <c r="F410" s="1">
        <v>20</v>
      </c>
      <c r="G410" s="1">
        <v>18</v>
      </c>
      <c r="H410" s="1">
        <v>3</v>
      </c>
      <c r="I410" s="1">
        <v>2</v>
      </c>
      <c r="J410" s="1">
        <v>6</v>
      </c>
      <c r="K410" s="1">
        <v>7</v>
      </c>
      <c r="L410" s="1">
        <v>4</v>
      </c>
      <c r="M410" s="1">
        <v>72</v>
      </c>
      <c r="N410" s="5">
        <v>176.8</v>
      </c>
      <c r="O410" s="6">
        <v>31258.240000000002</v>
      </c>
      <c r="P410" s="5">
        <v>1058.8173439999991</v>
      </c>
      <c r="Q410">
        <v>1394.6532613167849</v>
      </c>
      <c r="R410" s="6">
        <v>61.097540000000009</v>
      </c>
      <c r="S410" s="6">
        <v>702.56299999999999</v>
      </c>
      <c r="T410" s="6">
        <v>3927.0136444444433</v>
      </c>
      <c r="U410" s="6">
        <v>1311.1111111111102</v>
      </c>
      <c r="V410" s="6">
        <f t="shared" si="21"/>
        <v>2.2474822606770544</v>
      </c>
      <c r="W410" s="6">
        <f t="shared" si="22"/>
        <v>3.0248210466657679</v>
      </c>
      <c r="X410" s="6">
        <v>3.1444662467388902</v>
      </c>
      <c r="Y410" s="6">
        <f t="shared" si="23"/>
        <v>1.7860237243843999</v>
      </c>
      <c r="Z410" s="6">
        <f t="shared" si="23"/>
        <v>2.8466852742363202</v>
      </c>
      <c r="AA410" s="6">
        <f t="shared" si="23"/>
        <v>3.5940624102331471</v>
      </c>
      <c r="AB410" s="6">
        <f t="shared" si="23"/>
        <v>3.1176394978668003</v>
      </c>
    </row>
    <row r="411" spans="1:28">
      <c r="A411" s="1">
        <v>86</v>
      </c>
      <c r="B411" s="1">
        <v>1</v>
      </c>
      <c r="C411" s="1">
        <v>1</v>
      </c>
      <c r="D411" s="1">
        <v>1</v>
      </c>
      <c r="E411" s="1">
        <v>1</v>
      </c>
      <c r="F411" s="1">
        <v>17</v>
      </c>
      <c r="G411" s="1">
        <v>6</v>
      </c>
      <c r="H411" s="1">
        <v>3</v>
      </c>
      <c r="I411" s="1">
        <v>2</v>
      </c>
      <c r="J411" s="1">
        <v>5</v>
      </c>
      <c r="K411" s="1">
        <v>6</v>
      </c>
      <c r="L411" s="1">
        <v>4</v>
      </c>
      <c r="M411" s="1">
        <v>72</v>
      </c>
      <c r="N411" s="5">
        <v>40.799999999999997</v>
      </c>
      <c r="O411" s="6">
        <v>1664.64</v>
      </c>
      <c r="P411" s="5">
        <v>285.97899999999998</v>
      </c>
      <c r="Q411">
        <v>186.09222604693718</v>
      </c>
      <c r="R411" s="6">
        <v>9.7458600000000004</v>
      </c>
      <c r="S411" s="6">
        <v>109.592</v>
      </c>
      <c r="T411" s="6">
        <v>2342.4587999999994</v>
      </c>
      <c r="U411" s="6">
        <v>1400</v>
      </c>
      <c r="V411" s="6">
        <f t="shared" si="21"/>
        <v>1.61066016308988</v>
      </c>
      <c r="W411" s="6">
        <f t="shared" si="22"/>
        <v>2.4563341432025805</v>
      </c>
      <c r="X411" s="6">
        <v>2.2697282309736666</v>
      </c>
      <c r="Y411" s="6">
        <f t="shared" si="23"/>
        <v>0.98882016841771869</v>
      </c>
      <c r="Z411" s="6">
        <f t="shared" si="23"/>
        <v>2.0397788526642016</v>
      </c>
      <c r="AA411" s="6">
        <f t="shared" si="23"/>
        <v>3.3696719611009014</v>
      </c>
      <c r="AB411" s="6">
        <f t="shared" si="23"/>
        <v>3.1461280356782382</v>
      </c>
    </row>
    <row r="412" spans="1:28">
      <c r="A412" s="1">
        <v>87</v>
      </c>
      <c r="B412" s="1">
        <v>0</v>
      </c>
      <c r="C412" s="1">
        <v>1</v>
      </c>
      <c r="D412" s="1">
        <v>1</v>
      </c>
      <c r="E412" s="1">
        <v>0</v>
      </c>
      <c r="F412" s="1">
        <v>12</v>
      </c>
      <c r="G412" s="1">
        <v>6</v>
      </c>
      <c r="H412" s="1">
        <v>2</v>
      </c>
      <c r="I412" s="1">
        <v>2</v>
      </c>
      <c r="J412" s="1">
        <v>4</v>
      </c>
      <c r="K412" s="1">
        <v>4</v>
      </c>
      <c r="L412" s="1">
        <v>4</v>
      </c>
      <c r="M412" s="1">
        <v>72</v>
      </c>
      <c r="N412" s="5">
        <v>68.8</v>
      </c>
      <c r="O412" s="6">
        <v>4733.4399999999996</v>
      </c>
      <c r="P412" s="5">
        <v>311.69</v>
      </c>
      <c r="Q412">
        <v>219.63076940845457</v>
      </c>
      <c r="R412" s="6">
        <v>16.869340000000001</v>
      </c>
      <c r="S412" s="6">
        <v>165.56220000000002</v>
      </c>
      <c r="T412" s="6">
        <v>4016.8712888888886</v>
      </c>
      <c r="U412" s="6">
        <v>1422.2222222222215</v>
      </c>
      <c r="V412" s="6">
        <f t="shared" si="21"/>
        <v>1.8375884382355112</v>
      </c>
      <c r="W412" s="6">
        <f t="shared" si="22"/>
        <v>2.4937228689611968</v>
      </c>
      <c r="X412" s="6">
        <v>2.3416931829921195</v>
      </c>
      <c r="Y412" s="6">
        <f t="shared" si="23"/>
        <v>1.2270980914827141</v>
      </c>
      <c r="Z412" s="6">
        <f t="shared" si="23"/>
        <v>2.2189611886970249</v>
      </c>
      <c r="AA412" s="6">
        <f t="shared" si="23"/>
        <v>3.6038879160182353</v>
      </c>
      <c r="AB412" s="6">
        <f t="shared" si="23"/>
        <v>3.1529674602085431</v>
      </c>
    </row>
    <row r="413" spans="1:28">
      <c r="A413" s="1">
        <v>88</v>
      </c>
      <c r="B413" s="1">
        <v>1</v>
      </c>
      <c r="C413" s="1">
        <v>1</v>
      </c>
      <c r="D413" s="1">
        <v>1</v>
      </c>
      <c r="E413" s="1">
        <v>1</v>
      </c>
      <c r="F413" s="1">
        <v>15</v>
      </c>
      <c r="G413" s="1">
        <v>6</v>
      </c>
      <c r="H413" s="1">
        <v>3</v>
      </c>
      <c r="I413" s="1">
        <v>2</v>
      </c>
      <c r="J413" s="1">
        <v>5</v>
      </c>
      <c r="K413" s="1">
        <v>5</v>
      </c>
      <c r="L413" s="1">
        <v>4</v>
      </c>
      <c r="M413" s="1">
        <v>72</v>
      </c>
      <c r="N413" s="5">
        <v>38.799999999999997</v>
      </c>
      <c r="O413" s="6">
        <v>1505.44</v>
      </c>
      <c r="P413" s="5">
        <v>337.40099999999995</v>
      </c>
      <c r="Q413">
        <v>256.26597658766315</v>
      </c>
      <c r="R413" s="6">
        <v>3.5226000000000002</v>
      </c>
      <c r="S413" s="6">
        <v>608.62700000000007</v>
      </c>
      <c r="T413" s="6">
        <v>3066.8310222222212</v>
      </c>
      <c r="U413" s="6">
        <v>1488.8888888888882</v>
      </c>
      <c r="V413" s="6">
        <f t="shared" si="21"/>
        <v>1.5888317255942073</v>
      </c>
      <c r="W413" s="6">
        <f t="shared" si="22"/>
        <v>2.5281463654310503</v>
      </c>
      <c r="X413" s="6">
        <v>2.408690950464083</v>
      </c>
      <c r="Y413" s="6">
        <f t="shared" si="23"/>
        <v>0.54686333076130722</v>
      </c>
      <c r="Z413" s="6">
        <f t="shared" si="23"/>
        <v>2.7843512146848388</v>
      </c>
      <c r="AA413" s="6">
        <f t="shared" si="23"/>
        <v>3.4866898476687753</v>
      </c>
      <c r="AB413" s="6">
        <f t="shared" si="23"/>
        <v>3.1728622889254825</v>
      </c>
    </row>
    <row r="414" spans="1:28">
      <c r="A414" s="1">
        <v>89</v>
      </c>
      <c r="B414" s="1">
        <v>1</v>
      </c>
      <c r="C414" s="1">
        <v>0</v>
      </c>
      <c r="D414" s="1">
        <v>0</v>
      </c>
      <c r="E414" s="1">
        <v>0</v>
      </c>
      <c r="F414" s="1">
        <v>3</v>
      </c>
      <c r="G414" s="1">
        <v>6</v>
      </c>
      <c r="H414" s="1">
        <v>1</v>
      </c>
      <c r="I414" s="1">
        <v>2</v>
      </c>
      <c r="J414" s="1">
        <v>1</v>
      </c>
      <c r="K414" s="1">
        <v>1</v>
      </c>
      <c r="L414" s="1">
        <v>4</v>
      </c>
      <c r="M414" s="1">
        <v>72</v>
      </c>
      <c r="N414" s="5">
        <v>464.8</v>
      </c>
      <c r="O414" s="6">
        <v>216039.04000000001</v>
      </c>
      <c r="P414" s="5">
        <v>465.95600000000002</v>
      </c>
      <c r="Q414">
        <v>487.58907425628536</v>
      </c>
      <c r="R414" s="6">
        <v>8.8064999999999998</v>
      </c>
      <c r="S414" s="6">
        <v>342.47500000000002</v>
      </c>
      <c r="T414" s="6">
        <v>16135.216844444445</v>
      </c>
      <c r="U414" s="6">
        <v>9822.2222222222226</v>
      </c>
      <c r="V414" s="6">
        <f t="shared" si="21"/>
        <v>2.6672661193822744</v>
      </c>
      <c r="W414" s="6">
        <f t="shared" si="22"/>
        <v>2.6683449084080255</v>
      </c>
      <c r="X414" s="6">
        <v>2.6880539655202416</v>
      </c>
      <c r="Y414" s="6">
        <f t="shared" si="23"/>
        <v>0.94480333943334482</v>
      </c>
      <c r="Z414" s="6">
        <f t="shared" si="23"/>
        <v>2.5346288743442957</v>
      </c>
      <c r="AA414" s="6">
        <f t="shared" si="23"/>
        <v>4.2077748063505735</v>
      </c>
      <c r="AB414" s="6">
        <f t="shared" si="23"/>
        <v>3.9922097555737484</v>
      </c>
    </row>
    <row r="415" spans="1:28">
      <c r="A415" s="1">
        <v>90</v>
      </c>
      <c r="B415" s="1">
        <v>1</v>
      </c>
      <c r="C415" s="1">
        <v>1</v>
      </c>
      <c r="D415" s="1">
        <v>1</v>
      </c>
      <c r="E415" s="1">
        <v>1</v>
      </c>
      <c r="F415" s="1">
        <v>16</v>
      </c>
      <c r="G415" s="1">
        <v>6</v>
      </c>
      <c r="H415" s="1">
        <v>3</v>
      </c>
      <c r="I415" s="1">
        <v>2</v>
      </c>
      <c r="J415" s="1">
        <v>5</v>
      </c>
      <c r="K415" s="1">
        <v>6</v>
      </c>
      <c r="L415" s="1">
        <v>4</v>
      </c>
      <c r="M415" s="1">
        <v>72</v>
      </c>
      <c r="N415" s="5">
        <v>48.8</v>
      </c>
      <c r="O415" s="6">
        <v>2381.44</v>
      </c>
      <c r="P415" s="5">
        <v>337.40099999999995</v>
      </c>
      <c r="Q415">
        <v>256.26597658766315</v>
      </c>
      <c r="R415" s="6">
        <v>3.2094800000000001</v>
      </c>
      <c r="S415" s="6">
        <v>279.851</v>
      </c>
      <c r="T415" s="6">
        <v>1367.0294222222217</v>
      </c>
      <c r="U415" s="6">
        <v>288.88888888888869</v>
      </c>
      <c r="V415" s="6">
        <f t="shared" si="21"/>
        <v>1.6884198220027107</v>
      </c>
      <c r="W415" s="6">
        <f t="shared" si="22"/>
        <v>2.5281463654310503</v>
      </c>
      <c r="X415" s="6">
        <v>2.408690950464083</v>
      </c>
      <c r="Y415" s="6">
        <f t="shared" si="23"/>
        <v>0.50643467370569906</v>
      </c>
      <c r="Z415" s="6">
        <f t="shared" si="23"/>
        <v>2.4469268631230632</v>
      </c>
      <c r="AA415" s="6">
        <f t="shared" si="23"/>
        <v>3.1357778618767083</v>
      </c>
      <c r="AB415" s="6">
        <f t="shared" si="23"/>
        <v>2.460730838531493</v>
      </c>
    </row>
    <row r="416" spans="1:28">
      <c r="A416" s="1">
        <v>91</v>
      </c>
      <c r="B416" s="1">
        <v>1</v>
      </c>
      <c r="C416" s="1">
        <v>1</v>
      </c>
      <c r="D416" s="1">
        <v>1</v>
      </c>
      <c r="E416" s="1">
        <v>0</v>
      </c>
      <c r="F416" s="1">
        <v>22</v>
      </c>
      <c r="G416" s="1">
        <v>18</v>
      </c>
      <c r="H416" s="1">
        <v>3</v>
      </c>
      <c r="I416" s="1">
        <v>2</v>
      </c>
      <c r="J416" s="1">
        <v>6</v>
      </c>
      <c r="K416" s="1">
        <v>7</v>
      </c>
      <c r="L416" s="1">
        <v>4</v>
      </c>
      <c r="M416" s="1">
        <v>72</v>
      </c>
      <c r="N416" s="5">
        <v>304.8</v>
      </c>
      <c r="O416" s="6">
        <v>92903.039999999994</v>
      </c>
      <c r="P416" s="5">
        <v>2199.7261760000001</v>
      </c>
      <c r="Q416">
        <v>2170.5578066326261</v>
      </c>
      <c r="R416" s="6">
        <v>140.904</v>
      </c>
      <c r="S416" s="6">
        <v>81.411200000000008</v>
      </c>
      <c r="T416" s="6">
        <v>5578.1529777777778</v>
      </c>
      <c r="U416" s="6">
        <v>1555.5555555555554</v>
      </c>
      <c r="V416" s="6">
        <f t="shared" si="21"/>
        <v>2.4840149626675627</v>
      </c>
      <c r="W416" s="6">
        <f t="shared" si="22"/>
        <v>3.3423686227978617</v>
      </c>
      <c r="X416" s="6">
        <v>3.3365713565268322</v>
      </c>
      <c r="Y416" s="6">
        <f t="shared" si="23"/>
        <v>2.1489233220892694</v>
      </c>
      <c r="Z416" s="6">
        <f t="shared" si="23"/>
        <v>1.9106841562847439</v>
      </c>
      <c r="AA416" s="6">
        <f t="shared" si="23"/>
        <v>3.7464904203806819</v>
      </c>
      <c r="AB416" s="6">
        <f t="shared" si="23"/>
        <v>3.191885526238913</v>
      </c>
    </row>
    <row r="417" spans="1:28">
      <c r="A417" s="1">
        <v>92</v>
      </c>
      <c r="B417" s="1">
        <v>1</v>
      </c>
      <c r="C417" s="1">
        <v>1</v>
      </c>
      <c r="D417" s="1">
        <v>0</v>
      </c>
      <c r="E417" s="1">
        <v>1</v>
      </c>
      <c r="F417" s="1">
        <v>7</v>
      </c>
      <c r="G417" s="1">
        <v>6</v>
      </c>
      <c r="H417" s="1">
        <v>2</v>
      </c>
      <c r="I417" s="1">
        <v>2</v>
      </c>
      <c r="J417" s="1">
        <v>3</v>
      </c>
      <c r="K417" s="1">
        <v>3</v>
      </c>
      <c r="L417" s="1">
        <v>4</v>
      </c>
      <c r="M417" s="1">
        <v>72</v>
      </c>
      <c r="N417" s="5">
        <v>192.8</v>
      </c>
      <c r="O417" s="6">
        <v>37171.839999999997</v>
      </c>
      <c r="P417" s="5">
        <v>3127.864544</v>
      </c>
      <c r="Q417">
        <v>2700.1404933007957</v>
      </c>
      <c r="R417" s="6">
        <v>158.71270000000001</v>
      </c>
      <c r="S417" s="6">
        <v>94.327400000000011</v>
      </c>
      <c r="T417" s="6">
        <v>2479.0984888888888</v>
      </c>
      <c r="U417" s="6">
        <v>1400</v>
      </c>
      <c r="V417" s="6">
        <f t="shared" si="21"/>
        <v>2.2851070295668121</v>
      </c>
      <c r="W417" s="6">
        <f t="shared" si="22"/>
        <v>3.4952479371412863</v>
      </c>
      <c r="X417" s="6">
        <v>3.4313863618915348</v>
      </c>
      <c r="Y417" s="6">
        <f t="shared" si="23"/>
        <v>2.2006116798691573</v>
      </c>
      <c r="Z417" s="6">
        <f t="shared" si="23"/>
        <v>1.9746378638968507</v>
      </c>
      <c r="AA417" s="6">
        <f t="shared" si="23"/>
        <v>3.3942937806328159</v>
      </c>
      <c r="AB417" s="6">
        <f t="shared" si="23"/>
        <v>3.1461280356782382</v>
      </c>
    </row>
    <row r="418" spans="1:28">
      <c r="A418" s="1">
        <v>93</v>
      </c>
      <c r="B418" s="1">
        <v>0</v>
      </c>
      <c r="C418" s="1">
        <v>1</v>
      </c>
      <c r="D418" s="1">
        <v>1</v>
      </c>
      <c r="E418" s="1">
        <v>1</v>
      </c>
      <c r="F418" s="1">
        <v>11</v>
      </c>
      <c r="G418" s="1">
        <v>6</v>
      </c>
      <c r="H418" s="1">
        <v>2</v>
      </c>
      <c r="I418" s="1">
        <v>2</v>
      </c>
      <c r="J418" s="1">
        <v>4</v>
      </c>
      <c r="K418" s="1">
        <v>4</v>
      </c>
      <c r="L418" s="1">
        <v>4</v>
      </c>
      <c r="M418" s="1">
        <v>72</v>
      </c>
      <c r="N418" s="5">
        <v>446.8</v>
      </c>
      <c r="O418" s="6">
        <v>199630.24</v>
      </c>
      <c r="P418" s="5">
        <v>946.04681600000004</v>
      </c>
      <c r="Q418">
        <v>1299.0792401981755</v>
      </c>
      <c r="R418" s="6">
        <v>68.455860000000001</v>
      </c>
      <c r="S418" s="6">
        <v>56.361599999999996</v>
      </c>
      <c r="T418" s="6">
        <v>6343.4059555555559</v>
      </c>
      <c r="U418" s="6">
        <v>1222.2222222222217</v>
      </c>
      <c r="V418" s="6">
        <f t="shared" si="21"/>
        <v>2.6501131644435714</v>
      </c>
      <c r="W418" s="6">
        <f t="shared" si="22"/>
        <v>2.9759126283969137</v>
      </c>
      <c r="X418" s="6">
        <v>3.1136356426290135</v>
      </c>
      <c r="Y418" s="6">
        <f t="shared" si="23"/>
        <v>1.8354106308006588</v>
      </c>
      <c r="Z418" s="6">
        <f t="shared" si="23"/>
        <v>1.7509833134172319</v>
      </c>
      <c r="AA418" s="6">
        <f t="shared" si="23"/>
        <v>3.8023225055983358</v>
      </c>
      <c r="AB418" s="6">
        <f t="shared" si="23"/>
        <v>3.0871501757189002</v>
      </c>
    </row>
    <row r="419" spans="1:28">
      <c r="A419" s="1">
        <v>94</v>
      </c>
      <c r="B419" s="1">
        <v>1</v>
      </c>
      <c r="C419" s="1">
        <v>0</v>
      </c>
      <c r="D419" s="1">
        <v>0</v>
      </c>
      <c r="E419" s="1">
        <v>1</v>
      </c>
      <c r="F419" s="1">
        <v>3</v>
      </c>
      <c r="G419" s="1">
        <v>6</v>
      </c>
      <c r="H419" s="1">
        <v>1</v>
      </c>
      <c r="I419" s="1">
        <v>2</v>
      </c>
      <c r="J419" s="1">
        <v>1</v>
      </c>
      <c r="K419" s="1">
        <v>1</v>
      </c>
      <c r="L419" s="1">
        <v>4</v>
      </c>
      <c r="M419" s="1">
        <v>72</v>
      </c>
      <c r="N419" s="5">
        <v>54.8</v>
      </c>
      <c r="O419" s="6">
        <v>3003.04</v>
      </c>
      <c r="P419" s="5">
        <v>363.11200000000002</v>
      </c>
      <c r="Q419">
        <v>296.04871231973084</v>
      </c>
      <c r="R419" s="6">
        <v>15.108040000000001</v>
      </c>
      <c r="S419" s="6">
        <v>275.1542</v>
      </c>
      <c r="T419" s="6">
        <v>6387.7574222222229</v>
      </c>
      <c r="U419" s="6">
        <v>1555.5555555555554</v>
      </c>
      <c r="V419" s="6">
        <f t="shared" si="21"/>
        <v>1.7387805584843692</v>
      </c>
      <c r="W419" s="6">
        <f t="shared" si="22"/>
        <v>2.5600406015641384</v>
      </c>
      <c r="X419" s="6">
        <v>2.4713631764342274</v>
      </c>
      <c r="Y419" s="6">
        <f t="shared" si="23"/>
        <v>1.1792081259937373</v>
      </c>
      <c r="Z419" s="6">
        <f t="shared" si="23"/>
        <v>2.4395761463418064</v>
      </c>
      <c r="AA419" s="6">
        <f t="shared" si="23"/>
        <v>3.8053484152637758</v>
      </c>
      <c r="AB419" s="6">
        <f t="shared" si="23"/>
        <v>3.191885526238913</v>
      </c>
    </row>
    <row r="420" spans="1:28">
      <c r="A420" s="1">
        <v>95</v>
      </c>
      <c r="B420" s="1">
        <v>1</v>
      </c>
      <c r="C420" s="1">
        <v>1</v>
      </c>
      <c r="D420" s="1">
        <v>0</v>
      </c>
      <c r="E420" s="1">
        <v>1</v>
      </c>
      <c r="F420" s="1">
        <v>8</v>
      </c>
      <c r="G420" s="1">
        <v>6</v>
      </c>
      <c r="H420" s="1">
        <v>2</v>
      </c>
      <c r="I420" s="1">
        <v>2</v>
      </c>
      <c r="J420" s="1">
        <v>3</v>
      </c>
      <c r="K420" s="1">
        <v>3</v>
      </c>
      <c r="L420" s="1">
        <v>4</v>
      </c>
      <c r="M420" s="1">
        <v>72</v>
      </c>
      <c r="N420" s="5">
        <v>94.8</v>
      </c>
      <c r="O420" s="6">
        <v>8987.0400000000009</v>
      </c>
      <c r="P420" s="5">
        <v>337.40099999999995</v>
      </c>
      <c r="Q420">
        <v>256.26597658766315</v>
      </c>
      <c r="R420" s="6">
        <v>26.419499999999999</v>
      </c>
      <c r="S420" s="6">
        <v>37.183</v>
      </c>
      <c r="T420" s="6">
        <v>621.39293333333421</v>
      </c>
      <c r="U420" s="6">
        <v>111.11111111111121</v>
      </c>
      <c r="V420" s="6">
        <f t="shared" si="21"/>
        <v>1.9768083373380663</v>
      </c>
      <c r="W420" s="6">
        <f t="shared" si="22"/>
        <v>2.5281463654310503</v>
      </c>
      <c r="X420" s="6">
        <v>2.408690950464083</v>
      </c>
      <c r="Y420" s="6">
        <f t="shared" si="23"/>
        <v>1.4219245941530072</v>
      </c>
      <c r="Z420" s="6">
        <f t="shared" si="23"/>
        <v>1.5703444266108302</v>
      </c>
      <c r="AA420" s="6">
        <f t="shared" si="23"/>
        <v>2.7933663100200352</v>
      </c>
      <c r="AB420" s="6">
        <f t="shared" si="23"/>
        <v>2.0457574905606757</v>
      </c>
    </row>
    <row r="421" spans="1:28">
      <c r="A421" s="1">
        <v>96</v>
      </c>
      <c r="B421" s="1">
        <v>1</v>
      </c>
      <c r="C421" s="1">
        <v>1</v>
      </c>
      <c r="D421" s="1">
        <v>0</v>
      </c>
      <c r="E421" s="1">
        <v>1</v>
      </c>
      <c r="F421" s="1">
        <v>9</v>
      </c>
      <c r="G421" s="1">
        <v>6</v>
      </c>
      <c r="H421" s="1">
        <v>2</v>
      </c>
      <c r="I421" s="1">
        <v>2</v>
      </c>
      <c r="J421" s="1">
        <v>3</v>
      </c>
      <c r="K421" s="1">
        <v>3</v>
      </c>
      <c r="L421" s="1">
        <v>4</v>
      </c>
      <c r="M421" s="1">
        <v>72</v>
      </c>
      <c r="N421" s="5">
        <v>108.8</v>
      </c>
      <c r="O421" s="6">
        <v>11837.44</v>
      </c>
      <c r="P421" s="5">
        <v>979.18586800000003</v>
      </c>
      <c r="Q421">
        <v>979.18586800000003</v>
      </c>
      <c r="R421" s="6">
        <v>141.09969999999998</v>
      </c>
      <c r="S421" s="6">
        <v>488.07580000000002</v>
      </c>
      <c r="T421" s="6">
        <v>0.1</v>
      </c>
      <c r="U421" s="6">
        <v>2466.6666666666661</v>
      </c>
      <c r="V421" s="6">
        <f t="shared" si="21"/>
        <v>2.0366288953621612</v>
      </c>
      <c r="W421" s="6">
        <f t="shared" si="22"/>
        <v>2.9908651369359762</v>
      </c>
      <c r="X421" s="6">
        <v>2.9908651369359762</v>
      </c>
      <c r="Y421" s="6">
        <f t="shared" si="23"/>
        <v>2.1495260903774303</v>
      </c>
      <c r="Z421" s="6">
        <f t="shared" si="23"/>
        <v>2.6884872748005249</v>
      </c>
      <c r="AA421" s="6">
        <f t="shared" si="23"/>
        <v>-1</v>
      </c>
      <c r="AB421" s="6">
        <f t="shared" si="23"/>
        <v>3.3921104650113136</v>
      </c>
    </row>
    <row r="422" spans="1:28">
      <c r="A422" s="1">
        <v>97</v>
      </c>
      <c r="B422" s="1">
        <v>1</v>
      </c>
      <c r="C422" s="1">
        <v>1</v>
      </c>
      <c r="D422" s="1">
        <v>1</v>
      </c>
      <c r="E422" s="1">
        <v>1</v>
      </c>
      <c r="F422" s="1">
        <v>19</v>
      </c>
      <c r="G422" s="1">
        <v>6</v>
      </c>
      <c r="H422" s="1">
        <v>3</v>
      </c>
      <c r="I422" s="1">
        <v>2</v>
      </c>
      <c r="J422" s="1">
        <v>5</v>
      </c>
      <c r="K422" s="1">
        <v>6</v>
      </c>
      <c r="L422" s="1">
        <v>4</v>
      </c>
      <c r="M422" s="1">
        <v>72</v>
      </c>
      <c r="N422" s="5">
        <v>30.8</v>
      </c>
      <c r="O422" s="6">
        <v>948.64</v>
      </c>
      <c r="P422" s="5">
        <v>311.69</v>
      </c>
      <c r="Q422">
        <v>219.63076940845457</v>
      </c>
      <c r="R422" s="6">
        <v>13.542439999999999</v>
      </c>
      <c r="S422" s="6">
        <v>60.275600000000004</v>
      </c>
      <c r="T422" s="6">
        <v>1535.3314222222225</v>
      </c>
      <c r="U422" s="6">
        <v>533.33333333333326</v>
      </c>
      <c r="V422" s="6">
        <f t="shared" si="21"/>
        <v>1.4885507165004443</v>
      </c>
      <c r="W422" s="6">
        <f t="shared" si="22"/>
        <v>2.4937228689611968</v>
      </c>
      <c r="X422" s="6">
        <v>2.3416931829921195</v>
      </c>
      <c r="Y422" s="6">
        <f t="shared" si="23"/>
        <v>1.1316969201147589</v>
      </c>
      <c r="Z422" s="6">
        <f t="shared" si="23"/>
        <v>1.7801415421584454</v>
      </c>
      <c r="AA422" s="6">
        <f t="shared" si="23"/>
        <v>3.1862021383187584</v>
      </c>
      <c r="AB422" s="6">
        <f t="shared" si="23"/>
        <v>2.7269987279362624</v>
      </c>
    </row>
    <row r="423" spans="1:28">
      <c r="A423" s="1">
        <v>98</v>
      </c>
      <c r="B423" s="1">
        <v>1</v>
      </c>
      <c r="C423" s="1">
        <v>1</v>
      </c>
      <c r="D423" s="1">
        <v>1</v>
      </c>
      <c r="E423" s="1">
        <v>1</v>
      </c>
      <c r="F423" s="1">
        <v>25</v>
      </c>
      <c r="G423" s="1">
        <v>18</v>
      </c>
      <c r="H423" s="1">
        <v>3</v>
      </c>
      <c r="I423" s="1">
        <v>2</v>
      </c>
      <c r="J423" s="1">
        <v>6</v>
      </c>
      <c r="K423" s="1">
        <v>7</v>
      </c>
      <c r="L423" s="1">
        <v>4</v>
      </c>
      <c r="M423" s="1">
        <v>72</v>
      </c>
      <c r="N423" s="5">
        <v>558.79999999999995</v>
      </c>
      <c r="O423" s="6">
        <v>312257.44</v>
      </c>
      <c r="P423" s="5">
        <v>1473.0532000000001</v>
      </c>
      <c r="Q423">
        <v>1473.0532000000001</v>
      </c>
      <c r="R423" s="6">
        <v>165.56219999999999</v>
      </c>
      <c r="S423" s="6">
        <v>39.14</v>
      </c>
      <c r="T423" s="6">
        <v>1224.6528000000001</v>
      </c>
      <c r="U423" s="6">
        <v>777.77777777777692</v>
      </c>
      <c r="V423" s="6">
        <f t="shared" si="21"/>
        <v>2.7472563974421442</v>
      </c>
      <c r="W423" s="6">
        <f t="shared" si="22"/>
        <v>3.1682184318726501</v>
      </c>
      <c r="X423" s="6">
        <v>3.1682184318726501</v>
      </c>
      <c r="Y423" s="6">
        <f t="shared" si="23"/>
        <v>2.2189611886970249</v>
      </c>
      <c r="Z423" s="6">
        <f t="shared" si="23"/>
        <v>1.5926208213219823</v>
      </c>
      <c r="AA423" s="6">
        <f t="shared" si="23"/>
        <v>3.0880129797888505</v>
      </c>
      <c r="AB423" s="6">
        <f t="shared" si="23"/>
        <v>2.8908555305749313</v>
      </c>
    </row>
    <row r="424" spans="1:28">
      <c r="A424" s="1">
        <v>99</v>
      </c>
      <c r="B424" s="1">
        <v>1</v>
      </c>
      <c r="C424" s="1">
        <v>1</v>
      </c>
      <c r="D424" s="1">
        <v>1</v>
      </c>
      <c r="E424" s="1">
        <v>0</v>
      </c>
      <c r="F424" s="1">
        <v>26</v>
      </c>
      <c r="G424" s="1">
        <v>18</v>
      </c>
      <c r="H424" s="1">
        <v>3</v>
      </c>
      <c r="I424" s="1">
        <v>2</v>
      </c>
      <c r="J424" s="1">
        <v>6</v>
      </c>
      <c r="K424" s="1">
        <v>7</v>
      </c>
      <c r="L424" s="1">
        <v>4</v>
      </c>
      <c r="M424" s="1">
        <v>72</v>
      </c>
      <c r="N424" s="5">
        <v>106.8</v>
      </c>
      <c r="O424" s="6">
        <v>11406.24</v>
      </c>
      <c r="P424" s="5">
        <v>414.53399999999993</v>
      </c>
      <c r="Q424">
        <v>385.24784374610994</v>
      </c>
      <c r="R424" s="6">
        <v>115.85440000000001</v>
      </c>
      <c r="S424" s="6">
        <v>134.64160000000001</v>
      </c>
      <c r="T424" s="6">
        <v>15721.433555555555</v>
      </c>
      <c r="U424" s="6">
        <v>8066.666666666667</v>
      </c>
      <c r="V424" s="6">
        <f t="shared" si="21"/>
        <v>2.0285712526925375</v>
      </c>
      <c r="W424" s="6">
        <f t="shared" si="22"/>
        <v>2.617560157098151</v>
      </c>
      <c r="X424" s="6">
        <v>2.5857402166265717</v>
      </c>
      <c r="Y424" s="6">
        <f t="shared" si="23"/>
        <v>2.0639125323809209</v>
      </c>
      <c r="Z424" s="6">
        <f t="shared" si="23"/>
        <v>2.1291792638935125</v>
      </c>
      <c r="AA424" s="6">
        <f t="shared" si="23"/>
        <v>4.1964921445584311</v>
      </c>
      <c r="AB424" s="6">
        <f t="shared" si="23"/>
        <v>3.9066941112607689</v>
      </c>
    </row>
    <row r="425" spans="1:28">
      <c r="A425" s="1">
        <v>100</v>
      </c>
      <c r="B425" s="1">
        <v>1</v>
      </c>
      <c r="C425" s="1">
        <v>1</v>
      </c>
      <c r="D425" s="1">
        <v>1</v>
      </c>
      <c r="E425" s="1">
        <v>1</v>
      </c>
      <c r="F425" s="1">
        <v>22</v>
      </c>
      <c r="G425" s="1">
        <v>18</v>
      </c>
      <c r="H425" s="1">
        <v>3</v>
      </c>
      <c r="I425" s="1">
        <v>2</v>
      </c>
      <c r="J425" s="1">
        <v>6</v>
      </c>
      <c r="K425" s="1">
        <v>7</v>
      </c>
      <c r="L425" s="1">
        <v>4</v>
      </c>
      <c r="M425" s="1">
        <v>72</v>
      </c>
      <c r="N425" s="5">
        <v>188.8</v>
      </c>
      <c r="O425" s="6">
        <v>35645.440000000002</v>
      </c>
      <c r="P425" s="5">
        <v>1472.4536000000007</v>
      </c>
      <c r="Q425">
        <v>1704.0684759423807</v>
      </c>
      <c r="R425" s="6">
        <v>168.30200000000002</v>
      </c>
      <c r="S425" s="6">
        <v>64.189599999999999</v>
      </c>
      <c r="T425" s="6">
        <v>5936.4894222222229</v>
      </c>
      <c r="U425" s="6">
        <v>1822.2222222222235</v>
      </c>
      <c r="V425" s="6">
        <f t="shared" si="21"/>
        <v>2.2760019899620501</v>
      </c>
      <c r="W425" s="6">
        <f t="shared" si="22"/>
        <v>3.168041618174616</v>
      </c>
      <c r="X425" s="6">
        <v>3.2314870423827959</v>
      </c>
      <c r="Y425" s="6">
        <f t="shared" si="23"/>
        <v>2.2260892769015688</v>
      </c>
      <c r="Z425" s="6">
        <f t="shared" si="23"/>
        <v>1.8074646693696803</v>
      </c>
      <c r="AA425" s="6">
        <f t="shared" si="23"/>
        <v>3.7735296983033861</v>
      </c>
      <c r="AB425" s="6">
        <f t="shared" si="23"/>
        <v>3.2606013386083732</v>
      </c>
    </row>
    <row r="426" spans="1:28">
      <c r="A426" s="1">
        <v>101</v>
      </c>
      <c r="B426" s="1">
        <v>1</v>
      </c>
      <c r="C426" s="1">
        <v>1</v>
      </c>
      <c r="D426" s="1">
        <v>1</v>
      </c>
      <c r="E426" s="1">
        <v>1</v>
      </c>
      <c r="F426" s="1">
        <v>13</v>
      </c>
      <c r="G426" s="1">
        <v>6</v>
      </c>
      <c r="H426" s="1">
        <v>3</v>
      </c>
      <c r="I426" s="1">
        <v>2</v>
      </c>
      <c r="J426" s="1">
        <v>5</v>
      </c>
      <c r="K426" s="1">
        <v>5</v>
      </c>
      <c r="L426" s="1">
        <v>4</v>
      </c>
      <c r="M426" s="1">
        <v>72</v>
      </c>
      <c r="N426" s="5">
        <v>246.8</v>
      </c>
      <c r="O426" s="6">
        <v>60910.239999999998</v>
      </c>
      <c r="P426" s="5">
        <v>1138.996848</v>
      </c>
      <c r="Q426">
        <v>1138.996848</v>
      </c>
      <c r="R426" s="6">
        <v>165.3665</v>
      </c>
      <c r="S426" s="6">
        <v>103.721</v>
      </c>
      <c r="T426" s="6">
        <v>5956.981688888889</v>
      </c>
      <c r="U426" s="6">
        <v>4333.3333333333339</v>
      </c>
      <c r="V426" s="6">
        <f t="shared" si="21"/>
        <v>2.3923451553612041</v>
      </c>
      <c r="W426" s="6">
        <f t="shared" si="22"/>
        <v>3.0565225222370449</v>
      </c>
      <c r="X426" s="6">
        <v>3.0565225222370449</v>
      </c>
      <c r="Y426" s="6">
        <f t="shared" si="23"/>
        <v>2.2184475346076935</v>
      </c>
      <c r="Z426" s="6">
        <f t="shared" si="23"/>
        <v>2.01586669525879</v>
      </c>
      <c r="AA426" s="6">
        <f t="shared" si="23"/>
        <v>3.7750262651270914</v>
      </c>
      <c r="AB426" s="6">
        <f t="shared" si="23"/>
        <v>3.6368220975871743</v>
      </c>
    </row>
    <row r="427" spans="1:28">
      <c r="A427" s="1">
        <v>102</v>
      </c>
      <c r="B427" s="1">
        <v>0</v>
      </c>
      <c r="C427" s="1">
        <v>1</v>
      </c>
      <c r="D427" s="1">
        <v>0</v>
      </c>
      <c r="E427" s="1">
        <v>1</v>
      </c>
      <c r="F427" s="1">
        <v>4</v>
      </c>
      <c r="G427" s="1">
        <v>6</v>
      </c>
      <c r="H427" s="1">
        <v>1</v>
      </c>
      <c r="I427" s="1">
        <v>2</v>
      </c>
      <c r="J427" s="1">
        <v>2</v>
      </c>
      <c r="K427" s="1">
        <v>2</v>
      </c>
      <c r="L427" s="1">
        <v>4</v>
      </c>
      <c r="M427" s="1">
        <v>72</v>
      </c>
      <c r="N427" s="5">
        <v>346.8</v>
      </c>
      <c r="O427" s="6">
        <v>120270.24</v>
      </c>
      <c r="P427" s="5">
        <v>440.245</v>
      </c>
      <c r="Q427">
        <v>434.75436086238545</v>
      </c>
      <c r="R427" s="6">
        <v>121.52970000000001</v>
      </c>
      <c r="S427" s="6">
        <v>40.705600000000004</v>
      </c>
      <c r="T427" s="6">
        <v>4530.4486666666671</v>
      </c>
      <c r="U427" s="6">
        <v>1266.6666666666674</v>
      </c>
      <c r="V427" s="6">
        <f t="shared" si="21"/>
        <v>2.5400790888041729</v>
      </c>
      <c r="W427" s="6">
        <f t="shared" si="22"/>
        <v>2.6436944322492169</v>
      </c>
      <c r="X427" s="6">
        <v>2.6382439469461056</v>
      </c>
      <c r="Y427" s="6">
        <f t="shared" si="23"/>
        <v>2.0846824258345813</v>
      </c>
      <c r="Z427" s="6">
        <f t="shared" si="23"/>
        <v>1.6096541606207628</v>
      </c>
      <c r="AA427" s="6">
        <f t="shared" si="23"/>
        <v>3.656141213891134</v>
      </c>
      <c r="AB427" s="6">
        <f t="shared" si="23"/>
        <v>3.102662341897148</v>
      </c>
    </row>
    <row r="428" spans="1:28">
      <c r="A428" s="1">
        <v>103</v>
      </c>
      <c r="B428" s="1">
        <v>0</v>
      </c>
      <c r="C428" s="1">
        <v>1</v>
      </c>
      <c r="D428" s="1">
        <v>1</v>
      </c>
      <c r="E428" s="1">
        <v>1</v>
      </c>
      <c r="F428" s="1">
        <v>10</v>
      </c>
      <c r="G428" s="1">
        <v>6</v>
      </c>
      <c r="H428" s="1">
        <v>2</v>
      </c>
      <c r="I428" s="1">
        <v>2</v>
      </c>
      <c r="J428" s="1">
        <v>4</v>
      </c>
      <c r="K428" s="1">
        <v>4</v>
      </c>
      <c r="L428" s="1">
        <v>4</v>
      </c>
      <c r="M428" s="1">
        <v>72</v>
      </c>
      <c r="N428" s="5">
        <v>92.8</v>
      </c>
      <c r="O428" s="6">
        <v>8611.84</v>
      </c>
      <c r="P428" s="5">
        <v>388.82300000000004</v>
      </c>
      <c r="Q428">
        <v>339.02730973074733</v>
      </c>
      <c r="R428" s="6">
        <v>34.678040000000003</v>
      </c>
      <c r="S428" s="6">
        <v>30.9206</v>
      </c>
      <c r="T428" s="6">
        <v>1498.2359999999994</v>
      </c>
      <c r="U428" s="6">
        <v>755.55555555555566</v>
      </c>
      <c r="V428" s="6">
        <f t="shared" si="21"/>
        <v>1.9675479762188621</v>
      </c>
      <c r="W428" s="6">
        <f t="shared" si="22"/>
        <v>2.5897519467831609</v>
      </c>
      <c r="X428" s="6">
        <v>2.5302346834174001</v>
      </c>
      <c r="Y428" s="6">
        <f t="shared" si="23"/>
        <v>1.5400545432090331</v>
      </c>
      <c r="Z428" s="6">
        <f t="shared" si="23"/>
        <v>1.4902479126124237</v>
      </c>
      <c r="AA428" s="6">
        <f t="shared" si="23"/>
        <v>3.1755802281998897</v>
      </c>
      <c r="AB428" s="6">
        <f t="shared" si="23"/>
        <v>2.8782664032669114</v>
      </c>
    </row>
    <row r="429" spans="1:28">
      <c r="A429" s="1">
        <v>104</v>
      </c>
      <c r="B429" s="1">
        <v>0</v>
      </c>
      <c r="C429" s="1">
        <v>1</v>
      </c>
      <c r="D429" s="1">
        <v>1</v>
      </c>
      <c r="E429" s="1">
        <v>1</v>
      </c>
      <c r="F429" s="1">
        <v>12</v>
      </c>
      <c r="G429" s="1">
        <v>6</v>
      </c>
      <c r="H429" s="1">
        <v>2</v>
      </c>
      <c r="I429" s="1">
        <v>2</v>
      </c>
      <c r="J429" s="1">
        <v>4</v>
      </c>
      <c r="K429" s="1">
        <v>4</v>
      </c>
      <c r="L429" s="1">
        <v>4</v>
      </c>
      <c r="M429" s="1">
        <v>72</v>
      </c>
      <c r="N429" s="5">
        <v>232.8</v>
      </c>
      <c r="O429" s="6">
        <v>54195.839999999997</v>
      </c>
      <c r="P429" s="5">
        <v>491.66700000000003</v>
      </c>
      <c r="Q429">
        <v>543.79253098815855</v>
      </c>
      <c r="R429" s="6">
        <v>9.5893000000000015</v>
      </c>
      <c r="S429" s="6">
        <v>1418.825</v>
      </c>
      <c r="T429" s="6">
        <v>4308.880577777777</v>
      </c>
      <c r="U429" s="6">
        <v>2466.666666666667</v>
      </c>
      <c r="V429" s="6">
        <f t="shared" si="21"/>
        <v>2.3669829759778507</v>
      </c>
      <c r="W429" s="6">
        <f t="shared" si="22"/>
        <v>2.6916710600313563</v>
      </c>
      <c r="X429" s="6">
        <v>2.7354332382406237</v>
      </c>
      <c r="Y429" s="6">
        <f t="shared" si="23"/>
        <v>0.98178690568651494</v>
      </c>
      <c r="Z429" s="6">
        <f t="shared" si="23"/>
        <v>3.1519288322289949</v>
      </c>
      <c r="AA429" s="6">
        <f t="shared" si="23"/>
        <v>3.634364457622635</v>
      </c>
      <c r="AB429" s="6">
        <f t="shared" si="23"/>
        <v>3.3921104650113136</v>
      </c>
    </row>
    <row r="430" spans="1:28">
      <c r="A430" s="1">
        <v>105</v>
      </c>
      <c r="B430" s="1">
        <v>1</v>
      </c>
      <c r="C430" s="1">
        <v>1</v>
      </c>
      <c r="D430" s="1">
        <v>1</v>
      </c>
      <c r="E430" s="1">
        <v>1</v>
      </c>
      <c r="F430" s="1">
        <v>14</v>
      </c>
      <c r="G430" s="1">
        <v>6</v>
      </c>
      <c r="H430" s="1">
        <v>3</v>
      </c>
      <c r="I430" s="1">
        <v>2</v>
      </c>
      <c r="J430" s="1">
        <v>5</v>
      </c>
      <c r="K430" s="1">
        <v>5</v>
      </c>
      <c r="L430" s="1">
        <v>4</v>
      </c>
      <c r="M430" s="1">
        <v>72</v>
      </c>
      <c r="N430" s="5">
        <v>144.80000000000001</v>
      </c>
      <c r="O430" s="6">
        <v>20967.04</v>
      </c>
      <c r="P430" s="5">
        <v>414.53399999999993</v>
      </c>
      <c r="Q430">
        <v>385.24784374610994</v>
      </c>
      <c r="R430" s="6">
        <v>64.972399999999993</v>
      </c>
      <c r="S430" s="6">
        <v>287.67899999999997</v>
      </c>
      <c r="T430" s="6">
        <v>216.52097777777783</v>
      </c>
      <c r="U430" s="6">
        <v>222.22222222222243</v>
      </c>
      <c r="V430" s="6">
        <f t="shared" si="21"/>
        <v>2.1607685618611283</v>
      </c>
      <c r="W430" s="6">
        <f t="shared" si="22"/>
        <v>2.617560157098151</v>
      </c>
      <c r="X430" s="6">
        <v>2.5857402166265717</v>
      </c>
      <c r="Y430" s="6">
        <f t="shared" si="23"/>
        <v>1.8127289093620373</v>
      </c>
      <c r="Z430" s="6">
        <f t="shared" si="23"/>
        <v>2.4589081604061773</v>
      </c>
      <c r="AA430" s="6">
        <f t="shared" si="23"/>
        <v>2.3354999796352374</v>
      </c>
      <c r="AB430" s="6">
        <f t="shared" si="23"/>
        <v>2.3467874862246569</v>
      </c>
    </row>
    <row r="431" spans="1:28">
      <c r="A431" s="1">
        <v>106</v>
      </c>
      <c r="B431" s="1">
        <v>1</v>
      </c>
      <c r="C431" s="1">
        <v>1</v>
      </c>
      <c r="D431" s="1">
        <v>1</v>
      </c>
      <c r="E431" s="1">
        <v>0</v>
      </c>
      <c r="F431" s="1">
        <v>19</v>
      </c>
      <c r="G431" s="1">
        <v>6</v>
      </c>
      <c r="H431" s="1">
        <v>3</v>
      </c>
      <c r="I431" s="1">
        <v>2</v>
      </c>
      <c r="J431" s="1">
        <v>5</v>
      </c>
      <c r="K431" s="1">
        <v>6</v>
      </c>
      <c r="L431" s="1">
        <v>4</v>
      </c>
      <c r="M431" s="1">
        <v>72</v>
      </c>
      <c r="N431" s="5">
        <v>30.8</v>
      </c>
      <c r="O431" s="6">
        <v>948.64</v>
      </c>
      <c r="P431" s="5">
        <v>311.69</v>
      </c>
      <c r="Q431">
        <v>219.63076940845457</v>
      </c>
      <c r="R431" s="6">
        <v>5.2447600000000003</v>
      </c>
      <c r="S431" s="6">
        <v>516.64800000000002</v>
      </c>
      <c r="T431" s="6">
        <v>2038.2534222222216</v>
      </c>
      <c r="U431" s="6">
        <v>1355.5555555555557</v>
      </c>
      <c r="V431" s="6">
        <f t="shared" si="21"/>
        <v>1.4885507165004443</v>
      </c>
      <c r="W431" s="6">
        <f t="shared" si="22"/>
        <v>2.4937228689611968</v>
      </c>
      <c r="X431" s="6">
        <v>2.3416931829921195</v>
      </c>
      <c r="Y431" s="6">
        <f t="shared" si="23"/>
        <v>0.71972561968679005</v>
      </c>
      <c r="Z431" s="6">
        <f t="shared" si="23"/>
        <v>2.7131947525278322</v>
      </c>
      <c r="AA431" s="6">
        <f t="shared" si="23"/>
        <v>3.3092581801759917</v>
      </c>
      <c r="AB431" s="6">
        <f t="shared" si="23"/>
        <v>3.1321173212354232</v>
      </c>
    </row>
    <row r="432" spans="1:28">
      <c r="A432" s="1">
        <v>107</v>
      </c>
      <c r="B432" s="1">
        <v>1</v>
      </c>
      <c r="C432" s="1">
        <v>1</v>
      </c>
      <c r="D432" s="1">
        <v>1</v>
      </c>
      <c r="E432" s="1">
        <v>1</v>
      </c>
      <c r="F432" s="1">
        <v>26</v>
      </c>
      <c r="G432" s="1">
        <v>18</v>
      </c>
      <c r="H432" s="1">
        <v>3</v>
      </c>
      <c r="I432" s="1">
        <v>2</v>
      </c>
      <c r="J432" s="1">
        <v>6</v>
      </c>
      <c r="K432" s="1">
        <v>7</v>
      </c>
      <c r="L432" s="1">
        <v>4</v>
      </c>
      <c r="M432" s="1">
        <v>72</v>
      </c>
      <c r="N432" s="5">
        <v>22.8</v>
      </c>
      <c r="O432" s="6">
        <v>519.84</v>
      </c>
      <c r="P432" s="5">
        <v>285.97899999999998</v>
      </c>
      <c r="Q432">
        <v>186.09222604693718</v>
      </c>
      <c r="R432" s="6">
        <v>2.5049600000000005</v>
      </c>
      <c r="S432" s="6">
        <v>350.303</v>
      </c>
      <c r="T432" s="6">
        <v>1542.891288888889</v>
      </c>
      <c r="U432" s="6">
        <v>911.11111111111086</v>
      </c>
      <c r="V432" s="6">
        <f t="shared" si="21"/>
        <v>1.3579348470004537</v>
      </c>
      <c r="W432" s="6">
        <f t="shared" si="22"/>
        <v>2.4563341432025805</v>
      </c>
      <c r="X432" s="6">
        <v>2.2697282309736666</v>
      </c>
      <c r="Y432" s="6">
        <f t="shared" si="23"/>
        <v>0.39880079530586965</v>
      </c>
      <c r="Z432" s="6">
        <f t="shared" si="23"/>
        <v>2.5444438566378942</v>
      </c>
      <c r="AA432" s="6">
        <f t="shared" si="23"/>
        <v>3.1883353270359778</v>
      </c>
      <c r="AB432" s="6">
        <f t="shared" si="23"/>
        <v>2.9595713429443915</v>
      </c>
    </row>
    <row r="433" spans="1:28">
      <c r="A433" s="1">
        <v>108</v>
      </c>
      <c r="B433" s="1">
        <v>1</v>
      </c>
      <c r="C433" s="1">
        <v>0</v>
      </c>
      <c r="D433" s="1">
        <v>0</v>
      </c>
      <c r="E433" s="1">
        <v>1</v>
      </c>
      <c r="F433" s="1">
        <v>2</v>
      </c>
      <c r="G433" s="1">
        <v>6</v>
      </c>
      <c r="H433" s="1">
        <v>1</v>
      </c>
      <c r="I433" s="1">
        <v>2</v>
      </c>
      <c r="J433" s="1">
        <v>1</v>
      </c>
      <c r="K433" s="1">
        <v>1</v>
      </c>
      <c r="L433" s="1">
        <v>4</v>
      </c>
      <c r="M433" s="1">
        <v>72</v>
      </c>
      <c r="N433" s="5">
        <v>86.8</v>
      </c>
      <c r="O433" s="6">
        <v>7534.24</v>
      </c>
      <c r="P433" s="5">
        <v>491.66700000000003</v>
      </c>
      <c r="Q433">
        <v>543.79253098815855</v>
      </c>
      <c r="R433" s="6">
        <v>21.448720000000005</v>
      </c>
      <c r="S433" s="6">
        <v>232.88300000000001</v>
      </c>
      <c r="T433" s="6">
        <v>21185.959377777777</v>
      </c>
      <c r="U433" s="6">
        <v>8666.6666666666661</v>
      </c>
      <c r="V433" s="6">
        <f t="shared" si="21"/>
        <v>1.9385197251764918</v>
      </c>
      <c r="W433" s="6">
        <f t="shared" si="22"/>
        <v>2.6916710600313563</v>
      </c>
      <c r="X433" s="6">
        <v>2.7354332382406237</v>
      </c>
      <c r="Y433" s="6">
        <f t="shared" si="23"/>
        <v>1.3314013798063515</v>
      </c>
      <c r="Z433" s="6">
        <f t="shared" si="23"/>
        <v>2.3671377870505319</v>
      </c>
      <c r="AA433" s="6">
        <f t="shared" si="23"/>
        <v>4.3260481352258937</v>
      </c>
      <c r="AB433" s="6">
        <f t="shared" si="23"/>
        <v>3.9378520932511556</v>
      </c>
    </row>
    <row r="434" spans="1:28">
      <c r="R434"/>
      <c r="T434"/>
      <c r="U434"/>
    </row>
    <row r="435" spans="1:28">
      <c r="R435"/>
      <c r="T435"/>
      <c r="U435"/>
    </row>
    <row r="436" spans="1:28">
      <c r="R436"/>
      <c r="T436"/>
      <c r="U436"/>
      <c r="V436"/>
      <c r="W436"/>
      <c r="X436"/>
      <c r="Y436"/>
      <c r="Z436"/>
      <c r="AA436"/>
      <c r="AB436"/>
    </row>
    <row r="437" spans="1:28">
      <c r="R437"/>
      <c r="T437"/>
      <c r="U437"/>
      <c r="V437"/>
      <c r="W437"/>
      <c r="X437"/>
      <c r="Y437"/>
      <c r="Z437"/>
      <c r="AA437"/>
      <c r="AB437"/>
    </row>
    <row r="438" spans="1:28">
      <c r="R438"/>
      <c r="T438"/>
      <c r="U438"/>
      <c r="V438"/>
      <c r="W438"/>
      <c r="X438"/>
      <c r="Y438"/>
      <c r="Z438"/>
      <c r="AA438"/>
      <c r="AB438"/>
    </row>
    <row r="439" spans="1:28">
      <c r="R439"/>
      <c r="T439"/>
      <c r="U439"/>
      <c r="V439"/>
      <c r="W439"/>
      <c r="X439"/>
      <c r="Y439"/>
      <c r="Z439"/>
      <c r="AA439"/>
      <c r="AB439"/>
    </row>
    <row r="440" spans="1:28">
      <c r="R440"/>
      <c r="T440"/>
      <c r="U440"/>
      <c r="V440"/>
      <c r="W440"/>
      <c r="X440"/>
      <c r="Y440"/>
      <c r="Z440"/>
      <c r="AA440"/>
      <c r="AB440"/>
    </row>
    <row r="441" spans="1:28">
      <c r="R441"/>
      <c r="T441"/>
      <c r="U441"/>
      <c r="V441"/>
      <c r="W441"/>
      <c r="X441"/>
      <c r="Y441"/>
      <c r="Z441"/>
      <c r="AA441"/>
      <c r="AB441"/>
    </row>
    <row r="442" spans="1:28">
      <c r="R442"/>
      <c r="T442"/>
      <c r="U442"/>
      <c r="V442"/>
      <c r="W442"/>
      <c r="X442"/>
      <c r="Y442"/>
      <c r="Z442"/>
      <c r="AA442"/>
      <c r="AB442"/>
    </row>
    <row r="443" spans="1:28">
      <c r="R443"/>
      <c r="T443"/>
      <c r="U443"/>
      <c r="V443"/>
      <c r="W443"/>
      <c r="X443"/>
      <c r="Y443"/>
      <c r="Z443"/>
      <c r="AA443"/>
      <c r="AB443"/>
    </row>
    <row r="444" spans="1:28">
      <c r="R444"/>
      <c r="T444"/>
      <c r="U444"/>
      <c r="V444"/>
      <c r="W444"/>
      <c r="X444"/>
      <c r="Y444"/>
      <c r="Z444"/>
      <c r="AA444"/>
      <c r="AB444"/>
    </row>
    <row r="445" spans="1:28">
      <c r="R445"/>
      <c r="T445"/>
      <c r="U445"/>
      <c r="V445"/>
      <c r="W445"/>
      <c r="X445"/>
      <c r="Y445"/>
      <c r="Z445"/>
      <c r="AA445"/>
      <c r="AB445"/>
    </row>
    <row r="446" spans="1:28">
      <c r="R446"/>
      <c r="T446"/>
      <c r="U446"/>
      <c r="V446"/>
      <c r="W446"/>
      <c r="X446"/>
      <c r="Y446"/>
      <c r="Z446"/>
      <c r="AA446"/>
      <c r="AB446"/>
    </row>
    <row r="447" spans="1:28">
      <c r="R447"/>
      <c r="T447"/>
      <c r="U447"/>
      <c r="V447"/>
      <c r="W447"/>
      <c r="X447"/>
      <c r="Y447"/>
      <c r="Z447"/>
      <c r="AA447"/>
      <c r="AB447"/>
    </row>
    <row r="448" spans="1:28">
      <c r="R448"/>
      <c r="T448"/>
      <c r="U448"/>
      <c r="V448"/>
      <c r="W448"/>
      <c r="X448"/>
      <c r="Y448"/>
      <c r="Z448"/>
      <c r="AA448"/>
      <c r="AB448"/>
    </row>
    <row r="449" spans="18:21" customFormat="1">
      <c r="S449" s="6"/>
    </row>
    <row r="450" spans="18:21" customFormat="1">
      <c r="S450" s="6"/>
    </row>
    <row r="451" spans="18:21" customFormat="1">
      <c r="S451" s="6"/>
    </row>
    <row r="452" spans="18:21" customFormat="1">
      <c r="S452" s="6"/>
    </row>
    <row r="453" spans="18:21" customFormat="1"/>
    <row r="454" spans="18:21" customFormat="1"/>
    <row r="455" spans="18:21" customFormat="1"/>
    <row r="456" spans="18:21" customFormat="1"/>
    <row r="457" spans="18:21" customFormat="1"/>
    <row r="458" spans="18:21" customFormat="1"/>
    <row r="459" spans="18:21" customFormat="1">
      <c r="R459" s="6"/>
      <c r="S459" s="6"/>
      <c r="T459" s="6"/>
      <c r="U459" s="6"/>
    </row>
    <row r="460" spans="18:21" customFormat="1">
      <c r="R460" s="6"/>
      <c r="S460" s="6"/>
      <c r="T460" s="6"/>
      <c r="U460" s="6"/>
    </row>
  </sheetData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72"/>
  <sheetViews>
    <sheetView workbookViewId="0">
      <selection activeCell="J26" sqref="J26"/>
    </sheetView>
  </sheetViews>
  <sheetFormatPr baseColWidth="10" defaultRowHeight="15" x14ac:dyDescent="0"/>
  <sheetData>
    <row r="1" spans="1:16">
      <c r="A1" s="10" t="s">
        <v>0</v>
      </c>
    </row>
    <row r="2" spans="1:16">
      <c r="A2" s="10" t="s">
        <v>1</v>
      </c>
      <c r="B2" t="s">
        <v>193</v>
      </c>
      <c r="I2" s="14" t="s">
        <v>253</v>
      </c>
      <c r="J2" t="s">
        <v>248</v>
      </c>
      <c r="O2" s="1" t="s">
        <v>0</v>
      </c>
    </row>
    <row r="3" spans="1:16">
      <c r="A3" s="10" t="s">
        <v>2</v>
      </c>
      <c r="B3" t="s">
        <v>194</v>
      </c>
      <c r="I3" s="11" t="s">
        <v>254</v>
      </c>
      <c r="J3" t="s">
        <v>249</v>
      </c>
      <c r="O3" s="1" t="s">
        <v>1</v>
      </c>
      <c r="P3" t="s">
        <v>262</v>
      </c>
    </row>
    <row r="4" spans="1:16">
      <c r="A4" s="10" t="s">
        <v>3</v>
      </c>
      <c r="B4" t="s">
        <v>195</v>
      </c>
      <c r="I4" s="15" t="s">
        <v>174</v>
      </c>
      <c r="J4" t="s">
        <v>255</v>
      </c>
      <c r="O4" s="1" t="s">
        <v>2</v>
      </c>
      <c r="P4" t="s">
        <v>228</v>
      </c>
    </row>
    <row r="5" spans="1:16">
      <c r="A5" s="10" t="s">
        <v>4</v>
      </c>
      <c r="B5" t="s">
        <v>196</v>
      </c>
      <c r="I5" s="15" t="s">
        <v>178</v>
      </c>
      <c r="J5" t="s">
        <v>258</v>
      </c>
      <c r="O5" s="1" t="s">
        <v>3</v>
      </c>
      <c r="P5" t="s">
        <v>229</v>
      </c>
    </row>
    <row r="6" spans="1:16">
      <c r="A6" s="10" t="s">
        <v>5</v>
      </c>
      <c r="B6" t="s">
        <v>197</v>
      </c>
      <c r="I6" s="15" t="s">
        <v>186</v>
      </c>
      <c r="J6" t="s">
        <v>256</v>
      </c>
      <c r="O6" s="1" t="s">
        <v>4</v>
      </c>
      <c r="P6" t="s">
        <v>263</v>
      </c>
    </row>
    <row r="7" spans="1:16">
      <c r="A7" s="10" t="s">
        <v>6</v>
      </c>
      <c r="B7" t="s">
        <v>198</v>
      </c>
      <c r="I7" s="15" t="s">
        <v>259</v>
      </c>
      <c r="J7" t="s">
        <v>260</v>
      </c>
      <c r="O7" s="1" t="s">
        <v>99</v>
      </c>
      <c r="P7" t="s">
        <v>264</v>
      </c>
    </row>
    <row r="8" spans="1:16">
      <c r="A8" s="10" t="s">
        <v>7</v>
      </c>
      <c r="B8" t="s">
        <v>199</v>
      </c>
      <c r="I8" s="15" t="s">
        <v>179</v>
      </c>
      <c r="J8" t="s">
        <v>257</v>
      </c>
      <c r="O8" s="1" t="s">
        <v>6</v>
      </c>
      <c r="P8" t="s">
        <v>198</v>
      </c>
    </row>
    <row r="9" spans="1:16">
      <c r="A9" s="9" t="s">
        <v>85</v>
      </c>
      <c r="B9" t="s">
        <v>193</v>
      </c>
      <c r="I9" s="15" t="s">
        <v>183</v>
      </c>
      <c r="J9" t="s">
        <v>261</v>
      </c>
      <c r="O9" s="1" t="s">
        <v>7</v>
      </c>
      <c r="P9" t="s">
        <v>199</v>
      </c>
    </row>
    <row r="10" spans="1:16">
      <c r="A10" s="9" t="s">
        <v>86</v>
      </c>
      <c r="B10" t="s">
        <v>194</v>
      </c>
      <c r="I10" s="15" t="s">
        <v>189</v>
      </c>
      <c r="J10" t="s">
        <v>250</v>
      </c>
      <c r="O10" s="1" t="s">
        <v>100</v>
      </c>
      <c r="P10" t="s">
        <v>265</v>
      </c>
    </row>
    <row r="11" spans="1:16">
      <c r="A11" s="10" t="s">
        <v>87</v>
      </c>
      <c r="B11" t="s">
        <v>195</v>
      </c>
      <c r="I11" s="15" t="s">
        <v>190</v>
      </c>
      <c r="J11" t="s">
        <v>251</v>
      </c>
      <c r="O11" s="1" t="s">
        <v>101</v>
      </c>
      <c r="P11" t="s">
        <v>266</v>
      </c>
    </row>
    <row r="12" spans="1:16">
      <c r="A12" s="10"/>
      <c r="I12" s="15" t="s">
        <v>191</v>
      </c>
      <c r="J12" t="s">
        <v>252</v>
      </c>
      <c r="O12" s="1" t="s">
        <v>102</v>
      </c>
    </row>
    <row r="13" spans="1:16">
      <c r="A13" s="13" t="s">
        <v>244</v>
      </c>
      <c r="B13" t="s">
        <v>245</v>
      </c>
      <c r="I13" s="6"/>
      <c r="O13" s="1" t="s">
        <v>141</v>
      </c>
      <c r="P13" t="s">
        <v>267</v>
      </c>
    </row>
    <row r="14" spans="1:16">
      <c r="A14" s="10" t="s">
        <v>242</v>
      </c>
      <c r="B14" t="s">
        <v>246</v>
      </c>
      <c r="I14" s="6"/>
      <c r="O14" s="1" t="s">
        <v>142</v>
      </c>
      <c r="P14" t="s">
        <v>268</v>
      </c>
    </row>
    <row r="15" spans="1:16">
      <c r="A15" s="10" t="s">
        <v>243</v>
      </c>
      <c r="B15" t="s">
        <v>247</v>
      </c>
      <c r="I15" s="6"/>
      <c r="O15" s="1" t="s">
        <v>143</v>
      </c>
      <c r="P15" t="s">
        <v>269</v>
      </c>
    </row>
    <row r="16" spans="1:16">
      <c r="A16" s="10"/>
      <c r="I16" s="6"/>
      <c r="O16" s="1" t="s">
        <v>144</v>
      </c>
      <c r="P16" t="s">
        <v>270</v>
      </c>
    </row>
    <row r="17" spans="1:9">
      <c r="A17" s="10"/>
      <c r="I17" s="6"/>
    </row>
    <row r="18" spans="1:9">
      <c r="A18" s="10"/>
      <c r="I18" s="6"/>
    </row>
    <row r="19" spans="1:9">
      <c r="A19" s="10"/>
      <c r="I19" s="6"/>
    </row>
    <row r="20" spans="1:9">
      <c r="A20" s="10"/>
      <c r="I20" s="6"/>
    </row>
    <row r="21" spans="1:9">
      <c r="A21" s="10"/>
      <c r="I21" s="6"/>
    </row>
    <row r="22" spans="1:9">
      <c r="A22" s="10"/>
      <c r="I22" s="6"/>
    </row>
    <row r="23" spans="1:9">
      <c r="A23" s="10"/>
      <c r="I23" s="6"/>
    </row>
    <row r="24" spans="1:9">
      <c r="A24" s="10"/>
      <c r="I24" s="6"/>
    </row>
    <row r="25" spans="1:9">
      <c r="A25" s="10"/>
      <c r="I25" s="6"/>
    </row>
    <row r="26" spans="1:9">
      <c r="A26" s="10"/>
      <c r="I26" s="6"/>
    </row>
    <row r="27" spans="1:9">
      <c r="A27" s="10"/>
      <c r="I27" s="6"/>
    </row>
    <row r="28" spans="1:9">
      <c r="A28" s="11"/>
      <c r="I28" s="6"/>
    </row>
    <row r="29" spans="1:9">
      <c r="A29" s="11" t="s">
        <v>8</v>
      </c>
      <c r="B29" t="s">
        <v>241</v>
      </c>
      <c r="I29" s="6"/>
    </row>
    <row r="30" spans="1:9">
      <c r="A30" s="11" t="s">
        <v>9</v>
      </c>
      <c r="B30" t="s">
        <v>200</v>
      </c>
    </row>
    <row r="31" spans="1:9">
      <c r="A31" s="11" t="s">
        <v>10</v>
      </c>
      <c r="B31" t="s">
        <v>201</v>
      </c>
    </row>
    <row r="32" spans="1:9">
      <c r="A32" s="11" t="s">
        <v>11</v>
      </c>
      <c r="B32" t="s">
        <v>202</v>
      </c>
    </row>
    <row r="33" spans="1:2">
      <c r="A33" s="11" t="s">
        <v>12</v>
      </c>
      <c r="B33" t="s">
        <v>203</v>
      </c>
    </row>
    <row r="34" spans="1:2">
      <c r="A34" s="11" t="s">
        <v>13</v>
      </c>
      <c r="B34" t="s">
        <v>204</v>
      </c>
    </row>
    <row r="35" spans="1:2">
      <c r="A35" s="11" t="s">
        <v>14</v>
      </c>
      <c r="B35" t="s">
        <v>205</v>
      </c>
    </row>
    <row r="36" spans="1:2">
      <c r="A36" s="11" t="s">
        <v>15</v>
      </c>
      <c r="B36" t="s">
        <v>206</v>
      </c>
    </row>
    <row r="37" spans="1:2">
      <c r="A37" s="11" t="s">
        <v>16</v>
      </c>
      <c r="B37" t="s">
        <v>207</v>
      </c>
    </row>
    <row r="38" spans="1:2">
      <c r="A38" s="11" t="s">
        <v>17</v>
      </c>
      <c r="B38" t="s">
        <v>208</v>
      </c>
    </row>
    <row r="39" spans="1:2">
      <c r="A39" s="11" t="s">
        <v>18</v>
      </c>
      <c r="B39" t="s">
        <v>209</v>
      </c>
    </row>
    <row r="40" spans="1:2">
      <c r="A40" s="11" t="s">
        <v>19</v>
      </c>
      <c r="B40" t="s">
        <v>210</v>
      </c>
    </row>
    <row r="41" spans="1:2">
      <c r="A41" s="11" t="s">
        <v>20</v>
      </c>
      <c r="B41" t="s">
        <v>211</v>
      </c>
    </row>
    <row r="42" spans="1:2">
      <c r="A42" s="11" t="s">
        <v>21</v>
      </c>
      <c r="B42" t="s">
        <v>212</v>
      </c>
    </row>
    <row r="43" spans="1:2">
      <c r="A43" s="11" t="s">
        <v>22</v>
      </c>
      <c r="B43" t="s">
        <v>213</v>
      </c>
    </row>
    <row r="44" spans="1:2">
      <c r="A44" s="11" t="s">
        <v>23</v>
      </c>
      <c r="B44" t="s">
        <v>214</v>
      </c>
    </row>
    <row r="45" spans="1:2">
      <c r="A45" s="11" t="s">
        <v>24</v>
      </c>
      <c r="B45" t="s">
        <v>215</v>
      </c>
    </row>
    <row r="46" spans="1:2">
      <c r="A46" s="11" t="s">
        <v>25</v>
      </c>
      <c r="B46" t="s">
        <v>98</v>
      </c>
    </row>
    <row r="47" spans="1:2">
      <c r="A47" s="11" t="s">
        <v>26</v>
      </c>
      <c r="B47" t="s">
        <v>216</v>
      </c>
    </row>
    <row r="48" spans="1:2">
      <c r="A48" s="11" t="s">
        <v>27</v>
      </c>
      <c r="B48" t="s">
        <v>217</v>
      </c>
    </row>
    <row r="49" spans="1:4">
      <c r="A49" s="11" t="s">
        <v>28</v>
      </c>
      <c r="B49" t="s">
        <v>218</v>
      </c>
    </row>
    <row r="50" spans="1:4">
      <c r="A50" s="11" t="s">
        <v>29</v>
      </c>
      <c r="B50" t="s">
        <v>219</v>
      </c>
    </row>
    <row r="51" spans="1:4">
      <c r="A51" s="11" t="s">
        <v>30</v>
      </c>
      <c r="B51" t="s">
        <v>220</v>
      </c>
    </row>
    <row r="52" spans="1:4">
      <c r="A52" s="11" t="s">
        <v>31</v>
      </c>
      <c r="B52" t="s">
        <v>221</v>
      </c>
    </row>
    <row r="53" spans="1:4">
      <c r="A53" s="12" t="s">
        <v>239</v>
      </c>
      <c r="B53" t="s">
        <v>222</v>
      </c>
      <c r="D53" t="s">
        <v>240</v>
      </c>
    </row>
    <row r="54" spans="1:4">
      <c r="A54" s="12" t="s">
        <v>33</v>
      </c>
      <c r="B54" t="s">
        <v>223</v>
      </c>
    </row>
    <row r="55" spans="1:4">
      <c r="A55" s="12" t="s">
        <v>34</v>
      </c>
      <c r="B55" t="s">
        <v>224</v>
      </c>
    </row>
    <row r="56" spans="1:4">
      <c r="A56" s="12" t="s">
        <v>35</v>
      </c>
      <c r="B56" t="s">
        <v>225</v>
      </c>
    </row>
    <row r="57" spans="1:4">
      <c r="A57" s="12" t="s">
        <v>36</v>
      </c>
      <c r="B57" t="s">
        <v>212</v>
      </c>
    </row>
    <row r="58" spans="1:4">
      <c r="A58" s="12" t="s">
        <v>37</v>
      </c>
      <c r="B58" t="s">
        <v>83</v>
      </c>
    </row>
    <row r="59" spans="1:4">
      <c r="A59" s="12" t="s">
        <v>38</v>
      </c>
      <c r="B59" t="s">
        <v>38</v>
      </c>
    </row>
    <row r="60" spans="1:4">
      <c r="A60" s="11" t="s">
        <v>39</v>
      </c>
      <c r="B60" t="s">
        <v>226</v>
      </c>
    </row>
    <row r="61" spans="1:4">
      <c r="A61" s="11" t="s">
        <v>40</v>
      </c>
      <c r="B61" t="s">
        <v>227</v>
      </c>
    </row>
    <row r="62" spans="1:4">
      <c r="A62" s="11" t="s">
        <v>41</v>
      </c>
      <c r="B62" t="s">
        <v>228</v>
      </c>
    </row>
    <row r="63" spans="1:4">
      <c r="A63" s="11" t="s">
        <v>42</v>
      </c>
      <c r="B63" t="s">
        <v>229</v>
      </c>
    </row>
    <row r="64" spans="1:4">
      <c r="A64" s="11" t="s">
        <v>43</v>
      </c>
      <c r="B64" t="s">
        <v>230</v>
      </c>
    </row>
    <row r="65" spans="1:2">
      <c r="A65" s="11" t="s">
        <v>44</v>
      </c>
      <c r="B65" t="s">
        <v>231</v>
      </c>
    </row>
    <row r="66" spans="1:2">
      <c r="A66" s="11" t="s">
        <v>45</v>
      </c>
      <c r="B66" t="s">
        <v>232</v>
      </c>
    </row>
    <row r="67" spans="1:2">
      <c r="A67" s="11" t="s">
        <v>46</v>
      </c>
      <c r="B67" t="s">
        <v>233</v>
      </c>
    </row>
    <row r="68" spans="1:2">
      <c r="A68" s="11" t="s">
        <v>47</v>
      </c>
      <c r="B68" t="s">
        <v>234</v>
      </c>
    </row>
    <row r="69" spans="1:2">
      <c r="A69" s="11" t="s">
        <v>49</v>
      </c>
      <c r="B69" t="s">
        <v>235</v>
      </c>
    </row>
    <row r="70" spans="1:2">
      <c r="A70" s="11" t="s">
        <v>50</v>
      </c>
      <c r="B70" t="s">
        <v>236</v>
      </c>
    </row>
    <row r="71" spans="1:2">
      <c r="A71" s="11" t="s">
        <v>51</v>
      </c>
      <c r="B71" t="s">
        <v>237</v>
      </c>
    </row>
    <row r="72" spans="1:2">
      <c r="A72" s="11" t="s">
        <v>53</v>
      </c>
      <c r="B72" t="s">
        <v>238</v>
      </c>
    </row>
  </sheetData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species biomasses T99</vt:lpstr>
      <vt:lpstr>FG expt design T99</vt:lpstr>
      <vt:lpstr>ecosystem function wide T99</vt:lpstr>
      <vt:lpstr>ecosystem function long T99</vt:lpstr>
      <vt:lpstr>ecosystem biomass wide T99</vt:lpstr>
      <vt:lpstr>ecosystem biomass long T99</vt:lpstr>
      <vt:lpstr>spreadsheet codes</vt:lpstr>
    </vt:vector>
  </TitlesOfParts>
  <Company>Ohio Wesleyan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Downing</dc:creator>
  <cp:lastModifiedBy>Diogo Provete</cp:lastModifiedBy>
  <dcterms:created xsi:type="dcterms:W3CDTF">2013-03-15T16:07:22Z</dcterms:created>
  <dcterms:modified xsi:type="dcterms:W3CDTF">2013-04-17T20:02:09Z</dcterms:modified>
</cp:coreProperties>
</file>